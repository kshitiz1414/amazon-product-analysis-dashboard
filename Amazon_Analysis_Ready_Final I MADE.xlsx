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0618119B-8C42-4485-813F-D43D84F91D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5" r:id="rId1"/>
    <sheet name="DASHBOARD" sheetId="14" r:id="rId2"/>
    <sheet name="ANALYSIS" sheetId="7" r:id="rId3"/>
    <sheet name="Sheet6" sheetId="9" r:id="rId4"/>
    <sheet name="Sheet1" sheetId="10" r:id="rId5"/>
    <sheet name="Sheet12" sheetId="18" r:id="rId6"/>
    <sheet name="Sheet5" sheetId="12" r:id="rId7"/>
    <sheet name="Sheet10" sheetId="16" r:id="rId8"/>
    <sheet name="Sheet11" sheetId="17" r:id="rId9"/>
    <sheet name="Sheet14" sheetId="20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8" i="7"/>
  <c r="E7" i="7"/>
  <c r="E6" i="7"/>
  <c r="J14" i="7"/>
  <c r="K19" i="7"/>
  <c r="L19" i="7" s="1"/>
  <c r="K18" i="7"/>
  <c r="M18" i="7" s="1"/>
  <c r="G21" i="7"/>
  <c r="G20" i="7"/>
  <c r="G19" i="7"/>
  <c r="H19" i="7" s="1"/>
  <c r="G18" i="7"/>
  <c r="H18" i="7" s="1"/>
  <c r="B23" i="7"/>
  <c r="B21" i="7"/>
  <c r="B18" i="7"/>
  <c r="J910" i="5"/>
  <c r="G43" i="5"/>
  <c r="G44" i="5"/>
  <c r="G48" i="5"/>
  <c r="G52" i="5"/>
  <c r="G54" i="5"/>
  <c r="G68" i="5"/>
  <c r="G80" i="5"/>
  <c r="G92" i="5"/>
  <c r="G94" i="5"/>
  <c r="J94" i="5" s="1"/>
  <c r="G109" i="5"/>
  <c r="G114" i="5"/>
  <c r="G115" i="5"/>
  <c r="G116" i="5"/>
  <c r="G139" i="5"/>
  <c r="G140" i="5"/>
  <c r="J140" i="5" s="1"/>
  <c r="G141" i="5"/>
  <c r="G165" i="5"/>
  <c r="G188" i="5"/>
  <c r="G190" i="5"/>
  <c r="G192" i="5"/>
  <c r="G193" i="5"/>
  <c r="G194" i="5"/>
  <c r="G200" i="5"/>
  <c r="G201" i="5"/>
  <c r="G212" i="5"/>
  <c r="G236" i="5"/>
  <c r="G247" i="5"/>
  <c r="G250" i="5"/>
  <c r="G260" i="5"/>
  <c r="G272" i="5"/>
  <c r="G295" i="5"/>
  <c r="G298" i="5"/>
  <c r="G308" i="5"/>
  <c r="G313" i="5"/>
  <c r="G314" i="5"/>
  <c r="G319" i="5"/>
  <c r="J319" i="5" s="1"/>
  <c r="G332" i="5"/>
  <c r="G344" i="5"/>
  <c r="G349" i="5"/>
  <c r="G355" i="5"/>
  <c r="G356" i="5"/>
  <c r="G364" i="5"/>
  <c r="G365" i="5"/>
  <c r="G380" i="5"/>
  <c r="G392" i="5"/>
  <c r="J392" i="5" s="1"/>
  <c r="G393" i="5"/>
  <c r="G403" i="5"/>
  <c r="G404" i="5"/>
  <c r="G428" i="5"/>
  <c r="G440" i="5"/>
  <c r="J440" i="5" s="1"/>
  <c r="G451" i="5"/>
  <c r="G452" i="5"/>
  <c r="G456" i="5"/>
  <c r="G462" i="5"/>
  <c r="G476" i="5"/>
  <c r="G488" i="5"/>
  <c r="G490" i="5"/>
  <c r="G491" i="5"/>
  <c r="G524" i="5"/>
  <c r="G535" i="5"/>
  <c r="J535" i="5" s="1"/>
  <c r="G536" i="5"/>
  <c r="G537" i="5"/>
  <c r="G540" i="5"/>
  <c r="G546" i="5"/>
  <c r="G547" i="5"/>
  <c r="G548" i="5"/>
  <c r="G560" i="5"/>
  <c r="G572" i="5"/>
  <c r="G583" i="5"/>
  <c r="G584" i="5"/>
  <c r="G586" i="5"/>
  <c r="G587" i="5"/>
  <c r="G596" i="5"/>
  <c r="J596" i="5" s="1"/>
  <c r="G600" i="5"/>
  <c r="G608" i="5"/>
  <c r="G609" i="5"/>
  <c r="G620" i="5"/>
  <c r="G632" i="5"/>
  <c r="G633" i="5"/>
  <c r="G655" i="5"/>
  <c r="G659" i="5"/>
  <c r="G660" i="5"/>
  <c r="G692" i="5"/>
  <c r="G694" i="5"/>
  <c r="G703" i="5"/>
  <c r="J703" i="5" s="1"/>
  <c r="G704" i="5"/>
  <c r="G706" i="5"/>
  <c r="G707" i="5"/>
  <c r="G714" i="5"/>
  <c r="G728" i="5"/>
  <c r="G739" i="5"/>
  <c r="G743" i="5"/>
  <c r="G752" i="5"/>
  <c r="G766" i="5"/>
  <c r="G767" i="5"/>
  <c r="G776" i="5"/>
  <c r="G789" i="5"/>
  <c r="G812" i="5"/>
  <c r="G815" i="5"/>
  <c r="G823" i="5"/>
  <c r="J823" i="5" s="1"/>
  <c r="G860" i="5"/>
  <c r="G861" i="5"/>
  <c r="G870" i="5"/>
  <c r="G871" i="5"/>
  <c r="J871" i="5" s="1"/>
  <c r="G874" i="5"/>
  <c r="G895" i="5"/>
  <c r="G896" i="5"/>
  <c r="G897" i="5"/>
  <c r="G910" i="5"/>
  <c r="G923" i="5"/>
  <c r="G933" i="5"/>
  <c r="G934" i="5"/>
  <c r="G942" i="5"/>
  <c r="G943" i="5"/>
  <c r="G979" i="5"/>
  <c r="G990" i="5"/>
  <c r="J990" i="5" s="1"/>
  <c r="G991" i="5"/>
  <c r="J991" i="5" s="1"/>
  <c r="G994" i="5"/>
  <c r="G1004" i="5"/>
  <c r="G1018" i="5"/>
  <c r="G1027" i="5"/>
  <c r="G1043" i="5"/>
  <c r="G1051" i="5"/>
  <c r="G1054" i="5"/>
  <c r="G1055" i="5"/>
  <c r="G1056" i="5"/>
  <c r="G1064" i="5"/>
  <c r="G1065" i="5"/>
  <c r="G1087" i="5"/>
  <c r="G1099" i="5"/>
  <c r="G1103" i="5"/>
  <c r="G1135" i="5"/>
  <c r="G1140" i="5"/>
  <c r="G1141" i="5"/>
  <c r="G1146" i="5"/>
  <c r="G1160" i="5"/>
  <c r="G1161" i="5"/>
  <c r="G1172" i="5"/>
  <c r="G1173" i="5"/>
  <c r="G1183" i="5"/>
  <c r="G1196" i="5"/>
  <c r="G1197" i="5"/>
  <c r="G1200" i="5"/>
  <c r="G1201" i="5"/>
  <c r="G1206" i="5"/>
  <c r="G1231" i="5"/>
  <c r="J1231" i="5" s="1"/>
  <c r="G1233" i="5"/>
  <c r="G1236" i="5"/>
  <c r="G1243" i="5"/>
  <c r="G1268" i="5"/>
  <c r="G1269" i="5"/>
  <c r="G1279" i="5"/>
  <c r="G1284" i="5"/>
  <c r="G1285" i="5"/>
  <c r="G1290" i="5"/>
  <c r="G1304" i="5"/>
  <c r="G1305" i="5"/>
  <c r="G1346" i="5"/>
  <c r="J1346" i="5" s="1"/>
  <c r="G1375" i="5"/>
  <c r="J1375" i="5" s="1"/>
  <c r="G1380" i="5"/>
  <c r="G1381" i="5"/>
  <c r="G1386" i="5"/>
  <c r="G1387" i="5"/>
  <c r="G1392" i="5"/>
  <c r="G1400" i="5"/>
  <c r="G1423" i="5"/>
  <c r="G1448" i="5"/>
  <c r="G1449" i="5"/>
  <c r="I9" i="5"/>
  <c r="I11" i="5"/>
  <c r="I20" i="5"/>
  <c r="I31" i="5"/>
  <c r="I46" i="5"/>
  <c r="I91" i="5"/>
  <c r="I92" i="5"/>
  <c r="I93" i="5"/>
  <c r="I94" i="5"/>
  <c r="I106" i="5"/>
  <c r="I115" i="5"/>
  <c r="I118" i="5"/>
  <c r="I120" i="5"/>
  <c r="I168" i="5"/>
  <c r="I175" i="5"/>
  <c r="I177" i="5"/>
  <c r="I199" i="5"/>
  <c r="I202" i="5"/>
  <c r="I223" i="5"/>
  <c r="I225" i="5"/>
  <c r="I236" i="5"/>
  <c r="I249" i="5"/>
  <c r="I259" i="5"/>
  <c r="I262" i="5"/>
  <c r="I263" i="5"/>
  <c r="I283" i="5"/>
  <c r="I284" i="5"/>
  <c r="I298" i="5"/>
  <c r="I307" i="5"/>
  <c r="I319" i="5"/>
  <c r="I321" i="5"/>
  <c r="I322" i="5"/>
  <c r="I323" i="5"/>
  <c r="I356" i="5"/>
  <c r="I367" i="5"/>
  <c r="I372" i="5"/>
  <c r="I379" i="5"/>
  <c r="I382" i="5"/>
  <c r="I385" i="5"/>
  <c r="I391" i="5"/>
  <c r="I392" i="5"/>
  <c r="I404" i="5"/>
  <c r="I405" i="5"/>
  <c r="I415" i="5"/>
  <c r="I418" i="5"/>
  <c r="I421" i="5"/>
  <c r="I429" i="5"/>
  <c r="I430" i="5"/>
  <c r="I431" i="5"/>
  <c r="I440" i="5"/>
  <c r="I452" i="5"/>
  <c r="I469" i="5"/>
  <c r="I481" i="5"/>
  <c r="I487" i="5"/>
  <c r="I492" i="5"/>
  <c r="I516" i="5"/>
  <c r="I517" i="5"/>
  <c r="I523" i="5"/>
  <c r="I525" i="5"/>
  <c r="I547" i="5"/>
  <c r="I563" i="5"/>
  <c r="I571" i="5"/>
  <c r="I586" i="5"/>
  <c r="I587" i="5"/>
  <c r="I589" i="5"/>
  <c r="I595" i="5"/>
  <c r="I596" i="5"/>
  <c r="I609" i="5"/>
  <c r="I654" i="5"/>
  <c r="I655" i="5"/>
  <c r="I656" i="5"/>
  <c r="I667" i="5"/>
  <c r="I668" i="5"/>
  <c r="I669" i="5"/>
  <c r="I670" i="5"/>
  <c r="I716" i="5"/>
  <c r="I717" i="5"/>
  <c r="I730" i="5"/>
  <c r="I731" i="5"/>
  <c r="I739" i="5"/>
  <c r="I743" i="5"/>
  <c r="I754" i="5"/>
  <c r="I755" i="5"/>
  <c r="I787" i="5"/>
  <c r="I790" i="5"/>
  <c r="I811" i="5"/>
  <c r="I814" i="5"/>
  <c r="I816" i="5"/>
  <c r="I822" i="5"/>
  <c r="I823" i="5"/>
  <c r="I862" i="5"/>
  <c r="I863" i="5"/>
  <c r="I871" i="5"/>
  <c r="I883" i="5"/>
  <c r="I885" i="5"/>
  <c r="I886" i="5"/>
  <c r="I887" i="5"/>
  <c r="I908" i="5"/>
  <c r="I909" i="5"/>
  <c r="I932" i="5"/>
  <c r="I934" i="5"/>
  <c r="I935" i="5"/>
  <c r="I943" i="5"/>
  <c r="I991" i="5"/>
  <c r="I992" i="5"/>
  <c r="I1019" i="5"/>
  <c r="I1031" i="5"/>
  <c r="I1041" i="5"/>
  <c r="I1042" i="5"/>
  <c r="I1043" i="5"/>
  <c r="I1051" i="5"/>
  <c r="I1054" i="5"/>
  <c r="I1075" i="5"/>
  <c r="I1077" i="5"/>
  <c r="I1087" i="5"/>
  <c r="I1099" i="5"/>
  <c r="I1111" i="5"/>
  <c r="I1126" i="5"/>
  <c r="I1159" i="5"/>
  <c r="I1162" i="5"/>
  <c r="I1163" i="5"/>
  <c r="I1165" i="5"/>
  <c r="I1171" i="5"/>
  <c r="I1185" i="5"/>
  <c r="I1219" i="5"/>
  <c r="I1231" i="5"/>
  <c r="I1232" i="5"/>
  <c r="I1243" i="5"/>
  <c r="I1254" i="5"/>
  <c r="I1255" i="5"/>
  <c r="I1293" i="5"/>
  <c r="I1294" i="5"/>
  <c r="I1295" i="5"/>
  <c r="I1303" i="5"/>
  <c r="I1305" i="5"/>
  <c r="I1306" i="5"/>
  <c r="I1307" i="5"/>
  <c r="I1309" i="5"/>
  <c r="I1315" i="5"/>
  <c r="I1341" i="5"/>
  <c r="I1351" i="5"/>
  <c r="I1354" i="5"/>
  <c r="I1355" i="5"/>
  <c r="I1356" i="5"/>
  <c r="I1365" i="5"/>
  <c r="I1411" i="5"/>
  <c r="I1435" i="5"/>
  <c r="I1437" i="5"/>
  <c r="I1438" i="5"/>
  <c r="I1440" i="5"/>
  <c r="I1441" i="5"/>
  <c r="I1447" i="5"/>
  <c r="I1461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2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O3" i="5"/>
  <c r="O4" i="5"/>
  <c r="O5" i="5"/>
  <c r="I5" i="5" s="1"/>
  <c r="O6" i="5"/>
  <c r="O7" i="5"/>
  <c r="I7" i="5" s="1"/>
  <c r="O8" i="5"/>
  <c r="O9" i="5"/>
  <c r="O10" i="5"/>
  <c r="O11" i="5"/>
  <c r="O12" i="5"/>
  <c r="I12" i="5" s="1"/>
  <c r="O13" i="5"/>
  <c r="I13" i="5" s="1"/>
  <c r="O14" i="5"/>
  <c r="O15" i="5"/>
  <c r="O16" i="5"/>
  <c r="O17" i="5"/>
  <c r="I17" i="5" s="1"/>
  <c r="O18" i="5"/>
  <c r="O19" i="5"/>
  <c r="I19" i="5" s="1"/>
  <c r="O20" i="5"/>
  <c r="O21" i="5"/>
  <c r="H21" i="5" s="1"/>
  <c r="O22" i="5"/>
  <c r="O23" i="5"/>
  <c r="O24" i="5"/>
  <c r="O25" i="5"/>
  <c r="O26" i="5"/>
  <c r="G26" i="5" s="1"/>
  <c r="O27" i="5"/>
  <c r="O28" i="5"/>
  <c r="O29" i="5"/>
  <c r="O30" i="5"/>
  <c r="O31" i="5"/>
  <c r="O32" i="5"/>
  <c r="O33" i="5"/>
  <c r="O34" i="5"/>
  <c r="O35" i="5"/>
  <c r="O36" i="5"/>
  <c r="O37" i="5"/>
  <c r="I37" i="5" s="1"/>
  <c r="O38" i="5"/>
  <c r="O39" i="5"/>
  <c r="I39" i="5" s="1"/>
  <c r="O40" i="5"/>
  <c r="G40" i="5" s="1"/>
  <c r="O41" i="5"/>
  <c r="G41" i="5" s="1"/>
  <c r="O42" i="5"/>
  <c r="O43" i="5"/>
  <c r="H43" i="5" s="1"/>
  <c r="O44" i="5"/>
  <c r="I44" i="5" s="1"/>
  <c r="O45" i="5"/>
  <c r="O46" i="5"/>
  <c r="O47" i="5"/>
  <c r="O48" i="5"/>
  <c r="O49" i="5"/>
  <c r="I49" i="5" s="1"/>
  <c r="O50" i="5"/>
  <c r="O51" i="5"/>
  <c r="O52" i="5"/>
  <c r="I52" i="5" s="1"/>
  <c r="O53" i="5"/>
  <c r="O54" i="5"/>
  <c r="I54" i="5" s="1"/>
  <c r="O55" i="5"/>
  <c r="I55" i="5" s="1"/>
  <c r="O56" i="5"/>
  <c r="O57" i="5"/>
  <c r="O58" i="5"/>
  <c r="I58" i="5" s="1"/>
  <c r="O59" i="5"/>
  <c r="I59" i="5" s="1"/>
  <c r="O60" i="5"/>
  <c r="I60" i="5" s="1"/>
  <c r="O61" i="5"/>
  <c r="I61" i="5" s="1"/>
  <c r="O62" i="5"/>
  <c r="O63" i="5"/>
  <c r="O64" i="5"/>
  <c r="O65" i="5"/>
  <c r="O66" i="5"/>
  <c r="O67" i="5"/>
  <c r="O68" i="5"/>
  <c r="I68" i="5" s="1"/>
  <c r="O69" i="5"/>
  <c r="I69" i="5" s="1"/>
  <c r="O70" i="5"/>
  <c r="O71" i="5"/>
  <c r="O72" i="5"/>
  <c r="O73" i="5"/>
  <c r="O74" i="5"/>
  <c r="O75" i="5"/>
  <c r="O76" i="5"/>
  <c r="O77" i="5"/>
  <c r="O78" i="5"/>
  <c r="O79" i="5"/>
  <c r="G79" i="5" s="1"/>
  <c r="O80" i="5"/>
  <c r="H80" i="5" s="1"/>
  <c r="O81" i="5"/>
  <c r="O82" i="5"/>
  <c r="O83" i="5"/>
  <c r="O84" i="5"/>
  <c r="O85" i="5"/>
  <c r="O86" i="5"/>
  <c r="O87" i="5"/>
  <c r="O88" i="5"/>
  <c r="G88" i="5" s="1"/>
  <c r="O89" i="5"/>
  <c r="G89" i="5" s="1"/>
  <c r="O90" i="5"/>
  <c r="O91" i="5"/>
  <c r="O92" i="5"/>
  <c r="H92" i="5" s="1"/>
  <c r="O93" i="5"/>
  <c r="O94" i="5"/>
  <c r="H94" i="5" s="1"/>
  <c r="O95" i="5"/>
  <c r="O96" i="5"/>
  <c r="I96" i="5" s="1"/>
  <c r="O97" i="5"/>
  <c r="O98" i="5"/>
  <c r="O99" i="5"/>
  <c r="O100" i="5"/>
  <c r="I100" i="5" s="1"/>
  <c r="O101" i="5"/>
  <c r="I101" i="5" s="1"/>
  <c r="O102" i="5"/>
  <c r="I102" i="5" s="1"/>
  <c r="O103" i="5"/>
  <c r="I103" i="5" s="1"/>
  <c r="O104" i="5"/>
  <c r="G104" i="5" s="1"/>
  <c r="O105" i="5"/>
  <c r="I105" i="5" s="1"/>
  <c r="O106" i="5"/>
  <c r="O107" i="5"/>
  <c r="O108" i="5"/>
  <c r="O109" i="5"/>
  <c r="I109" i="5" s="1"/>
  <c r="O110" i="5"/>
  <c r="O111" i="5"/>
  <c r="O112" i="5"/>
  <c r="I112" i="5" s="1"/>
  <c r="O113" i="5"/>
  <c r="G113" i="5" s="1"/>
  <c r="O114" i="5"/>
  <c r="I114" i="5" s="1"/>
  <c r="O115" i="5"/>
  <c r="H115" i="5" s="1"/>
  <c r="O116" i="5"/>
  <c r="I116" i="5" s="1"/>
  <c r="O117" i="5"/>
  <c r="O118" i="5"/>
  <c r="O119" i="5"/>
  <c r="O120" i="5"/>
  <c r="O121" i="5"/>
  <c r="I121" i="5" s="1"/>
  <c r="O122" i="5"/>
  <c r="O123" i="5"/>
  <c r="O124" i="5"/>
  <c r="I124" i="5" s="1"/>
  <c r="O125" i="5"/>
  <c r="O126" i="5"/>
  <c r="O127" i="5"/>
  <c r="O128" i="5"/>
  <c r="H128" i="5" s="1"/>
  <c r="O129" i="5"/>
  <c r="O130" i="5"/>
  <c r="O131" i="5"/>
  <c r="O132" i="5"/>
  <c r="O133" i="5"/>
  <c r="O134" i="5"/>
  <c r="O135" i="5"/>
  <c r="O136" i="5"/>
  <c r="I136" i="5" s="1"/>
  <c r="O137" i="5"/>
  <c r="G137" i="5" s="1"/>
  <c r="O138" i="5"/>
  <c r="I138" i="5" s="1"/>
  <c r="O139" i="5"/>
  <c r="O140" i="5"/>
  <c r="H140" i="5" s="1"/>
  <c r="O141" i="5"/>
  <c r="H141" i="5" s="1"/>
  <c r="O142" i="5"/>
  <c r="I142" i="5" s="1"/>
  <c r="O143" i="5"/>
  <c r="I143" i="5" s="1"/>
  <c r="O144" i="5"/>
  <c r="O145" i="5"/>
  <c r="I145" i="5" s="1"/>
  <c r="O146" i="5"/>
  <c r="O147" i="5"/>
  <c r="O148" i="5"/>
  <c r="O149" i="5"/>
  <c r="O150" i="5"/>
  <c r="O151" i="5"/>
  <c r="I151" i="5" s="1"/>
  <c r="O152" i="5"/>
  <c r="G152" i="5" s="1"/>
  <c r="O153" i="5"/>
  <c r="O154" i="5"/>
  <c r="H154" i="5" s="1"/>
  <c r="O155" i="5"/>
  <c r="I155" i="5" s="1"/>
  <c r="O156" i="5"/>
  <c r="G156" i="5" s="1"/>
  <c r="O157" i="5"/>
  <c r="O158" i="5"/>
  <c r="H158" i="5" s="1"/>
  <c r="O159" i="5"/>
  <c r="I159" i="5" s="1"/>
  <c r="O160" i="5"/>
  <c r="O161" i="5"/>
  <c r="O162" i="5"/>
  <c r="O163" i="5"/>
  <c r="I163" i="5" s="1"/>
  <c r="O164" i="5"/>
  <c r="O165" i="5"/>
  <c r="O166" i="5"/>
  <c r="I166" i="5" s="1"/>
  <c r="O167" i="5"/>
  <c r="I167" i="5" s="1"/>
  <c r="O168" i="5"/>
  <c r="O169" i="5"/>
  <c r="I169" i="5" s="1"/>
  <c r="O170" i="5"/>
  <c r="H170" i="5" s="1"/>
  <c r="O171" i="5"/>
  <c r="O172" i="5"/>
  <c r="H172" i="5" s="1"/>
  <c r="O173" i="5"/>
  <c r="O174" i="5"/>
  <c r="O175" i="5"/>
  <c r="O176" i="5"/>
  <c r="O177" i="5"/>
  <c r="O178" i="5"/>
  <c r="O179" i="5"/>
  <c r="I179" i="5" s="1"/>
  <c r="O180" i="5"/>
  <c r="O181" i="5"/>
  <c r="O182" i="5"/>
  <c r="O183" i="5"/>
  <c r="O184" i="5"/>
  <c r="O185" i="5"/>
  <c r="O186" i="5"/>
  <c r="I186" i="5" s="1"/>
  <c r="O187" i="5"/>
  <c r="O188" i="5"/>
  <c r="I188" i="5" s="1"/>
  <c r="O189" i="5"/>
  <c r="O190" i="5"/>
  <c r="H190" i="5" s="1"/>
  <c r="O191" i="5"/>
  <c r="O192" i="5"/>
  <c r="I192" i="5" s="1"/>
  <c r="O193" i="5"/>
  <c r="I193" i="5" s="1"/>
  <c r="O194" i="5"/>
  <c r="I194" i="5" s="1"/>
  <c r="O195" i="5"/>
  <c r="O196" i="5"/>
  <c r="G196" i="5" s="1"/>
  <c r="O197" i="5"/>
  <c r="G197" i="5" s="1"/>
  <c r="O198" i="5"/>
  <c r="O199" i="5"/>
  <c r="H199" i="5" s="1"/>
  <c r="O200" i="5"/>
  <c r="I200" i="5" s="1"/>
  <c r="O201" i="5"/>
  <c r="I201" i="5" s="1"/>
  <c r="O202" i="5"/>
  <c r="O203" i="5"/>
  <c r="I203" i="5" s="1"/>
  <c r="O204" i="5"/>
  <c r="I204" i="5" s="1"/>
  <c r="O205" i="5"/>
  <c r="O206" i="5"/>
  <c r="O207" i="5"/>
  <c r="O208" i="5"/>
  <c r="O209" i="5"/>
  <c r="O210" i="5"/>
  <c r="O211" i="5"/>
  <c r="I211" i="5" s="1"/>
  <c r="O212" i="5"/>
  <c r="O213" i="5"/>
  <c r="I213" i="5" s="1"/>
  <c r="O214" i="5"/>
  <c r="O215" i="5"/>
  <c r="I215" i="5" s="1"/>
  <c r="O216" i="5"/>
  <c r="O217" i="5"/>
  <c r="O218" i="5"/>
  <c r="O219" i="5"/>
  <c r="I219" i="5" s="1"/>
  <c r="O220" i="5"/>
  <c r="O221" i="5"/>
  <c r="O222" i="5"/>
  <c r="O223" i="5"/>
  <c r="O224" i="5"/>
  <c r="O225" i="5"/>
  <c r="O226" i="5"/>
  <c r="O227" i="5"/>
  <c r="O228" i="5"/>
  <c r="O229" i="5"/>
  <c r="O230" i="5"/>
  <c r="H230" i="5" s="1"/>
  <c r="O231" i="5"/>
  <c r="O232" i="5"/>
  <c r="O233" i="5"/>
  <c r="O234" i="5"/>
  <c r="O235" i="5"/>
  <c r="G235" i="5" s="1"/>
  <c r="O236" i="5"/>
  <c r="H236" i="5" s="1"/>
  <c r="O237" i="5"/>
  <c r="O238" i="5"/>
  <c r="O239" i="5"/>
  <c r="O240" i="5"/>
  <c r="O241" i="5"/>
  <c r="O242" i="5"/>
  <c r="O243" i="5"/>
  <c r="O244" i="5"/>
  <c r="G244" i="5" s="1"/>
  <c r="O245" i="5"/>
  <c r="G245" i="5" s="1"/>
  <c r="O246" i="5"/>
  <c r="H246" i="5" s="1"/>
  <c r="O247" i="5"/>
  <c r="O248" i="5"/>
  <c r="H248" i="5" s="1"/>
  <c r="O249" i="5"/>
  <c r="O250" i="5"/>
  <c r="O251" i="5"/>
  <c r="O252" i="5"/>
  <c r="I252" i="5" s="1"/>
  <c r="O253" i="5"/>
  <c r="O254" i="5"/>
  <c r="O255" i="5"/>
  <c r="O256" i="5"/>
  <c r="O257" i="5"/>
  <c r="O258" i="5"/>
  <c r="O259" i="5"/>
  <c r="O260" i="5"/>
  <c r="O261" i="5"/>
  <c r="I261" i="5" s="1"/>
  <c r="O262" i="5"/>
  <c r="O263" i="5"/>
  <c r="O264" i="5"/>
  <c r="O265" i="5"/>
  <c r="O266" i="5"/>
  <c r="O267" i="5"/>
  <c r="O268" i="5"/>
  <c r="O269" i="5"/>
  <c r="O270" i="5"/>
  <c r="O271" i="5"/>
  <c r="H271" i="5" s="1"/>
  <c r="O272" i="5"/>
  <c r="I272" i="5" s="1"/>
  <c r="O273" i="5"/>
  <c r="O274" i="5"/>
  <c r="G274" i="5" s="1"/>
  <c r="O275" i="5"/>
  <c r="I275" i="5" s="1"/>
  <c r="O276" i="5"/>
  <c r="O277" i="5"/>
  <c r="O278" i="5"/>
  <c r="O279" i="5"/>
  <c r="O280" i="5"/>
  <c r="O281" i="5"/>
  <c r="O282" i="5"/>
  <c r="I282" i="5" s="1"/>
  <c r="O283" i="5"/>
  <c r="O284" i="5"/>
  <c r="H284" i="5" s="1"/>
  <c r="O285" i="5"/>
  <c r="O286" i="5"/>
  <c r="O287" i="5"/>
  <c r="O288" i="5"/>
  <c r="O289" i="5"/>
  <c r="O290" i="5"/>
  <c r="G290" i="5" s="1"/>
  <c r="O291" i="5"/>
  <c r="I291" i="5" s="1"/>
  <c r="O292" i="5"/>
  <c r="O293" i="5"/>
  <c r="I293" i="5" s="1"/>
  <c r="O294" i="5"/>
  <c r="I294" i="5" s="1"/>
  <c r="O295" i="5"/>
  <c r="O296" i="5"/>
  <c r="O297" i="5"/>
  <c r="I297" i="5" s="1"/>
  <c r="O298" i="5"/>
  <c r="H298" i="5" s="1"/>
  <c r="O299" i="5"/>
  <c r="O300" i="5"/>
  <c r="O301" i="5"/>
  <c r="O302" i="5"/>
  <c r="O303" i="5"/>
  <c r="O304" i="5"/>
  <c r="O305" i="5"/>
  <c r="O306" i="5"/>
  <c r="O307" i="5"/>
  <c r="O308" i="5"/>
  <c r="O309" i="5"/>
  <c r="O310" i="5"/>
  <c r="I310" i="5" s="1"/>
  <c r="O311" i="5"/>
  <c r="O312" i="5"/>
  <c r="O313" i="5"/>
  <c r="I313" i="5" s="1"/>
  <c r="O314" i="5"/>
  <c r="O315" i="5"/>
  <c r="O316" i="5"/>
  <c r="I316" i="5" s="1"/>
  <c r="O317" i="5"/>
  <c r="O318" i="5"/>
  <c r="O319" i="5"/>
  <c r="H319" i="5" s="1"/>
  <c r="O320" i="5"/>
  <c r="O321" i="5"/>
  <c r="H321" i="5" s="1"/>
  <c r="O322" i="5"/>
  <c r="O323" i="5"/>
  <c r="O324" i="5"/>
  <c r="G324" i="5" s="1"/>
  <c r="O325" i="5"/>
  <c r="I325" i="5" s="1"/>
  <c r="O326" i="5"/>
  <c r="O327" i="5"/>
  <c r="I327" i="5" s="1"/>
  <c r="O328" i="5"/>
  <c r="H328" i="5" s="1"/>
  <c r="O329" i="5"/>
  <c r="O330" i="5"/>
  <c r="O331" i="5"/>
  <c r="H331" i="5" s="1"/>
  <c r="O332" i="5"/>
  <c r="I332" i="5" s="1"/>
  <c r="O333" i="5"/>
  <c r="O334" i="5"/>
  <c r="O335" i="5"/>
  <c r="O336" i="5"/>
  <c r="I336" i="5" s="1"/>
  <c r="O337" i="5"/>
  <c r="O338" i="5"/>
  <c r="O339" i="5"/>
  <c r="O340" i="5"/>
  <c r="O341" i="5"/>
  <c r="O342" i="5"/>
  <c r="O343" i="5"/>
  <c r="G343" i="5" s="1"/>
  <c r="O344" i="5"/>
  <c r="I344" i="5" s="1"/>
  <c r="O345" i="5"/>
  <c r="I345" i="5" s="1"/>
  <c r="O346" i="5"/>
  <c r="I346" i="5" s="1"/>
  <c r="O347" i="5"/>
  <c r="O348" i="5"/>
  <c r="O349" i="5"/>
  <c r="I349" i="5" s="1"/>
  <c r="O350" i="5"/>
  <c r="I350" i="5" s="1"/>
  <c r="O351" i="5"/>
  <c r="O352" i="5"/>
  <c r="G352" i="5" s="1"/>
  <c r="O353" i="5"/>
  <c r="G353" i="5" s="1"/>
  <c r="O354" i="5"/>
  <c r="I354" i="5" s="1"/>
  <c r="O355" i="5"/>
  <c r="O356" i="5"/>
  <c r="H356" i="5" s="1"/>
  <c r="O357" i="5"/>
  <c r="O358" i="5"/>
  <c r="I358" i="5" s="1"/>
  <c r="O359" i="5"/>
  <c r="I359" i="5" s="1"/>
  <c r="O360" i="5"/>
  <c r="O361" i="5"/>
  <c r="O362" i="5"/>
  <c r="O363" i="5"/>
  <c r="O364" i="5"/>
  <c r="I364" i="5" s="1"/>
  <c r="O365" i="5"/>
  <c r="I365" i="5" s="1"/>
  <c r="O366" i="5"/>
  <c r="O367" i="5"/>
  <c r="O368" i="5"/>
  <c r="G368" i="5" s="1"/>
  <c r="O369" i="5"/>
  <c r="O370" i="5"/>
  <c r="O371" i="5"/>
  <c r="O372" i="5"/>
  <c r="O373" i="5"/>
  <c r="I373" i="5" s="1"/>
  <c r="O374" i="5"/>
  <c r="O375" i="5"/>
  <c r="O376" i="5"/>
  <c r="G376" i="5" s="1"/>
  <c r="O377" i="5"/>
  <c r="O378" i="5"/>
  <c r="O379" i="5"/>
  <c r="O380" i="5"/>
  <c r="I380" i="5" s="1"/>
  <c r="O381" i="5"/>
  <c r="O382" i="5"/>
  <c r="O383" i="5"/>
  <c r="O384" i="5"/>
  <c r="I384" i="5" s="1"/>
  <c r="O385" i="5"/>
  <c r="O386" i="5"/>
  <c r="O387" i="5"/>
  <c r="O388" i="5"/>
  <c r="O389" i="5"/>
  <c r="O390" i="5"/>
  <c r="O391" i="5"/>
  <c r="H391" i="5" s="1"/>
  <c r="O392" i="5"/>
  <c r="H392" i="5" s="1"/>
  <c r="O393" i="5"/>
  <c r="H393" i="5" s="1"/>
  <c r="O394" i="5"/>
  <c r="O395" i="5"/>
  <c r="O396" i="5"/>
  <c r="I396" i="5" s="1"/>
  <c r="O397" i="5"/>
  <c r="O398" i="5"/>
  <c r="O399" i="5"/>
  <c r="I399" i="5" s="1"/>
  <c r="O400" i="5"/>
  <c r="G400" i="5" s="1"/>
  <c r="O401" i="5"/>
  <c r="G401" i="5" s="1"/>
  <c r="O402" i="5"/>
  <c r="I402" i="5" s="1"/>
  <c r="O403" i="5"/>
  <c r="O404" i="5"/>
  <c r="H404" i="5" s="1"/>
  <c r="O405" i="5"/>
  <c r="O406" i="5"/>
  <c r="H406" i="5" s="1"/>
  <c r="O407" i="5"/>
  <c r="O408" i="5"/>
  <c r="O409" i="5"/>
  <c r="O410" i="5"/>
  <c r="O411" i="5"/>
  <c r="O412" i="5"/>
  <c r="O413" i="5"/>
  <c r="I413" i="5" s="1"/>
  <c r="O414" i="5"/>
  <c r="I414" i="5" s="1"/>
  <c r="O415" i="5"/>
  <c r="O416" i="5"/>
  <c r="G416" i="5" s="1"/>
  <c r="O417" i="5"/>
  <c r="O418" i="5"/>
  <c r="O419" i="5"/>
  <c r="G419" i="5" s="1"/>
  <c r="O420" i="5"/>
  <c r="O421" i="5"/>
  <c r="O422" i="5"/>
  <c r="O423" i="5"/>
  <c r="O424" i="5"/>
  <c r="I424" i="5" s="1"/>
  <c r="O425" i="5"/>
  <c r="H425" i="5" s="1"/>
  <c r="O426" i="5"/>
  <c r="I426" i="5" s="1"/>
  <c r="O427" i="5"/>
  <c r="G427" i="5" s="1"/>
  <c r="O428" i="5"/>
  <c r="I428" i="5" s="1"/>
  <c r="O429" i="5"/>
  <c r="O430" i="5"/>
  <c r="H430" i="5" s="1"/>
  <c r="O431" i="5"/>
  <c r="O432" i="5"/>
  <c r="O433" i="5"/>
  <c r="I433" i="5" s="1"/>
  <c r="O434" i="5"/>
  <c r="O435" i="5"/>
  <c r="O436" i="5"/>
  <c r="O437" i="5"/>
  <c r="O438" i="5"/>
  <c r="I438" i="5" s="1"/>
  <c r="O439" i="5"/>
  <c r="O440" i="5"/>
  <c r="H440" i="5" s="1"/>
  <c r="O441" i="5"/>
  <c r="H441" i="5" s="1"/>
  <c r="O442" i="5"/>
  <c r="H442" i="5" s="1"/>
  <c r="O443" i="5"/>
  <c r="H443" i="5" s="1"/>
  <c r="O444" i="5"/>
  <c r="O445" i="5"/>
  <c r="O446" i="5"/>
  <c r="G446" i="5" s="1"/>
  <c r="O447" i="5"/>
  <c r="O448" i="5"/>
  <c r="O449" i="5"/>
  <c r="O450" i="5"/>
  <c r="O451" i="5"/>
  <c r="H451" i="5" s="1"/>
  <c r="O452" i="5"/>
  <c r="H452" i="5" s="1"/>
  <c r="O453" i="5"/>
  <c r="O454" i="5"/>
  <c r="H454" i="5" s="1"/>
  <c r="O455" i="5"/>
  <c r="H455" i="5" s="1"/>
  <c r="O456" i="5"/>
  <c r="I456" i="5" s="1"/>
  <c r="O457" i="5"/>
  <c r="O458" i="5"/>
  <c r="O459" i="5"/>
  <c r="O460" i="5"/>
  <c r="O461" i="5"/>
  <c r="G461" i="5" s="1"/>
  <c r="O462" i="5"/>
  <c r="I462" i="5" s="1"/>
  <c r="O463" i="5"/>
  <c r="I463" i="5" s="1"/>
  <c r="O464" i="5"/>
  <c r="H464" i="5" s="1"/>
  <c r="O465" i="5"/>
  <c r="O466" i="5"/>
  <c r="I466" i="5" s="1"/>
  <c r="O467" i="5"/>
  <c r="I467" i="5" s="1"/>
  <c r="O468" i="5"/>
  <c r="O469" i="5"/>
  <c r="O470" i="5"/>
  <c r="O471" i="5"/>
  <c r="I471" i="5" s="1"/>
  <c r="O472" i="5"/>
  <c r="I472" i="5" s="1"/>
  <c r="O473" i="5"/>
  <c r="O474" i="5"/>
  <c r="O475" i="5"/>
  <c r="O476" i="5"/>
  <c r="I476" i="5" s="1"/>
  <c r="O477" i="5"/>
  <c r="I477" i="5" s="1"/>
  <c r="O478" i="5"/>
  <c r="G478" i="5" s="1"/>
  <c r="O479" i="5"/>
  <c r="O480" i="5"/>
  <c r="O481" i="5"/>
  <c r="O482" i="5"/>
  <c r="O483" i="5"/>
  <c r="O484" i="5"/>
  <c r="O485" i="5"/>
  <c r="I485" i="5" s="1"/>
  <c r="O486" i="5"/>
  <c r="O487" i="5"/>
  <c r="O488" i="5"/>
  <c r="I488" i="5" s="1"/>
  <c r="O489" i="5"/>
  <c r="O490" i="5"/>
  <c r="H490" i="5" s="1"/>
  <c r="O491" i="5"/>
  <c r="H491" i="5" s="1"/>
  <c r="O492" i="5"/>
  <c r="O493" i="5"/>
  <c r="I493" i="5" s="1"/>
  <c r="O494" i="5"/>
  <c r="O495" i="5"/>
  <c r="O496" i="5"/>
  <c r="I496" i="5" s="1"/>
  <c r="O497" i="5"/>
  <c r="O498" i="5"/>
  <c r="O499" i="5"/>
  <c r="O500" i="5"/>
  <c r="O501" i="5"/>
  <c r="O502" i="5"/>
  <c r="I502" i="5" s="1"/>
  <c r="O503" i="5"/>
  <c r="O504" i="5"/>
  <c r="I504" i="5" s="1"/>
  <c r="O505" i="5"/>
  <c r="O506" i="5"/>
  <c r="O507" i="5"/>
  <c r="O508" i="5"/>
  <c r="G508" i="5" s="1"/>
  <c r="O509" i="5"/>
  <c r="G509" i="5" s="1"/>
  <c r="O510" i="5"/>
  <c r="O511" i="5"/>
  <c r="G511" i="5" s="1"/>
  <c r="O512" i="5"/>
  <c r="O513" i="5"/>
  <c r="O514" i="5"/>
  <c r="I514" i="5" s="1"/>
  <c r="O515" i="5"/>
  <c r="O516" i="5"/>
  <c r="O517" i="5"/>
  <c r="O518" i="5"/>
  <c r="I518" i="5" s="1"/>
  <c r="O519" i="5"/>
  <c r="I519" i="5" s="1"/>
  <c r="O520" i="5"/>
  <c r="I520" i="5" s="1"/>
  <c r="O521" i="5"/>
  <c r="I521" i="5" s="1"/>
  <c r="O522" i="5"/>
  <c r="O523" i="5"/>
  <c r="O524" i="5"/>
  <c r="O525" i="5"/>
  <c r="O526" i="5"/>
  <c r="I526" i="5" s="1"/>
  <c r="O527" i="5"/>
  <c r="O528" i="5"/>
  <c r="O529" i="5"/>
  <c r="O530" i="5"/>
  <c r="O531" i="5"/>
  <c r="O532" i="5"/>
  <c r="O533" i="5"/>
  <c r="O534" i="5"/>
  <c r="O535" i="5"/>
  <c r="H535" i="5" s="1"/>
  <c r="O536" i="5"/>
  <c r="I536" i="5" s="1"/>
  <c r="O537" i="5"/>
  <c r="O538" i="5"/>
  <c r="I538" i="5" s="1"/>
  <c r="O539" i="5"/>
  <c r="O540" i="5"/>
  <c r="I540" i="5" s="1"/>
  <c r="O541" i="5"/>
  <c r="O542" i="5"/>
  <c r="H542" i="5" s="1"/>
  <c r="O543" i="5"/>
  <c r="O544" i="5"/>
  <c r="O545" i="5"/>
  <c r="O546" i="5"/>
  <c r="O547" i="5"/>
  <c r="H547" i="5" s="1"/>
  <c r="O548" i="5"/>
  <c r="H548" i="5" s="1"/>
  <c r="O549" i="5"/>
  <c r="O550" i="5"/>
  <c r="H550" i="5" s="1"/>
  <c r="O551" i="5"/>
  <c r="O552" i="5"/>
  <c r="O553" i="5"/>
  <c r="O554" i="5"/>
  <c r="O555" i="5"/>
  <c r="O556" i="5"/>
  <c r="G556" i="5" s="1"/>
  <c r="O557" i="5"/>
  <c r="G557" i="5" s="1"/>
  <c r="O558" i="5"/>
  <c r="O559" i="5"/>
  <c r="O560" i="5"/>
  <c r="H560" i="5" s="1"/>
  <c r="O561" i="5"/>
  <c r="H561" i="5" s="1"/>
  <c r="O562" i="5"/>
  <c r="I562" i="5" s="1"/>
  <c r="O563" i="5"/>
  <c r="O564" i="5"/>
  <c r="O565" i="5"/>
  <c r="O566" i="5"/>
  <c r="O567" i="5"/>
  <c r="O568" i="5"/>
  <c r="O569" i="5"/>
  <c r="O570" i="5"/>
  <c r="I570" i="5" s="1"/>
  <c r="O571" i="5"/>
  <c r="H571" i="5" s="1"/>
  <c r="O572" i="5"/>
  <c r="O573" i="5"/>
  <c r="O574" i="5"/>
  <c r="I574" i="5" s="1"/>
  <c r="O575" i="5"/>
  <c r="G575" i="5" s="1"/>
  <c r="O576" i="5"/>
  <c r="H576" i="5" s="1"/>
  <c r="O577" i="5"/>
  <c r="O578" i="5"/>
  <c r="O579" i="5"/>
  <c r="O580" i="5"/>
  <c r="O581" i="5"/>
  <c r="O582" i="5"/>
  <c r="O583" i="5"/>
  <c r="H583" i="5" s="1"/>
  <c r="O584" i="5"/>
  <c r="I584" i="5" s="1"/>
  <c r="O585" i="5"/>
  <c r="G585" i="5" s="1"/>
  <c r="O586" i="5"/>
  <c r="H586" i="5" s="1"/>
  <c r="J586" i="5" s="1"/>
  <c r="O587" i="5"/>
  <c r="H587" i="5" s="1"/>
  <c r="O588" i="5"/>
  <c r="O589" i="5"/>
  <c r="O590" i="5"/>
  <c r="O591" i="5"/>
  <c r="O592" i="5"/>
  <c r="O593" i="5"/>
  <c r="O594" i="5"/>
  <c r="O595" i="5"/>
  <c r="O596" i="5"/>
  <c r="H596" i="5" s="1"/>
  <c r="O597" i="5"/>
  <c r="O598" i="5"/>
  <c r="H598" i="5" s="1"/>
  <c r="O599" i="5"/>
  <c r="O600" i="5"/>
  <c r="I600" i="5" s="1"/>
  <c r="O601" i="5"/>
  <c r="O602" i="5"/>
  <c r="G602" i="5" s="1"/>
  <c r="O603" i="5"/>
  <c r="I603" i="5" s="1"/>
  <c r="O604" i="5"/>
  <c r="O605" i="5"/>
  <c r="O606" i="5"/>
  <c r="O607" i="5"/>
  <c r="G607" i="5" s="1"/>
  <c r="O608" i="5"/>
  <c r="H608" i="5" s="1"/>
  <c r="O609" i="5"/>
  <c r="H609" i="5" s="1"/>
  <c r="O610" i="5"/>
  <c r="I610" i="5" s="1"/>
  <c r="O611" i="5"/>
  <c r="O612" i="5"/>
  <c r="O613" i="5"/>
  <c r="O614" i="5"/>
  <c r="I614" i="5" s="1"/>
  <c r="O615" i="5"/>
  <c r="I615" i="5" s="1"/>
  <c r="O616" i="5"/>
  <c r="G616" i="5" s="1"/>
  <c r="O617" i="5"/>
  <c r="G617" i="5" s="1"/>
  <c r="O618" i="5"/>
  <c r="O619" i="5"/>
  <c r="H619" i="5" s="1"/>
  <c r="O620" i="5"/>
  <c r="I620" i="5" s="1"/>
  <c r="O621" i="5"/>
  <c r="O622" i="5"/>
  <c r="O623" i="5"/>
  <c r="H623" i="5" s="1"/>
  <c r="O624" i="5"/>
  <c r="I624" i="5" s="1"/>
  <c r="O625" i="5"/>
  <c r="O626" i="5"/>
  <c r="O627" i="5"/>
  <c r="O628" i="5"/>
  <c r="O629" i="5"/>
  <c r="I629" i="5" s="1"/>
  <c r="O630" i="5"/>
  <c r="O631" i="5"/>
  <c r="I631" i="5" s="1"/>
  <c r="O632" i="5"/>
  <c r="I632" i="5" s="1"/>
  <c r="O633" i="5"/>
  <c r="I633" i="5" s="1"/>
  <c r="O634" i="5"/>
  <c r="G634" i="5" s="1"/>
  <c r="O635" i="5"/>
  <c r="O636" i="5"/>
  <c r="O637" i="5"/>
  <c r="I637" i="5" s="1"/>
  <c r="O638" i="5"/>
  <c r="O639" i="5"/>
  <c r="I639" i="5" s="1"/>
  <c r="O640" i="5"/>
  <c r="H640" i="5" s="1"/>
  <c r="O641" i="5"/>
  <c r="I641" i="5" s="1"/>
  <c r="O642" i="5"/>
  <c r="O643" i="5"/>
  <c r="O644" i="5"/>
  <c r="O645" i="5"/>
  <c r="O646" i="5"/>
  <c r="O647" i="5"/>
  <c r="G647" i="5" s="1"/>
  <c r="O648" i="5"/>
  <c r="O649" i="5"/>
  <c r="I649" i="5" s="1"/>
  <c r="O650" i="5"/>
  <c r="O651" i="5"/>
  <c r="O652" i="5"/>
  <c r="O653" i="5"/>
  <c r="O654" i="5"/>
  <c r="H654" i="5" s="1"/>
  <c r="O655" i="5"/>
  <c r="H655" i="5" s="1"/>
  <c r="O656" i="5"/>
  <c r="O657" i="5"/>
  <c r="O658" i="5"/>
  <c r="O659" i="5"/>
  <c r="I659" i="5" s="1"/>
  <c r="O660" i="5"/>
  <c r="I660" i="5" s="1"/>
  <c r="O661" i="5"/>
  <c r="O662" i="5"/>
  <c r="I662" i="5" s="1"/>
  <c r="O663" i="5"/>
  <c r="O664" i="5"/>
  <c r="G664" i="5" s="1"/>
  <c r="O665" i="5"/>
  <c r="G665" i="5" s="1"/>
  <c r="O666" i="5"/>
  <c r="G666" i="5" s="1"/>
  <c r="O667" i="5"/>
  <c r="H667" i="5" s="1"/>
  <c r="O668" i="5"/>
  <c r="H668" i="5" s="1"/>
  <c r="O669" i="5"/>
  <c r="O670" i="5"/>
  <c r="O671" i="5"/>
  <c r="I671" i="5" s="1"/>
  <c r="O672" i="5"/>
  <c r="I672" i="5" s="1"/>
  <c r="O673" i="5"/>
  <c r="O674" i="5"/>
  <c r="O675" i="5"/>
  <c r="O676" i="5"/>
  <c r="O677" i="5"/>
  <c r="O678" i="5"/>
  <c r="O679" i="5"/>
  <c r="O680" i="5"/>
  <c r="G680" i="5" s="1"/>
  <c r="O681" i="5"/>
  <c r="H681" i="5" s="1"/>
  <c r="O682" i="5"/>
  <c r="I682" i="5" s="1"/>
  <c r="O683" i="5"/>
  <c r="I683" i="5" s="1"/>
  <c r="O684" i="5"/>
  <c r="O685" i="5"/>
  <c r="O686" i="5"/>
  <c r="O687" i="5"/>
  <c r="I687" i="5" s="1"/>
  <c r="O688" i="5"/>
  <c r="I688" i="5" s="1"/>
  <c r="O689" i="5"/>
  <c r="H689" i="5" s="1"/>
  <c r="O690" i="5"/>
  <c r="O691" i="5"/>
  <c r="G691" i="5" s="1"/>
  <c r="O692" i="5"/>
  <c r="I692" i="5" s="1"/>
  <c r="O693" i="5"/>
  <c r="O694" i="5"/>
  <c r="H694" i="5" s="1"/>
  <c r="O695" i="5"/>
  <c r="I695" i="5" s="1"/>
  <c r="O696" i="5"/>
  <c r="I696" i="5" s="1"/>
  <c r="O697" i="5"/>
  <c r="O698" i="5"/>
  <c r="O699" i="5"/>
  <c r="I699" i="5" s="1"/>
  <c r="O700" i="5"/>
  <c r="O701" i="5"/>
  <c r="O702" i="5"/>
  <c r="O703" i="5"/>
  <c r="H703" i="5" s="1"/>
  <c r="O704" i="5"/>
  <c r="H704" i="5" s="1"/>
  <c r="O705" i="5"/>
  <c r="O706" i="5"/>
  <c r="H706" i="5" s="1"/>
  <c r="O707" i="5"/>
  <c r="H707" i="5" s="1"/>
  <c r="O708" i="5"/>
  <c r="O709" i="5"/>
  <c r="O710" i="5"/>
  <c r="O711" i="5"/>
  <c r="I711" i="5" s="1"/>
  <c r="O712" i="5"/>
  <c r="O713" i="5"/>
  <c r="G713" i="5" s="1"/>
  <c r="O714" i="5"/>
  <c r="O715" i="5"/>
  <c r="H715" i="5" s="1"/>
  <c r="O716" i="5"/>
  <c r="H716" i="5" s="1"/>
  <c r="O717" i="5"/>
  <c r="O718" i="5"/>
  <c r="I718" i="5" s="1"/>
  <c r="O719" i="5"/>
  <c r="O720" i="5"/>
  <c r="O721" i="5"/>
  <c r="O722" i="5"/>
  <c r="O723" i="5"/>
  <c r="O724" i="5"/>
  <c r="O725" i="5"/>
  <c r="O726" i="5"/>
  <c r="I726" i="5" s="1"/>
  <c r="O727" i="5"/>
  <c r="G727" i="5" s="1"/>
  <c r="O728" i="5"/>
  <c r="O729" i="5"/>
  <c r="O730" i="5"/>
  <c r="G730" i="5" s="1"/>
  <c r="O731" i="5"/>
  <c r="O732" i="5"/>
  <c r="O733" i="5"/>
  <c r="O734" i="5"/>
  <c r="H734" i="5" s="1"/>
  <c r="O735" i="5"/>
  <c r="O736" i="5"/>
  <c r="O737" i="5"/>
  <c r="O738" i="5"/>
  <c r="O739" i="5"/>
  <c r="H739" i="5" s="1"/>
  <c r="O740" i="5"/>
  <c r="O741" i="5"/>
  <c r="O742" i="5"/>
  <c r="O743" i="5"/>
  <c r="H743" i="5" s="1"/>
  <c r="O744" i="5"/>
  <c r="G744" i="5" s="1"/>
  <c r="O745" i="5"/>
  <c r="I745" i="5" s="1"/>
  <c r="O746" i="5"/>
  <c r="O747" i="5"/>
  <c r="O748" i="5"/>
  <c r="O749" i="5"/>
  <c r="O750" i="5"/>
  <c r="O751" i="5"/>
  <c r="O752" i="5"/>
  <c r="I752" i="5" s="1"/>
  <c r="O753" i="5"/>
  <c r="H753" i="5" s="1"/>
  <c r="O754" i="5"/>
  <c r="O755" i="5"/>
  <c r="H755" i="5" s="1"/>
  <c r="O756" i="5"/>
  <c r="H756" i="5" s="1"/>
  <c r="O757" i="5"/>
  <c r="I757" i="5" s="1"/>
  <c r="O758" i="5"/>
  <c r="O759" i="5"/>
  <c r="O760" i="5"/>
  <c r="O761" i="5"/>
  <c r="O762" i="5"/>
  <c r="O763" i="5"/>
  <c r="H763" i="5" s="1"/>
  <c r="O764" i="5"/>
  <c r="G764" i="5" s="1"/>
  <c r="O765" i="5"/>
  <c r="O766" i="5"/>
  <c r="H766" i="5" s="1"/>
  <c r="O767" i="5"/>
  <c r="H767" i="5" s="1"/>
  <c r="O768" i="5"/>
  <c r="O769" i="5"/>
  <c r="O770" i="5"/>
  <c r="G770" i="5" s="1"/>
  <c r="O771" i="5"/>
  <c r="I771" i="5" s="1"/>
  <c r="O772" i="5"/>
  <c r="G772" i="5" s="1"/>
  <c r="O773" i="5"/>
  <c r="G773" i="5" s="1"/>
  <c r="O774" i="5"/>
  <c r="I774" i="5" s="1"/>
  <c r="O775" i="5"/>
  <c r="O776" i="5"/>
  <c r="I776" i="5" s="1"/>
  <c r="O777" i="5"/>
  <c r="O778" i="5"/>
  <c r="O779" i="5"/>
  <c r="I779" i="5" s="1"/>
  <c r="O780" i="5"/>
  <c r="O781" i="5"/>
  <c r="O782" i="5"/>
  <c r="O783" i="5"/>
  <c r="O784" i="5"/>
  <c r="G784" i="5" s="1"/>
  <c r="O785" i="5"/>
  <c r="G785" i="5" s="1"/>
  <c r="O786" i="5"/>
  <c r="G786" i="5" s="1"/>
  <c r="O787" i="5"/>
  <c r="O788" i="5"/>
  <c r="I788" i="5" s="1"/>
  <c r="O789" i="5"/>
  <c r="I789" i="5" s="1"/>
  <c r="O790" i="5"/>
  <c r="H790" i="5" s="1"/>
  <c r="O791" i="5"/>
  <c r="I791" i="5" s="1"/>
  <c r="O792" i="5"/>
  <c r="G792" i="5" s="1"/>
  <c r="O793" i="5"/>
  <c r="O794" i="5"/>
  <c r="O795" i="5"/>
  <c r="O796" i="5"/>
  <c r="I796" i="5" s="1"/>
  <c r="O797" i="5"/>
  <c r="I797" i="5" s="1"/>
  <c r="O798" i="5"/>
  <c r="G798" i="5" s="1"/>
  <c r="O799" i="5"/>
  <c r="O800" i="5"/>
  <c r="G800" i="5" s="1"/>
  <c r="O801" i="5"/>
  <c r="O802" i="5"/>
  <c r="I802" i="5" s="1"/>
  <c r="O803" i="5"/>
  <c r="O804" i="5"/>
  <c r="I804" i="5" s="1"/>
  <c r="O805" i="5"/>
  <c r="O806" i="5"/>
  <c r="O807" i="5"/>
  <c r="O808" i="5"/>
  <c r="I808" i="5" s="1"/>
  <c r="O809" i="5"/>
  <c r="O810" i="5"/>
  <c r="O811" i="5"/>
  <c r="O812" i="5"/>
  <c r="O813" i="5"/>
  <c r="O814" i="5"/>
  <c r="O815" i="5"/>
  <c r="I815" i="5" s="1"/>
  <c r="O816" i="5"/>
  <c r="H816" i="5" s="1"/>
  <c r="O817" i="5"/>
  <c r="O818" i="5"/>
  <c r="H818" i="5" s="1"/>
  <c r="O819" i="5"/>
  <c r="O820" i="5"/>
  <c r="O821" i="5"/>
  <c r="O822" i="5"/>
  <c r="G822" i="5" s="1"/>
  <c r="O823" i="5"/>
  <c r="H823" i="5" s="1"/>
  <c r="O824" i="5"/>
  <c r="O825" i="5"/>
  <c r="I825" i="5" s="1"/>
  <c r="O826" i="5"/>
  <c r="I826" i="5" s="1"/>
  <c r="O827" i="5"/>
  <c r="I827" i="5" s="1"/>
  <c r="O828" i="5"/>
  <c r="I828" i="5" s="1"/>
  <c r="O829" i="5"/>
  <c r="O830" i="5"/>
  <c r="G830" i="5" s="1"/>
  <c r="O831" i="5"/>
  <c r="I831" i="5" s="1"/>
  <c r="O832" i="5"/>
  <c r="H832" i="5" s="1"/>
  <c r="O833" i="5"/>
  <c r="H833" i="5" s="1"/>
  <c r="O834" i="5"/>
  <c r="G834" i="5" s="1"/>
  <c r="O835" i="5"/>
  <c r="O836" i="5"/>
  <c r="O837" i="5"/>
  <c r="G837" i="5" s="1"/>
  <c r="O838" i="5"/>
  <c r="O839" i="5"/>
  <c r="O840" i="5"/>
  <c r="O841" i="5"/>
  <c r="O842" i="5"/>
  <c r="G842" i="5" s="1"/>
  <c r="O843" i="5"/>
  <c r="O844" i="5"/>
  <c r="G844" i="5" s="1"/>
  <c r="O845" i="5"/>
  <c r="G845" i="5" s="1"/>
  <c r="O846" i="5"/>
  <c r="G846" i="5" s="1"/>
  <c r="O847" i="5"/>
  <c r="G847" i="5" s="1"/>
  <c r="O848" i="5"/>
  <c r="O849" i="5"/>
  <c r="O850" i="5"/>
  <c r="G850" i="5" s="1"/>
  <c r="O851" i="5"/>
  <c r="G851" i="5" s="1"/>
  <c r="O852" i="5"/>
  <c r="O853" i="5"/>
  <c r="O854" i="5"/>
  <c r="O855" i="5"/>
  <c r="I855" i="5" s="1"/>
  <c r="O856" i="5"/>
  <c r="G856" i="5" s="1"/>
  <c r="O857" i="5"/>
  <c r="G857" i="5" s="1"/>
  <c r="O858" i="5"/>
  <c r="G858" i="5" s="1"/>
  <c r="O859" i="5"/>
  <c r="H859" i="5" s="1"/>
  <c r="O860" i="5"/>
  <c r="H860" i="5" s="1"/>
  <c r="O861" i="5"/>
  <c r="H861" i="5" s="1"/>
  <c r="O862" i="5"/>
  <c r="O863" i="5"/>
  <c r="H863" i="5" s="1"/>
  <c r="O864" i="5"/>
  <c r="G864" i="5" s="1"/>
  <c r="O865" i="5"/>
  <c r="G865" i="5" s="1"/>
  <c r="O866" i="5"/>
  <c r="O867" i="5"/>
  <c r="O868" i="5"/>
  <c r="O869" i="5"/>
  <c r="O870" i="5"/>
  <c r="O871" i="5"/>
  <c r="H871" i="5" s="1"/>
  <c r="O872" i="5"/>
  <c r="G872" i="5" s="1"/>
  <c r="O873" i="5"/>
  <c r="O874" i="5"/>
  <c r="O875" i="5"/>
  <c r="G875" i="5" s="1"/>
  <c r="O876" i="5"/>
  <c r="O877" i="5"/>
  <c r="O878" i="5"/>
  <c r="I878" i="5" s="1"/>
  <c r="O879" i="5"/>
  <c r="O880" i="5"/>
  <c r="O881" i="5"/>
  <c r="I881" i="5" s="1"/>
  <c r="O882" i="5"/>
  <c r="I882" i="5" s="1"/>
  <c r="O883" i="5"/>
  <c r="O884" i="5"/>
  <c r="G884" i="5" s="1"/>
  <c r="O885" i="5"/>
  <c r="O886" i="5"/>
  <c r="H886" i="5" s="1"/>
  <c r="O887" i="5"/>
  <c r="O888" i="5"/>
  <c r="I888" i="5" s="1"/>
  <c r="O889" i="5"/>
  <c r="I889" i="5" s="1"/>
  <c r="O890" i="5"/>
  <c r="O891" i="5"/>
  <c r="O892" i="5"/>
  <c r="O893" i="5"/>
  <c r="O894" i="5"/>
  <c r="O895" i="5"/>
  <c r="O896" i="5"/>
  <c r="I896" i="5" s="1"/>
  <c r="O897" i="5"/>
  <c r="O898" i="5"/>
  <c r="G898" i="5" s="1"/>
  <c r="O899" i="5"/>
  <c r="O900" i="5"/>
  <c r="G900" i="5" s="1"/>
  <c r="O901" i="5"/>
  <c r="O902" i="5"/>
  <c r="O903" i="5"/>
  <c r="O904" i="5"/>
  <c r="O905" i="5"/>
  <c r="O906" i="5"/>
  <c r="I906" i="5" s="1"/>
  <c r="O907" i="5"/>
  <c r="H907" i="5" s="1"/>
  <c r="O908" i="5"/>
  <c r="G908" i="5" s="1"/>
  <c r="O909" i="5"/>
  <c r="O910" i="5"/>
  <c r="H910" i="5" s="1"/>
  <c r="O911" i="5"/>
  <c r="O912" i="5"/>
  <c r="O913" i="5"/>
  <c r="O914" i="5"/>
  <c r="G914" i="5" s="1"/>
  <c r="O915" i="5"/>
  <c r="I915" i="5" s="1"/>
  <c r="O916" i="5"/>
  <c r="G916" i="5" s="1"/>
  <c r="O917" i="5"/>
  <c r="O918" i="5"/>
  <c r="O919" i="5"/>
  <c r="O920" i="5"/>
  <c r="O921" i="5"/>
  <c r="I921" i="5" s="1"/>
  <c r="O922" i="5"/>
  <c r="I922" i="5" s="1"/>
  <c r="O923" i="5"/>
  <c r="O924" i="5"/>
  <c r="I924" i="5" s="1"/>
  <c r="O925" i="5"/>
  <c r="O926" i="5"/>
  <c r="G926" i="5" s="1"/>
  <c r="O927" i="5"/>
  <c r="O928" i="5"/>
  <c r="G928" i="5" s="1"/>
  <c r="O929" i="5"/>
  <c r="G929" i="5" s="1"/>
  <c r="O930" i="5"/>
  <c r="G930" i="5" s="1"/>
  <c r="O931" i="5"/>
  <c r="I931" i="5" s="1"/>
  <c r="O932" i="5"/>
  <c r="O933" i="5"/>
  <c r="I933" i="5" s="1"/>
  <c r="O934" i="5"/>
  <c r="H934" i="5" s="1"/>
  <c r="O935" i="5"/>
  <c r="O936" i="5"/>
  <c r="O937" i="5"/>
  <c r="G937" i="5" s="1"/>
  <c r="O938" i="5"/>
  <c r="I938" i="5" s="1"/>
  <c r="O939" i="5"/>
  <c r="O940" i="5"/>
  <c r="I940" i="5" s="1"/>
  <c r="O941" i="5"/>
  <c r="G941" i="5" s="1"/>
  <c r="O942" i="5"/>
  <c r="O943" i="5"/>
  <c r="H943" i="5" s="1"/>
  <c r="O944" i="5"/>
  <c r="O945" i="5"/>
  <c r="O946" i="5"/>
  <c r="I946" i="5" s="1"/>
  <c r="O947" i="5"/>
  <c r="O948" i="5"/>
  <c r="H948" i="5" s="1"/>
  <c r="O949" i="5"/>
  <c r="I949" i="5" s="1"/>
  <c r="O950" i="5"/>
  <c r="O951" i="5"/>
  <c r="O952" i="5"/>
  <c r="G952" i="5" s="1"/>
  <c r="O953" i="5"/>
  <c r="O954" i="5"/>
  <c r="O955" i="5"/>
  <c r="O956" i="5"/>
  <c r="G956" i="5" s="1"/>
  <c r="O957" i="5"/>
  <c r="O958" i="5"/>
  <c r="I958" i="5" s="1"/>
  <c r="O959" i="5"/>
  <c r="O960" i="5"/>
  <c r="O961" i="5"/>
  <c r="I961" i="5" s="1"/>
  <c r="O962" i="5"/>
  <c r="O963" i="5"/>
  <c r="O964" i="5"/>
  <c r="O965" i="5"/>
  <c r="G965" i="5" s="1"/>
  <c r="O966" i="5"/>
  <c r="G966" i="5" s="1"/>
  <c r="O967" i="5"/>
  <c r="G967" i="5" s="1"/>
  <c r="O968" i="5"/>
  <c r="O969" i="5"/>
  <c r="I969" i="5" s="1"/>
  <c r="O970" i="5"/>
  <c r="G970" i="5" s="1"/>
  <c r="O971" i="5"/>
  <c r="O972" i="5"/>
  <c r="O973" i="5"/>
  <c r="I973" i="5" s="1"/>
  <c r="O974" i="5"/>
  <c r="O975" i="5"/>
  <c r="I975" i="5" s="1"/>
  <c r="O976" i="5"/>
  <c r="O977" i="5"/>
  <c r="H977" i="5" s="1"/>
  <c r="O978" i="5"/>
  <c r="O979" i="5"/>
  <c r="H979" i="5" s="1"/>
  <c r="O980" i="5"/>
  <c r="I980" i="5" s="1"/>
  <c r="O981" i="5"/>
  <c r="O982" i="5"/>
  <c r="O983" i="5"/>
  <c r="O984" i="5"/>
  <c r="O985" i="5"/>
  <c r="O986" i="5"/>
  <c r="G986" i="5" s="1"/>
  <c r="O987" i="5"/>
  <c r="I987" i="5" s="1"/>
  <c r="O988" i="5"/>
  <c r="O989" i="5"/>
  <c r="I989" i="5" s="1"/>
  <c r="O990" i="5"/>
  <c r="H990" i="5" s="1"/>
  <c r="O991" i="5"/>
  <c r="H991" i="5" s="1"/>
  <c r="O992" i="5"/>
  <c r="O993" i="5"/>
  <c r="O994" i="5"/>
  <c r="H994" i="5" s="1"/>
  <c r="O995" i="5"/>
  <c r="O996" i="5"/>
  <c r="O997" i="5"/>
  <c r="O998" i="5"/>
  <c r="O999" i="5"/>
  <c r="O1000" i="5"/>
  <c r="G1000" i="5" s="1"/>
  <c r="O1001" i="5"/>
  <c r="G1001" i="5" s="1"/>
  <c r="O1002" i="5"/>
  <c r="O1003" i="5"/>
  <c r="I1003" i="5" s="1"/>
  <c r="O1004" i="5"/>
  <c r="H1004" i="5" s="1"/>
  <c r="O1005" i="5"/>
  <c r="G1005" i="5" s="1"/>
  <c r="O1006" i="5"/>
  <c r="H1006" i="5" s="1"/>
  <c r="O1007" i="5"/>
  <c r="H1007" i="5" s="1"/>
  <c r="O1008" i="5"/>
  <c r="I1008" i="5" s="1"/>
  <c r="O1009" i="5"/>
  <c r="O1010" i="5"/>
  <c r="O1011" i="5"/>
  <c r="O1012" i="5"/>
  <c r="O1013" i="5"/>
  <c r="G1013" i="5" s="1"/>
  <c r="O1014" i="5"/>
  <c r="G1014" i="5" s="1"/>
  <c r="O1015" i="5"/>
  <c r="H1015" i="5" s="1"/>
  <c r="O1016" i="5"/>
  <c r="O1017" i="5"/>
  <c r="G1017" i="5" s="1"/>
  <c r="O1018" i="5"/>
  <c r="H1018" i="5" s="1"/>
  <c r="O1019" i="5"/>
  <c r="H1019" i="5" s="1"/>
  <c r="O1020" i="5"/>
  <c r="G1020" i="5" s="1"/>
  <c r="O1021" i="5"/>
  <c r="O1022" i="5"/>
  <c r="O1023" i="5"/>
  <c r="O1024" i="5"/>
  <c r="O1025" i="5"/>
  <c r="O1026" i="5"/>
  <c r="G1026" i="5" s="1"/>
  <c r="O1027" i="5"/>
  <c r="O1028" i="5"/>
  <c r="G1028" i="5" s="1"/>
  <c r="O1029" i="5"/>
  <c r="I1029" i="5" s="1"/>
  <c r="O1030" i="5"/>
  <c r="I1030" i="5" s="1"/>
  <c r="O1031" i="5"/>
  <c r="H1031" i="5" s="1"/>
  <c r="O1032" i="5"/>
  <c r="O1033" i="5"/>
  <c r="O1034" i="5"/>
  <c r="O1035" i="5"/>
  <c r="O1036" i="5"/>
  <c r="O1037" i="5"/>
  <c r="O1038" i="5"/>
  <c r="I1038" i="5" s="1"/>
  <c r="O1039" i="5"/>
  <c r="O1040" i="5"/>
  <c r="G1040" i="5" s="1"/>
  <c r="O1041" i="5"/>
  <c r="H1041" i="5" s="1"/>
  <c r="O1042" i="5"/>
  <c r="O1043" i="5"/>
  <c r="H1043" i="5" s="1"/>
  <c r="O1044" i="5"/>
  <c r="O1045" i="5"/>
  <c r="O1046" i="5"/>
  <c r="O1047" i="5"/>
  <c r="I1047" i="5" s="1"/>
  <c r="O1048" i="5"/>
  <c r="O1049" i="5"/>
  <c r="O1050" i="5"/>
  <c r="O1051" i="5"/>
  <c r="H1051" i="5" s="1"/>
  <c r="O1052" i="5"/>
  <c r="G1052" i="5" s="1"/>
  <c r="O1053" i="5"/>
  <c r="O1054" i="5"/>
  <c r="H1054" i="5" s="1"/>
  <c r="O1055" i="5"/>
  <c r="H1055" i="5" s="1"/>
  <c r="O1056" i="5"/>
  <c r="O1057" i="5"/>
  <c r="O1058" i="5"/>
  <c r="H1058" i="5" s="1"/>
  <c r="O1059" i="5"/>
  <c r="H1059" i="5" s="1"/>
  <c r="O1060" i="5"/>
  <c r="O1061" i="5"/>
  <c r="O1062" i="5"/>
  <c r="O1063" i="5"/>
  <c r="I1063" i="5" s="1"/>
  <c r="O1064" i="5"/>
  <c r="I1064" i="5" s="1"/>
  <c r="O1065" i="5"/>
  <c r="O1066" i="5"/>
  <c r="G1066" i="5" s="1"/>
  <c r="O1067" i="5"/>
  <c r="G1067" i="5" s="1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G1079" i="5" s="1"/>
  <c r="O1080" i="5"/>
  <c r="I1080" i="5" s="1"/>
  <c r="O1081" i="5"/>
  <c r="O1082" i="5"/>
  <c r="O1083" i="5"/>
  <c r="O1084" i="5"/>
  <c r="I1084" i="5" s="1"/>
  <c r="O1085" i="5"/>
  <c r="H1085" i="5" s="1"/>
  <c r="O1086" i="5"/>
  <c r="H1086" i="5" s="1"/>
  <c r="O1087" i="5"/>
  <c r="H1087" i="5" s="1"/>
  <c r="O1088" i="5"/>
  <c r="O1089" i="5"/>
  <c r="O1090" i="5"/>
  <c r="H1090" i="5" s="1"/>
  <c r="O1091" i="5"/>
  <c r="H1091" i="5" s="1"/>
  <c r="O1092" i="5"/>
  <c r="O1093" i="5"/>
  <c r="O1094" i="5"/>
  <c r="O1095" i="5"/>
  <c r="O1096" i="5"/>
  <c r="O1097" i="5"/>
  <c r="H1097" i="5" s="1"/>
  <c r="O1098" i="5"/>
  <c r="H1098" i="5" s="1"/>
  <c r="O1099" i="5"/>
  <c r="H1099" i="5" s="1"/>
  <c r="O1100" i="5"/>
  <c r="I1100" i="5" s="1"/>
  <c r="O1101" i="5"/>
  <c r="I1101" i="5" s="1"/>
  <c r="O1102" i="5"/>
  <c r="O1103" i="5"/>
  <c r="H1103" i="5" s="1"/>
  <c r="O1104" i="5"/>
  <c r="O1105" i="5"/>
  <c r="O1106" i="5"/>
  <c r="G1106" i="5" s="1"/>
  <c r="O1107" i="5"/>
  <c r="O1108" i="5"/>
  <c r="O1109" i="5"/>
  <c r="O1110" i="5"/>
  <c r="O1111" i="5"/>
  <c r="O1112" i="5"/>
  <c r="O1113" i="5"/>
  <c r="O1114" i="5"/>
  <c r="I1114" i="5" s="1"/>
  <c r="O1115" i="5"/>
  <c r="O1116" i="5"/>
  <c r="O1117" i="5"/>
  <c r="O1118" i="5"/>
  <c r="G1118" i="5" s="1"/>
  <c r="O1119" i="5"/>
  <c r="G1119" i="5" s="1"/>
  <c r="O1120" i="5"/>
  <c r="I1120" i="5" s="1"/>
  <c r="O1121" i="5"/>
  <c r="O1122" i="5"/>
  <c r="O1123" i="5"/>
  <c r="G1123" i="5" s="1"/>
  <c r="O1124" i="5"/>
  <c r="G1124" i="5" s="1"/>
  <c r="O1125" i="5"/>
  <c r="O1126" i="5"/>
  <c r="O1127" i="5"/>
  <c r="I1127" i="5" s="1"/>
  <c r="O1128" i="5"/>
  <c r="O1129" i="5"/>
  <c r="I1129" i="5" s="1"/>
  <c r="O1130" i="5"/>
  <c r="G1130" i="5" s="1"/>
  <c r="O1131" i="5"/>
  <c r="G1131" i="5" s="1"/>
  <c r="O1132" i="5"/>
  <c r="O1133" i="5"/>
  <c r="G1133" i="5" s="1"/>
  <c r="O1134" i="5"/>
  <c r="O1135" i="5"/>
  <c r="O1136" i="5"/>
  <c r="O1137" i="5"/>
  <c r="O1138" i="5"/>
  <c r="I1138" i="5" s="1"/>
  <c r="O1139" i="5"/>
  <c r="I1139" i="5" s="1"/>
  <c r="O1140" i="5"/>
  <c r="I1140" i="5" s="1"/>
  <c r="O1141" i="5"/>
  <c r="I1141" i="5" s="1"/>
  <c r="O1142" i="5"/>
  <c r="I1142" i="5" s="1"/>
  <c r="O1143" i="5"/>
  <c r="G1143" i="5" s="1"/>
  <c r="O1144" i="5"/>
  <c r="I1144" i="5" s="1"/>
  <c r="O1145" i="5"/>
  <c r="G1145" i="5" s="1"/>
  <c r="O1146" i="5"/>
  <c r="O1147" i="5"/>
  <c r="I1147" i="5" s="1"/>
  <c r="O1148" i="5"/>
  <c r="O1149" i="5"/>
  <c r="O1150" i="5"/>
  <c r="O1151" i="5"/>
  <c r="I1151" i="5" s="1"/>
  <c r="O1152" i="5"/>
  <c r="G1152" i="5" s="1"/>
  <c r="O1153" i="5"/>
  <c r="G1153" i="5" s="1"/>
  <c r="O1154" i="5"/>
  <c r="O1155" i="5"/>
  <c r="I1155" i="5" s="1"/>
  <c r="O1156" i="5"/>
  <c r="I1156" i="5" s="1"/>
  <c r="O1157" i="5"/>
  <c r="G1157" i="5" s="1"/>
  <c r="O1158" i="5"/>
  <c r="G1158" i="5" s="1"/>
  <c r="O1159" i="5"/>
  <c r="O1160" i="5"/>
  <c r="H1160" i="5" s="1"/>
  <c r="O1161" i="5"/>
  <c r="O1162" i="5"/>
  <c r="O1163" i="5"/>
  <c r="O1164" i="5"/>
  <c r="O1165" i="5"/>
  <c r="G1165" i="5" s="1"/>
  <c r="O1166" i="5"/>
  <c r="O1167" i="5"/>
  <c r="O1168" i="5"/>
  <c r="O1169" i="5"/>
  <c r="O1170" i="5"/>
  <c r="G1170" i="5" s="1"/>
  <c r="O1171" i="5"/>
  <c r="H1171" i="5" s="1"/>
  <c r="O1172" i="5"/>
  <c r="O1173" i="5"/>
  <c r="O1174" i="5"/>
  <c r="O1175" i="5"/>
  <c r="O1176" i="5"/>
  <c r="O1177" i="5"/>
  <c r="I1177" i="5" s="1"/>
  <c r="O1178" i="5"/>
  <c r="I1178" i="5" s="1"/>
  <c r="O1179" i="5"/>
  <c r="I1179" i="5" s="1"/>
  <c r="O1180" i="5"/>
  <c r="O1181" i="5"/>
  <c r="O1182" i="5"/>
  <c r="O1183" i="5"/>
  <c r="O1184" i="5"/>
  <c r="G1184" i="5" s="1"/>
  <c r="O1185" i="5"/>
  <c r="O1186" i="5"/>
  <c r="O1187" i="5"/>
  <c r="I1187" i="5" s="1"/>
  <c r="O1188" i="5"/>
  <c r="O1189" i="5"/>
  <c r="O1190" i="5"/>
  <c r="O1191" i="5"/>
  <c r="I1191" i="5" s="1"/>
  <c r="O1192" i="5"/>
  <c r="I1192" i="5" s="1"/>
  <c r="O1193" i="5"/>
  <c r="G1193" i="5" s="1"/>
  <c r="O1194" i="5"/>
  <c r="O1195" i="5"/>
  <c r="G1195" i="5" s="1"/>
  <c r="O1196" i="5"/>
  <c r="O1197" i="5"/>
  <c r="O1198" i="5"/>
  <c r="O1199" i="5"/>
  <c r="O1200" i="5"/>
  <c r="I1200" i="5" s="1"/>
  <c r="O1201" i="5"/>
  <c r="I1201" i="5" s="1"/>
  <c r="O1202" i="5"/>
  <c r="O1203" i="5"/>
  <c r="O1204" i="5"/>
  <c r="O1205" i="5"/>
  <c r="O1206" i="5"/>
  <c r="I1206" i="5" s="1"/>
  <c r="O1207" i="5"/>
  <c r="H1207" i="5" s="1"/>
  <c r="O1208" i="5"/>
  <c r="O1209" i="5"/>
  <c r="I1209" i="5" s="1"/>
  <c r="O1210" i="5"/>
  <c r="I1210" i="5" s="1"/>
  <c r="O1211" i="5"/>
  <c r="I1211" i="5" s="1"/>
  <c r="O1212" i="5"/>
  <c r="O1213" i="5"/>
  <c r="O1214" i="5"/>
  <c r="O1215" i="5"/>
  <c r="O1216" i="5"/>
  <c r="O1217" i="5"/>
  <c r="O1218" i="5"/>
  <c r="O1219" i="5"/>
  <c r="O1220" i="5"/>
  <c r="G1220" i="5" s="1"/>
  <c r="O1221" i="5"/>
  <c r="O1222" i="5"/>
  <c r="O1223" i="5"/>
  <c r="I1223" i="5" s="1"/>
  <c r="O1224" i="5"/>
  <c r="O1225" i="5"/>
  <c r="I1225" i="5" s="1"/>
  <c r="O1226" i="5"/>
  <c r="O1227" i="5"/>
  <c r="O1228" i="5"/>
  <c r="I1228" i="5" s="1"/>
  <c r="O1229" i="5"/>
  <c r="O1230" i="5"/>
  <c r="O1231" i="5"/>
  <c r="H1231" i="5" s="1"/>
  <c r="O1232" i="5"/>
  <c r="G1232" i="5" s="1"/>
  <c r="O1233" i="5"/>
  <c r="H1233" i="5" s="1"/>
  <c r="O1234" i="5"/>
  <c r="O1235" i="5"/>
  <c r="O1236" i="5"/>
  <c r="H1236" i="5" s="1"/>
  <c r="O1237" i="5"/>
  <c r="H1237" i="5" s="1"/>
  <c r="O1238" i="5"/>
  <c r="O1239" i="5"/>
  <c r="O1240" i="5"/>
  <c r="O1241" i="5"/>
  <c r="O1242" i="5"/>
  <c r="H1242" i="5" s="1"/>
  <c r="O1243" i="5"/>
  <c r="H1243" i="5" s="1"/>
  <c r="O1244" i="5"/>
  <c r="G1244" i="5" s="1"/>
  <c r="O1245" i="5"/>
  <c r="O1246" i="5"/>
  <c r="O1247" i="5"/>
  <c r="O1248" i="5"/>
  <c r="H1248" i="5" s="1"/>
  <c r="O1249" i="5"/>
  <c r="O1250" i="5"/>
  <c r="G1250" i="5" s="1"/>
  <c r="O1251" i="5"/>
  <c r="H1251" i="5" s="1"/>
  <c r="O1252" i="5"/>
  <c r="O1253" i="5"/>
  <c r="O1254" i="5"/>
  <c r="O1255" i="5"/>
  <c r="O1256" i="5"/>
  <c r="G1256" i="5" s="1"/>
  <c r="O1257" i="5"/>
  <c r="O1258" i="5"/>
  <c r="I1258" i="5" s="1"/>
  <c r="O1259" i="5"/>
  <c r="O1260" i="5"/>
  <c r="I1260" i="5" s="1"/>
  <c r="O1261" i="5"/>
  <c r="H1261" i="5" s="1"/>
  <c r="O1262" i="5"/>
  <c r="G1262" i="5" s="1"/>
  <c r="O1263" i="5"/>
  <c r="G1263" i="5" s="1"/>
  <c r="O1264" i="5"/>
  <c r="O1265" i="5"/>
  <c r="O1266" i="5"/>
  <c r="O1267" i="5"/>
  <c r="H1267" i="5" s="1"/>
  <c r="O1268" i="5"/>
  <c r="H1268" i="5" s="1"/>
  <c r="O1269" i="5"/>
  <c r="H1269" i="5" s="1"/>
  <c r="O1270" i="5"/>
  <c r="I1270" i="5" s="1"/>
  <c r="O1271" i="5"/>
  <c r="O1272" i="5"/>
  <c r="O1273" i="5"/>
  <c r="O1274" i="5"/>
  <c r="G1274" i="5" s="1"/>
  <c r="O1275" i="5"/>
  <c r="G1275" i="5" s="1"/>
  <c r="O1276" i="5"/>
  <c r="O1277" i="5"/>
  <c r="G1277" i="5" s="1"/>
  <c r="O1278" i="5"/>
  <c r="G1278" i="5" s="1"/>
  <c r="O1279" i="5"/>
  <c r="O1280" i="5"/>
  <c r="I1280" i="5" s="1"/>
  <c r="O1281" i="5"/>
  <c r="I1281" i="5" s="1"/>
  <c r="O1282" i="5"/>
  <c r="O1283" i="5"/>
  <c r="I1283" i="5" s="1"/>
  <c r="O1284" i="5"/>
  <c r="I1284" i="5" s="1"/>
  <c r="O1285" i="5"/>
  <c r="I1285" i="5" s="1"/>
  <c r="O1286" i="5"/>
  <c r="I1286" i="5" s="1"/>
  <c r="O1287" i="5"/>
  <c r="G1287" i="5" s="1"/>
  <c r="O1288" i="5"/>
  <c r="I1288" i="5" s="1"/>
  <c r="O1289" i="5"/>
  <c r="G1289" i="5" s="1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G1301" i="5" s="1"/>
  <c r="O1302" i="5"/>
  <c r="G1302" i="5" s="1"/>
  <c r="O1303" i="5"/>
  <c r="O1304" i="5"/>
  <c r="H1304" i="5" s="1"/>
  <c r="O1305" i="5"/>
  <c r="H1305" i="5" s="1"/>
  <c r="O1306" i="5"/>
  <c r="O1307" i="5"/>
  <c r="O1308" i="5"/>
  <c r="G1308" i="5" s="1"/>
  <c r="O1309" i="5"/>
  <c r="G1309" i="5" s="1"/>
  <c r="O1310" i="5"/>
  <c r="O1311" i="5"/>
  <c r="O1312" i="5"/>
  <c r="I1312" i="5" s="1"/>
  <c r="O1313" i="5"/>
  <c r="O1314" i="5"/>
  <c r="G1314" i="5" s="1"/>
  <c r="O1315" i="5"/>
  <c r="H1315" i="5" s="1"/>
  <c r="O1316" i="5"/>
  <c r="G1316" i="5" s="1"/>
  <c r="O1317" i="5"/>
  <c r="O1318" i="5"/>
  <c r="O1319" i="5"/>
  <c r="I1319" i="5" s="1"/>
  <c r="O1320" i="5"/>
  <c r="O1321" i="5"/>
  <c r="G1321" i="5" s="1"/>
  <c r="O1322" i="5"/>
  <c r="I1322" i="5" s="1"/>
  <c r="O1323" i="5"/>
  <c r="I1323" i="5" s="1"/>
  <c r="O1324" i="5"/>
  <c r="O1325" i="5"/>
  <c r="O1326" i="5"/>
  <c r="O1327" i="5"/>
  <c r="O1328" i="5"/>
  <c r="G1328" i="5" s="1"/>
  <c r="O1329" i="5"/>
  <c r="I1329" i="5" s="1"/>
  <c r="O1330" i="5"/>
  <c r="I1330" i="5" s="1"/>
  <c r="O1331" i="5"/>
  <c r="I1331" i="5" s="1"/>
  <c r="O1332" i="5"/>
  <c r="O1333" i="5"/>
  <c r="I1333" i="5" s="1"/>
  <c r="O1334" i="5"/>
  <c r="O1335" i="5"/>
  <c r="O1336" i="5"/>
  <c r="O1337" i="5"/>
  <c r="G1337" i="5" s="1"/>
  <c r="O1338" i="5"/>
  <c r="O1339" i="5"/>
  <c r="H1339" i="5" s="1"/>
  <c r="O1340" i="5"/>
  <c r="G1340" i="5" s="1"/>
  <c r="O1341" i="5"/>
  <c r="H1341" i="5" s="1"/>
  <c r="O1342" i="5"/>
  <c r="I1342" i="5" s="1"/>
  <c r="O1343" i="5"/>
  <c r="O1344" i="5"/>
  <c r="G1344" i="5" s="1"/>
  <c r="O1345" i="5"/>
  <c r="G1345" i="5" s="1"/>
  <c r="O1346" i="5"/>
  <c r="H1346" i="5" s="1"/>
  <c r="O1347" i="5"/>
  <c r="H1347" i="5" s="1"/>
  <c r="O1348" i="5"/>
  <c r="O1349" i="5"/>
  <c r="O1350" i="5"/>
  <c r="I1350" i="5" s="1"/>
  <c r="O1351" i="5"/>
  <c r="H1351" i="5" s="1"/>
  <c r="O1352" i="5"/>
  <c r="O1353" i="5"/>
  <c r="O1354" i="5"/>
  <c r="O1355" i="5"/>
  <c r="O1356" i="5"/>
  <c r="O1357" i="5"/>
  <c r="O1358" i="5"/>
  <c r="O1359" i="5"/>
  <c r="H1359" i="5" s="1"/>
  <c r="O1360" i="5"/>
  <c r="I1360" i="5" s="1"/>
  <c r="O1361" i="5"/>
  <c r="H1361" i="5" s="1"/>
  <c r="O1362" i="5"/>
  <c r="O1363" i="5"/>
  <c r="O1364" i="5"/>
  <c r="I1364" i="5" s="1"/>
  <c r="O1365" i="5"/>
  <c r="O1366" i="5"/>
  <c r="O1367" i="5"/>
  <c r="O1368" i="5"/>
  <c r="I1368" i="5" s="1"/>
  <c r="O1369" i="5"/>
  <c r="O1370" i="5"/>
  <c r="O1371" i="5"/>
  <c r="O1372" i="5"/>
  <c r="O1373" i="5"/>
  <c r="O1374" i="5"/>
  <c r="O1375" i="5"/>
  <c r="H1375" i="5" s="1"/>
  <c r="O1376" i="5"/>
  <c r="I1376" i="5" s="1"/>
  <c r="O1377" i="5"/>
  <c r="H1377" i="5" s="1"/>
  <c r="O1378" i="5"/>
  <c r="O1379" i="5"/>
  <c r="O1380" i="5"/>
  <c r="H1380" i="5" s="1"/>
  <c r="O1381" i="5"/>
  <c r="H1381" i="5" s="1"/>
  <c r="O1382" i="5"/>
  <c r="O1383" i="5"/>
  <c r="O1384" i="5"/>
  <c r="I1384" i="5" s="1"/>
  <c r="O1385" i="5"/>
  <c r="O1386" i="5"/>
  <c r="O1387" i="5"/>
  <c r="H1387" i="5" s="1"/>
  <c r="O1388" i="5"/>
  <c r="O1389" i="5"/>
  <c r="I1389" i="5" s="1"/>
  <c r="O1390" i="5"/>
  <c r="O1391" i="5"/>
  <c r="O1392" i="5"/>
  <c r="H1392" i="5" s="1"/>
  <c r="O1393" i="5"/>
  <c r="H1393" i="5" s="1"/>
  <c r="O1394" i="5"/>
  <c r="G1394" i="5" s="1"/>
  <c r="O1395" i="5"/>
  <c r="O1396" i="5"/>
  <c r="O1397" i="5"/>
  <c r="I1397" i="5" s="1"/>
  <c r="O1398" i="5"/>
  <c r="G1398" i="5" s="1"/>
  <c r="O1399" i="5"/>
  <c r="O1400" i="5"/>
  <c r="O1401" i="5"/>
  <c r="I1401" i="5" s="1"/>
  <c r="O1402" i="5"/>
  <c r="I1402" i="5" s="1"/>
  <c r="O1403" i="5"/>
  <c r="O1404" i="5"/>
  <c r="O1405" i="5"/>
  <c r="O1406" i="5"/>
  <c r="G1406" i="5" s="1"/>
  <c r="O1407" i="5"/>
  <c r="G1407" i="5" s="1"/>
  <c r="O1408" i="5"/>
  <c r="O1409" i="5"/>
  <c r="O1410" i="5"/>
  <c r="O1411" i="5"/>
  <c r="H1411" i="5" s="1"/>
  <c r="O1412" i="5"/>
  <c r="O1413" i="5"/>
  <c r="G1413" i="5" s="1"/>
  <c r="O1414" i="5"/>
  <c r="I1414" i="5" s="1"/>
  <c r="O1415" i="5"/>
  <c r="I1415" i="5" s="1"/>
  <c r="O1416" i="5"/>
  <c r="O1417" i="5"/>
  <c r="O1418" i="5"/>
  <c r="G1418" i="5" s="1"/>
  <c r="O1419" i="5"/>
  <c r="G1419" i="5" s="1"/>
  <c r="O1420" i="5"/>
  <c r="I1420" i="5" s="1"/>
  <c r="O1421" i="5"/>
  <c r="G1421" i="5" s="1"/>
  <c r="O1422" i="5"/>
  <c r="H1422" i="5" s="1"/>
  <c r="O1423" i="5"/>
  <c r="O1424" i="5"/>
  <c r="O1425" i="5"/>
  <c r="O1426" i="5"/>
  <c r="O1427" i="5"/>
  <c r="I1427" i="5" s="1"/>
  <c r="O1428" i="5"/>
  <c r="O1429" i="5"/>
  <c r="I1429" i="5" s="1"/>
  <c r="O1430" i="5"/>
  <c r="O1431" i="5"/>
  <c r="G1431" i="5" s="1"/>
  <c r="O1432" i="5"/>
  <c r="I1432" i="5" s="1"/>
  <c r="O1433" i="5"/>
  <c r="G1433" i="5" s="1"/>
  <c r="O1434" i="5"/>
  <c r="G1434" i="5" s="1"/>
  <c r="O1435" i="5"/>
  <c r="O1436" i="5"/>
  <c r="H1436" i="5" s="1"/>
  <c r="O1437" i="5"/>
  <c r="H1437" i="5" s="1"/>
  <c r="O1438" i="5"/>
  <c r="O1439" i="5"/>
  <c r="O1440" i="5"/>
  <c r="G1440" i="5" s="1"/>
  <c r="O1441" i="5"/>
  <c r="G1441" i="5" s="1"/>
  <c r="O1442" i="5"/>
  <c r="I1442" i="5" s="1"/>
  <c r="O1443" i="5"/>
  <c r="G1443" i="5" s="1"/>
  <c r="O1444" i="5"/>
  <c r="O1445" i="5"/>
  <c r="G1445" i="5" s="1"/>
  <c r="O1446" i="5"/>
  <c r="G1446" i="5" s="1"/>
  <c r="O1447" i="5"/>
  <c r="O1448" i="5"/>
  <c r="O1449" i="5"/>
  <c r="O1450" i="5"/>
  <c r="O1451" i="5"/>
  <c r="O1452" i="5"/>
  <c r="O1453" i="5"/>
  <c r="G1453" i="5" s="1"/>
  <c r="O1454" i="5"/>
  <c r="O1455" i="5"/>
  <c r="O1456" i="5"/>
  <c r="I1456" i="5" s="1"/>
  <c r="O1457" i="5"/>
  <c r="G1457" i="5" s="1"/>
  <c r="O1458" i="5"/>
  <c r="G1458" i="5" s="1"/>
  <c r="O1459" i="5"/>
  <c r="H1459" i="5" s="1"/>
  <c r="O1460" i="5"/>
  <c r="G1460" i="5" s="1"/>
  <c r="O1461" i="5"/>
  <c r="O1462" i="5"/>
  <c r="I1462" i="5" s="1"/>
  <c r="O1463" i="5"/>
  <c r="O1464" i="5"/>
  <c r="O1465" i="5"/>
  <c r="G1465" i="5" s="1"/>
  <c r="O1466" i="5"/>
  <c r="I1466" i="5" s="1"/>
  <c r="O2" i="5"/>
  <c r="E9" i="7" l="1"/>
  <c r="L18" i="7"/>
  <c r="E10" i="7" s="1"/>
  <c r="M19" i="7"/>
  <c r="H1386" i="5"/>
  <c r="I1386" i="5"/>
  <c r="H1374" i="5"/>
  <c r="J1374" i="5" s="1"/>
  <c r="G1374" i="5"/>
  <c r="G1362" i="5"/>
  <c r="I1362" i="5"/>
  <c r="I1326" i="5"/>
  <c r="G1326" i="5"/>
  <c r="H1230" i="5"/>
  <c r="I1230" i="5"/>
  <c r="G1230" i="5"/>
  <c r="J1230" i="5" s="1"/>
  <c r="H1134" i="5"/>
  <c r="G1134" i="5"/>
  <c r="H1110" i="5"/>
  <c r="G1110" i="5"/>
  <c r="J1110" i="5" s="1"/>
  <c r="G1074" i="5"/>
  <c r="I1074" i="5"/>
  <c r="G1062" i="5"/>
  <c r="I1062" i="5"/>
  <c r="H1002" i="5"/>
  <c r="G1002" i="5"/>
  <c r="J1002" i="5" s="1"/>
  <c r="H978" i="5"/>
  <c r="G978" i="5"/>
  <c r="I954" i="5"/>
  <c r="G954" i="5"/>
  <c r="I894" i="5"/>
  <c r="G894" i="5"/>
  <c r="I738" i="5"/>
  <c r="G738" i="5"/>
  <c r="I690" i="5"/>
  <c r="G690" i="5"/>
  <c r="I642" i="5"/>
  <c r="G642" i="5"/>
  <c r="I594" i="5"/>
  <c r="G594" i="5"/>
  <c r="I534" i="5"/>
  <c r="G534" i="5"/>
  <c r="I522" i="5"/>
  <c r="G522" i="5"/>
  <c r="I366" i="5"/>
  <c r="G366" i="5"/>
  <c r="H342" i="5"/>
  <c r="G342" i="5"/>
  <c r="I342" i="5"/>
  <c r="I330" i="5"/>
  <c r="G330" i="5"/>
  <c r="I258" i="5"/>
  <c r="G258" i="5"/>
  <c r="H234" i="5"/>
  <c r="I234" i="5"/>
  <c r="G234" i="5"/>
  <c r="I222" i="5"/>
  <c r="G222" i="5"/>
  <c r="I174" i="5"/>
  <c r="G174" i="5"/>
  <c r="H90" i="5"/>
  <c r="G90" i="5"/>
  <c r="H42" i="5"/>
  <c r="G42" i="5"/>
  <c r="I1242" i="5"/>
  <c r="I569" i="5"/>
  <c r="G569" i="5"/>
  <c r="H497" i="5"/>
  <c r="I497" i="5"/>
  <c r="G1350" i="5"/>
  <c r="G1038" i="5"/>
  <c r="G102" i="5"/>
  <c r="I1216" i="5"/>
  <c r="G1216" i="5"/>
  <c r="H964" i="5"/>
  <c r="G964" i="5"/>
  <c r="I724" i="5"/>
  <c r="G724" i="5"/>
  <c r="I568" i="5"/>
  <c r="G568" i="5"/>
  <c r="I1422" i="5"/>
  <c r="G1347" i="5"/>
  <c r="J1347" i="5" s="1"/>
  <c r="G1098" i="5"/>
  <c r="G924" i="5"/>
  <c r="G828" i="5"/>
  <c r="G662" i="5"/>
  <c r="G414" i="5"/>
  <c r="G350" i="5"/>
  <c r="G252" i="5"/>
  <c r="G96" i="5"/>
  <c r="H834" i="5"/>
  <c r="J834" i="5" s="1"/>
  <c r="I834" i="5"/>
  <c r="I678" i="5"/>
  <c r="G678" i="5"/>
  <c r="I582" i="5"/>
  <c r="G582" i="5"/>
  <c r="H546" i="5"/>
  <c r="J546" i="5" s="1"/>
  <c r="I546" i="5"/>
  <c r="I378" i="5"/>
  <c r="G378" i="5"/>
  <c r="I270" i="5"/>
  <c r="G270" i="5"/>
  <c r="I162" i="5"/>
  <c r="G162" i="5"/>
  <c r="H78" i="5"/>
  <c r="G78" i="5"/>
  <c r="J78" i="5" s="1"/>
  <c r="H1265" i="5"/>
  <c r="I1265" i="5"/>
  <c r="H1215" i="5"/>
  <c r="J1215" i="5" s="1"/>
  <c r="G1215" i="5"/>
  <c r="I663" i="5"/>
  <c r="G663" i="5"/>
  <c r="H1358" i="5"/>
  <c r="G1358" i="5"/>
  <c r="H1190" i="5"/>
  <c r="G1190" i="5"/>
  <c r="H494" i="5"/>
  <c r="G494" i="5"/>
  <c r="H374" i="5"/>
  <c r="G374" i="5"/>
  <c r="J170" i="5"/>
  <c r="H14" i="5"/>
  <c r="G14" i="5"/>
  <c r="I1374" i="5"/>
  <c r="I990" i="5"/>
  <c r="G1086" i="5"/>
  <c r="G170" i="5"/>
  <c r="I1025" i="5"/>
  <c r="G1025" i="5"/>
  <c r="H1395" i="5"/>
  <c r="G1395" i="5"/>
  <c r="I963" i="5"/>
  <c r="G963" i="5"/>
  <c r="I567" i="5"/>
  <c r="G567" i="5"/>
  <c r="I15" i="5"/>
  <c r="G15" i="5"/>
  <c r="G1422" i="5"/>
  <c r="G1248" i="5"/>
  <c r="H1214" i="5"/>
  <c r="G1214" i="5"/>
  <c r="H1082" i="5"/>
  <c r="G1082" i="5"/>
  <c r="I1022" i="5"/>
  <c r="G1022" i="5"/>
  <c r="H962" i="5"/>
  <c r="G962" i="5"/>
  <c r="H902" i="5"/>
  <c r="J902" i="5" s="1"/>
  <c r="G902" i="5"/>
  <c r="I470" i="5"/>
  <c r="G470" i="5"/>
  <c r="I1417" i="5"/>
  <c r="G1417" i="5"/>
  <c r="H1405" i="5"/>
  <c r="G1405" i="5"/>
  <c r="J1405" i="5" s="1"/>
  <c r="H1357" i="5"/>
  <c r="J1357" i="5" s="1"/>
  <c r="I1357" i="5"/>
  <c r="G1357" i="5"/>
  <c r="I1273" i="5"/>
  <c r="G1273" i="5"/>
  <c r="H1249" i="5"/>
  <c r="J1249" i="5" s="1"/>
  <c r="G1249" i="5"/>
  <c r="H1189" i="5"/>
  <c r="G1189" i="5"/>
  <c r="H1117" i="5"/>
  <c r="J1117" i="5" s="1"/>
  <c r="G1117" i="5"/>
  <c r="G1021" i="5"/>
  <c r="I1021" i="5"/>
  <c r="H337" i="5"/>
  <c r="J337" i="5" s="1"/>
  <c r="G337" i="5"/>
  <c r="I241" i="5"/>
  <c r="G241" i="5"/>
  <c r="H205" i="5"/>
  <c r="J205" i="5" s="1"/>
  <c r="I205" i="5"/>
  <c r="H133" i="5"/>
  <c r="G133" i="5"/>
  <c r="J133" i="5" s="1"/>
  <c r="I756" i="5"/>
  <c r="I172" i="5"/>
  <c r="G1242" i="5"/>
  <c r="G1084" i="5"/>
  <c r="G818" i="5"/>
  <c r="J818" i="5" s="1"/>
  <c r="G399" i="5"/>
  <c r="G246" i="5"/>
  <c r="H1254" i="5"/>
  <c r="G1254" i="5"/>
  <c r="G1218" i="5"/>
  <c r="I1218" i="5"/>
  <c r="I1182" i="5"/>
  <c r="G1182" i="5"/>
  <c r="J1098" i="5"/>
  <c r="I750" i="5"/>
  <c r="G750" i="5"/>
  <c r="H702" i="5"/>
  <c r="G702" i="5"/>
  <c r="H498" i="5"/>
  <c r="G498" i="5"/>
  <c r="J498" i="5" s="1"/>
  <c r="I306" i="5"/>
  <c r="G306" i="5"/>
  <c r="J246" i="5"/>
  <c r="I18" i="5"/>
  <c r="G18" i="5"/>
  <c r="H1083" i="5"/>
  <c r="G1083" i="5"/>
  <c r="I303" i="5"/>
  <c r="G303" i="5"/>
  <c r="I171" i="5"/>
  <c r="G171" i="5"/>
  <c r="H1464" i="5"/>
  <c r="I1464" i="5"/>
  <c r="G1464" i="5"/>
  <c r="H1452" i="5"/>
  <c r="G1452" i="5"/>
  <c r="G1428" i="5"/>
  <c r="I1428" i="5"/>
  <c r="I1416" i="5"/>
  <c r="G1416" i="5"/>
  <c r="I1404" i="5"/>
  <c r="G1404" i="5"/>
  <c r="H1356" i="5"/>
  <c r="G1356" i="5"/>
  <c r="H1320" i="5"/>
  <c r="J1320" i="5" s="1"/>
  <c r="I1320" i="5"/>
  <c r="G1320" i="5"/>
  <c r="I1272" i="5"/>
  <c r="G1272" i="5"/>
  <c r="H1212" i="5"/>
  <c r="G1212" i="5"/>
  <c r="I1212" i="5"/>
  <c r="H1188" i="5"/>
  <c r="J1188" i="5" s="1"/>
  <c r="G1188" i="5"/>
  <c r="H1176" i="5"/>
  <c r="I1176" i="5"/>
  <c r="G1176" i="5"/>
  <c r="I1128" i="5"/>
  <c r="G1128" i="5"/>
  <c r="I1116" i="5"/>
  <c r="G1116" i="5"/>
  <c r="H1104" i="5"/>
  <c r="G1104" i="5"/>
  <c r="H1080" i="5"/>
  <c r="G1080" i="5"/>
  <c r="H1068" i="5"/>
  <c r="I1068" i="5"/>
  <c r="H1056" i="5"/>
  <c r="I1056" i="5"/>
  <c r="I972" i="5"/>
  <c r="G972" i="5"/>
  <c r="H960" i="5"/>
  <c r="G960" i="5"/>
  <c r="I960" i="5"/>
  <c r="H912" i="5"/>
  <c r="G912" i="5"/>
  <c r="H876" i="5"/>
  <c r="J876" i="5" s="1"/>
  <c r="G876" i="5"/>
  <c r="H804" i="5"/>
  <c r="G804" i="5"/>
  <c r="G780" i="5"/>
  <c r="I780" i="5"/>
  <c r="H732" i="5"/>
  <c r="G732" i="5"/>
  <c r="I720" i="5"/>
  <c r="G720" i="5"/>
  <c r="H648" i="5"/>
  <c r="G648" i="5"/>
  <c r="I648" i="5"/>
  <c r="I612" i="5"/>
  <c r="G612" i="5"/>
  <c r="H492" i="5"/>
  <c r="G492" i="5"/>
  <c r="H372" i="5"/>
  <c r="G372" i="5"/>
  <c r="J372" i="5" s="1"/>
  <c r="I348" i="5"/>
  <c r="G348" i="5"/>
  <c r="I300" i="5"/>
  <c r="G300" i="5"/>
  <c r="I288" i="5"/>
  <c r="G288" i="5"/>
  <c r="H276" i="5"/>
  <c r="G276" i="5"/>
  <c r="I276" i="5"/>
  <c r="H264" i="5"/>
  <c r="J264" i="5" s="1"/>
  <c r="G264" i="5"/>
  <c r="I264" i="5"/>
  <c r="I948" i="5"/>
  <c r="I864" i="5"/>
  <c r="I42" i="5"/>
  <c r="G1393" i="5"/>
  <c r="G1322" i="5"/>
  <c r="G1237" i="5"/>
  <c r="J1237" i="5" s="1"/>
  <c r="G816" i="5"/>
  <c r="G726" i="5"/>
  <c r="G654" i="5"/>
  <c r="J654" i="5" s="1"/>
  <c r="G396" i="5"/>
  <c r="H719" i="5"/>
  <c r="G719" i="5"/>
  <c r="H599" i="5"/>
  <c r="G599" i="5"/>
  <c r="J599" i="5" s="1"/>
  <c r="I515" i="5"/>
  <c r="G515" i="5"/>
  <c r="H754" i="5"/>
  <c r="J754" i="5" s="1"/>
  <c r="G754" i="5"/>
  <c r="H130" i="5"/>
  <c r="G130" i="5"/>
  <c r="H22" i="5"/>
  <c r="G22" i="5"/>
  <c r="H730" i="5"/>
  <c r="J730" i="5" s="1"/>
  <c r="I1006" i="5"/>
  <c r="I859" i="5"/>
  <c r="I406" i="5"/>
  <c r="G1315" i="5"/>
  <c r="G907" i="5"/>
  <c r="J907" i="5" s="1"/>
  <c r="G859" i="5"/>
  <c r="J859" i="5" s="1"/>
  <c r="G619" i="5"/>
  <c r="J619" i="5" s="1"/>
  <c r="G571" i="5"/>
  <c r="J571" i="5" s="1"/>
  <c r="G514" i="5"/>
  <c r="G443" i="5"/>
  <c r="G391" i="5"/>
  <c r="J391" i="5" s="1"/>
  <c r="H1042" i="5"/>
  <c r="G1042" i="5"/>
  <c r="H718" i="5"/>
  <c r="G718" i="5"/>
  <c r="J718" i="5" s="1"/>
  <c r="I226" i="5"/>
  <c r="G226" i="5"/>
  <c r="I1387" i="5"/>
  <c r="I1267" i="5"/>
  <c r="I535" i="5"/>
  <c r="G1459" i="5"/>
  <c r="G442" i="5"/>
  <c r="G331" i="5"/>
  <c r="J331" i="5" s="1"/>
  <c r="G154" i="5"/>
  <c r="H1067" i="5"/>
  <c r="J1067" i="5" s="1"/>
  <c r="I1067" i="5"/>
  <c r="H995" i="5"/>
  <c r="J995" i="5" s="1"/>
  <c r="G995" i="5"/>
  <c r="H803" i="5"/>
  <c r="I803" i="5"/>
  <c r="H635" i="5"/>
  <c r="G635" i="5"/>
  <c r="I635" i="5"/>
  <c r="H791" i="5"/>
  <c r="J791" i="5" s="1"/>
  <c r="I1007" i="5"/>
  <c r="I719" i="5"/>
  <c r="H1066" i="5"/>
  <c r="J1066" i="5" s="1"/>
  <c r="I1066" i="5"/>
  <c r="H838" i="5"/>
  <c r="G838" i="5"/>
  <c r="J766" i="5"/>
  <c r="J442" i="5"/>
  <c r="H178" i="5"/>
  <c r="I178" i="5"/>
  <c r="I82" i="5"/>
  <c r="G82" i="5"/>
  <c r="I1339" i="5"/>
  <c r="I994" i="5"/>
  <c r="I455" i="5"/>
  <c r="I271" i="5"/>
  <c r="G1171" i="5"/>
  <c r="J1171" i="5" s="1"/>
  <c r="G791" i="5"/>
  <c r="G271" i="5"/>
  <c r="J271" i="5" s="1"/>
  <c r="H1463" i="5"/>
  <c r="I1463" i="5"/>
  <c r="I959" i="5"/>
  <c r="G959" i="5"/>
  <c r="H911" i="5"/>
  <c r="J911" i="5" s="1"/>
  <c r="G911" i="5"/>
  <c r="H851" i="5"/>
  <c r="I851" i="5"/>
  <c r="H922" i="5"/>
  <c r="G922" i="5"/>
  <c r="H850" i="5"/>
  <c r="I850" i="5"/>
  <c r="G538" i="5"/>
  <c r="H538" i="5"/>
  <c r="J538" i="5" s="1"/>
  <c r="J490" i="5"/>
  <c r="H466" i="5"/>
  <c r="G466" i="5"/>
  <c r="H1447" i="5"/>
  <c r="J1447" i="5" s="1"/>
  <c r="G1447" i="5"/>
  <c r="H1435" i="5"/>
  <c r="G1435" i="5"/>
  <c r="H1423" i="5"/>
  <c r="J1423" i="5" s="1"/>
  <c r="I1423" i="5"/>
  <c r="H1399" i="5"/>
  <c r="G1399" i="5"/>
  <c r="J1399" i="5" s="1"/>
  <c r="H1363" i="5"/>
  <c r="G1363" i="5"/>
  <c r="I1363" i="5"/>
  <c r="H1327" i="5"/>
  <c r="G1327" i="5"/>
  <c r="H1303" i="5"/>
  <c r="G1303" i="5"/>
  <c r="H1291" i="5"/>
  <c r="G1291" i="5"/>
  <c r="J1291" i="5" s="1"/>
  <c r="I1291" i="5"/>
  <c r="H1279" i="5"/>
  <c r="J1279" i="5" s="1"/>
  <c r="I1279" i="5"/>
  <c r="H1255" i="5"/>
  <c r="J1255" i="5" s="1"/>
  <c r="G1255" i="5"/>
  <c r="H1219" i="5"/>
  <c r="G1219" i="5"/>
  <c r="H1183" i="5"/>
  <c r="J1183" i="5" s="1"/>
  <c r="I1183" i="5"/>
  <c r="H1159" i="5"/>
  <c r="G1159" i="5"/>
  <c r="H1147" i="5"/>
  <c r="J1147" i="5" s="1"/>
  <c r="G1147" i="5"/>
  <c r="H1135" i="5"/>
  <c r="J1135" i="5" s="1"/>
  <c r="I1135" i="5"/>
  <c r="H1111" i="5"/>
  <c r="J1111" i="5" s="1"/>
  <c r="G1111" i="5"/>
  <c r="J1099" i="5"/>
  <c r="J1051" i="5"/>
  <c r="H1039" i="5"/>
  <c r="G1039" i="5"/>
  <c r="H1027" i="5"/>
  <c r="J1027" i="5" s="1"/>
  <c r="I1027" i="5"/>
  <c r="H1003" i="5"/>
  <c r="J1003" i="5" s="1"/>
  <c r="G1003" i="5"/>
  <c r="H955" i="5"/>
  <c r="G955" i="5"/>
  <c r="H895" i="5"/>
  <c r="J895" i="5" s="1"/>
  <c r="I895" i="5"/>
  <c r="H883" i="5"/>
  <c r="G883" i="5"/>
  <c r="H835" i="5"/>
  <c r="I835" i="5"/>
  <c r="H811" i="5"/>
  <c r="G811" i="5"/>
  <c r="H799" i="5"/>
  <c r="G799" i="5"/>
  <c r="I799" i="5"/>
  <c r="H751" i="5"/>
  <c r="J751" i="5" s="1"/>
  <c r="G751" i="5"/>
  <c r="I751" i="5"/>
  <c r="H679" i="5"/>
  <c r="G679" i="5"/>
  <c r="J679" i="5" s="1"/>
  <c r="J655" i="5"/>
  <c r="H595" i="5"/>
  <c r="G595" i="5"/>
  <c r="H559" i="5"/>
  <c r="I559" i="5"/>
  <c r="H523" i="5"/>
  <c r="G523" i="5"/>
  <c r="H475" i="5"/>
  <c r="G475" i="5"/>
  <c r="H463" i="5"/>
  <c r="G463" i="5"/>
  <c r="J463" i="5" s="1"/>
  <c r="H439" i="5"/>
  <c r="I439" i="5"/>
  <c r="H415" i="5"/>
  <c r="G415" i="5"/>
  <c r="H379" i="5"/>
  <c r="G379" i="5"/>
  <c r="J379" i="5" s="1"/>
  <c r="H355" i="5"/>
  <c r="J355" i="5" s="1"/>
  <c r="I355" i="5"/>
  <c r="H295" i="5"/>
  <c r="J295" i="5" s="1"/>
  <c r="I295" i="5"/>
  <c r="H259" i="5"/>
  <c r="G259" i="5"/>
  <c r="H235" i="5"/>
  <c r="J235" i="5" s="1"/>
  <c r="I235" i="5"/>
  <c r="H223" i="5"/>
  <c r="G223" i="5"/>
  <c r="J223" i="5" s="1"/>
  <c r="H187" i="5"/>
  <c r="G187" i="5"/>
  <c r="H175" i="5"/>
  <c r="G175" i="5"/>
  <c r="H127" i="5"/>
  <c r="J127" i="5" s="1"/>
  <c r="G127" i="5"/>
  <c r="H91" i="5"/>
  <c r="G91" i="5"/>
  <c r="H79" i="5"/>
  <c r="J79" i="5" s="1"/>
  <c r="I79" i="5"/>
  <c r="H67" i="5"/>
  <c r="I67" i="5"/>
  <c r="J43" i="5"/>
  <c r="H31" i="5"/>
  <c r="J31" i="5" s="1"/>
  <c r="G31" i="5"/>
  <c r="I1459" i="5"/>
  <c r="I1375" i="5"/>
  <c r="I1207" i="5"/>
  <c r="I1055" i="5"/>
  <c r="I703" i="5"/>
  <c r="G1351" i="5"/>
  <c r="J1351" i="5" s="1"/>
  <c r="G1207" i="5"/>
  <c r="G1019" i="5"/>
  <c r="J1019" i="5" s="1"/>
  <c r="G835" i="5"/>
  <c r="G790" i="5"/>
  <c r="J790" i="5" s="1"/>
  <c r="G439" i="5"/>
  <c r="J439" i="5" s="1"/>
  <c r="I753" i="5"/>
  <c r="G1364" i="5"/>
  <c r="J356" i="5"/>
  <c r="I561" i="5"/>
  <c r="I140" i="5"/>
  <c r="G561" i="5"/>
  <c r="J561" i="5" s="1"/>
  <c r="G128" i="5"/>
  <c r="G21" i="5"/>
  <c r="J425" i="5"/>
  <c r="H1409" i="5"/>
  <c r="G1409" i="5"/>
  <c r="H1385" i="5"/>
  <c r="G1385" i="5"/>
  <c r="I1385" i="5"/>
  <c r="H1373" i="5"/>
  <c r="I1373" i="5"/>
  <c r="G1373" i="5"/>
  <c r="I1349" i="5"/>
  <c r="G1349" i="5"/>
  <c r="I1325" i="5"/>
  <c r="G1325" i="5"/>
  <c r="H1241" i="5"/>
  <c r="J1241" i="5" s="1"/>
  <c r="I1241" i="5"/>
  <c r="G1241" i="5"/>
  <c r="H1217" i="5"/>
  <c r="J1217" i="5" s="1"/>
  <c r="I1217" i="5"/>
  <c r="I1181" i="5"/>
  <c r="G1181" i="5"/>
  <c r="I1169" i="5"/>
  <c r="G1169" i="5"/>
  <c r="H1121" i="5"/>
  <c r="I1121" i="5"/>
  <c r="H1073" i="5"/>
  <c r="G1073" i="5"/>
  <c r="I1073" i="5"/>
  <c r="G1049" i="5"/>
  <c r="I1049" i="5"/>
  <c r="H905" i="5"/>
  <c r="G905" i="5"/>
  <c r="I905" i="5"/>
  <c r="I869" i="5"/>
  <c r="G869" i="5"/>
  <c r="J833" i="5"/>
  <c r="H821" i="5"/>
  <c r="I821" i="5"/>
  <c r="G821" i="5"/>
  <c r="I737" i="5"/>
  <c r="G737" i="5"/>
  <c r="I677" i="5"/>
  <c r="G677" i="5"/>
  <c r="H653" i="5"/>
  <c r="G653" i="5"/>
  <c r="H605" i="5"/>
  <c r="G605" i="5"/>
  <c r="H545" i="5"/>
  <c r="I545" i="5"/>
  <c r="G545" i="5"/>
  <c r="J497" i="5"/>
  <c r="I473" i="5"/>
  <c r="G473" i="5"/>
  <c r="I437" i="5"/>
  <c r="G437" i="5"/>
  <c r="H389" i="5"/>
  <c r="I389" i="5"/>
  <c r="G389" i="5"/>
  <c r="H341" i="5"/>
  <c r="G341" i="5"/>
  <c r="I341" i="5"/>
  <c r="I305" i="5"/>
  <c r="G305" i="5"/>
  <c r="I257" i="5"/>
  <c r="G257" i="5"/>
  <c r="I209" i="5"/>
  <c r="G209" i="5"/>
  <c r="H173" i="5"/>
  <c r="G173" i="5"/>
  <c r="I149" i="5"/>
  <c r="G149" i="5"/>
  <c r="H125" i="5"/>
  <c r="G125" i="5"/>
  <c r="I125" i="5"/>
  <c r="I53" i="5"/>
  <c r="G53" i="5"/>
  <c r="I1337" i="5"/>
  <c r="G497" i="5"/>
  <c r="G5" i="5"/>
  <c r="I1336" i="5"/>
  <c r="G1336" i="5"/>
  <c r="I1300" i="5"/>
  <c r="G1300" i="5"/>
  <c r="I1252" i="5"/>
  <c r="G1252" i="5"/>
  <c r="I1168" i="5"/>
  <c r="G1168" i="5"/>
  <c r="I1108" i="5"/>
  <c r="G1108" i="5"/>
  <c r="I1072" i="5"/>
  <c r="G1072" i="5"/>
  <c r="I1060" i="5"/>
  <c r="G1060" i="5"/>
  <c r="I1024" i="5"/>
  <c r="G1024" i="5"/>
  <c r="I1012" i="5"/>
  <c r="G1012" i="5"/>
  <c r="H976" i="5"/>
  <c r="G976" i="5"/>
  <c r="H892" i="5"/>
  <c r="G892" i="5"/>
  <c r="I892" i="5"/>
  <c r="I868" i="5"/>
  <c r="G868" i="5"/>
  <c r="H820" i="5"/>
  <c r="I820" i="5"/>
  <c r="H760" i="5"/>
  <c r="G760" i="5"/>
  <c r="H700" i="5"/>
  <c r="G700" i="5"/>
  <c r="I676" i="5"/>
  <c r="G676" i="5"/>
  <c r="H604" i="5"/>
  <c r="G604" i="5"/>
  <c r="H592" i="5"/>
  <c r="G592" i="5"/>
  <c r="H532" i="5"/>
  <c r="G532" i="5"/>
  <c r="H484" i="5"/>
  <c r="G484" i="5"/>
  <c r="I460" i="5"/>
  <c r="G460" i="5"/>
  <c r="I436" i="5"/>
  <c r="G436" i="5"/>
  <c r="I412" i="5"/>
  <c r="G412" i="5"/>
  <c r="H388" i="5"/>
  <c r="G388" i="5"/>
  <c r="H340" i="5"/>
  <c r="G340" i="5"/>
  <c r="I340" i="5"/>
  <c r="I280" i="5"/>
  <c r="G280" i="5"/>
  <c r="I256" i="5"/>
  <c r="G256" i="5"/>
  <c r="H232" i="5"/>
  <c r="G232" i="5"/>
  <c r="I232" i="5"/>
  <c r="I208" i="5"/>
  <c r="G208" i="5"/>
  <c r="H124" i="5"/>
  <c r="G124" i="5"/>
  <c r="H76" i="5"/>
  <c r="I76" i="5"/>
  <c r="H16" i="5"/>
  <c r="I16" i="5"/>
  <c r="G16" i="5"/>
  <c r="I1409" i="5"/>
  <c r="G1420" i="5"/>
  <c r="G1288" i="5"/>
  <c r="G425" i="5"/>
  <c r="G328" i="5"/>
  <c r="J328" i="5" s="1"/>
  <c r="I2" i="5"/>
  <c r="G2" i="5"/>
  <c r="H1383" i="5"/>
  <c r="G1383" i="5"/>
  <c r="I1167" i="5"/>
  <c r="G1167" i="5"/>
  <c r="H1095" i="5"/>
  <c r="J1095" i="5" s="1"/>
  <c r="G1095" i="5"/>
  <c r="I1023" i="5"/>
  <c r="G1023" i="5"/>
  <c r="I999" i="5"/>
  <c r="G999" i="5"/>
  <c r="I951" i="5"/>
  <c r="G951" i="5"/>
  <c r="I927" i="5"/>
  <c r="G927" i="5"/>
  <c r="I891" i="5"/>
  <c r="G891" i="5"/>
  <c r="I807" i="5"/>
  <c r="G807" i="5"/>
  <c r="I747" i="5"/>
  <c r="G747" i="5"/>
  <c r="I651" i="5"/>
  <c r="G651" i="5"/>
  <c r="I627" i="5"/>
  <c r="G627" i="5"/>
  <c r="I591" i="5"/>
  <c r="G591" i="5"/>
  <c r="I555" i="5"/>
  <c r="G555" i="5"/>
  <c r="I543" i="5"/>
  <c r="G543" i="5"/>
  <c r="I531" i="5"/>
  <c r="G531" i="5"/>
  <c r="I507" i="5"/>
  <c r="G507" i="5"/>
  <c r="I495" i="5"/>
  <c r="G495" i="5"/>
  <c r="I483" i="5"/>
  <c r="G483" i="5"/>
  <c r="I459" i="5"/>
  <c r="G459" i="5"/>
  <c r="I447" i="5"/>
  <c r="G447" i="5"/>
  <c r="I435" i="5"/>
  <c r="G435" i="5"/>
  <c r="I423" i="5"/>
  <c r="G423" i="5"/>
  <c r="I411" i="5"/>
  <c r="G411" i="5"/>
  <c r="I387" i="5"/>
  <c r="G387" i="5"/>
  <c r="I375" i="5"/>
  <c r="G375" i="5"/>
  <c r="I363" i="5"/>
  <c r="G363" i="5"/>
  <c r="I351" i="5"/>
  <c r="G351" i="5"/>
  <c r="I339" i="5"/>
  <c r="G339" i="5"/>
  <c r="I315" i="5"/>
  <c r="G315" i="5"/>
  <c r="I279" i="5"/>
  <c r="G279" i="5"/>
  <c r="I267" i="5"/>
  <c r="G267" i="5"/>
  <c r="I255" i="5"/>
  <c r="G255" i="5"/>
  <c r="I243" i="5"/>
  <c r="G243" i="5"/>
  <c r="I231" i="5"/>
  <c r="G231" i="5"/>
  <c r="I207" i="5"/>
  <c r="G207" i="5"/>
  <c r="I195" i="5"/>
  <c r="G195" i="5"/>
  <c r="I183" i="5"/>
  <c r="G183" i="5"/>
  <c r="I147" i="5"/>
  <c r="G147" i="5"/>
  <c r="I135" i="5"/>
  <c r="G135" i="5"/>
  <c r="I123" i="5"/>
  <c r="G123" i="5"/>
  <c r="I111" i="5"/>
  <c r="G111" i="5"/>
  <c r="I99" i="5"/>
  <c r="G99" i="5"/>
  <c r="I87" i="5"/>
  <c r="G87" i="5"/>
  <c r="I75" i="5"/>
  <c r="G75" i="5"/>
  <c r="I63" i="5"/>
  <c r="G63" i="5"/>
  <c r="I51" i="5"/>
  <c r="G51" i="5"/>
  <c r="I27" i="5"/>
  <c r="G27" i="5"/>
  <c r="I3" i="5"/>
  <c r="G3" i="5"/>
  <c r="I1361" i="5"/>
  <c r="I833" i="5"/>
  <c r="G1265" i="5"/>
  <c r="J1265" i="5" s="1"/>
  <c r="G1047" i="5"/>
  <c r="G987" i="5"/>
  <c r="G689" i="5"/>
  <c r="J689" i="5" s="1"/>
  <c r="G424" i="5"/>
  <c r="G327" i="5"/>
  <c r="G159" i="5"/>
  <c r="I1454" i="5"/>
  <c r="G1454" i="5"/>
  <c r="I1430" i="5"/>
  <c r="G1430" i="5"/>
  <c r="H1382" i="5"/>
  <c r="G1382" i="5"/>
  <c r="H1370" i="5"/>
  <c r="G1370" i="5"/>
  <c r="J1358" i="5"/>
  <c r="H1334" i="5"/>
  <c r="G1334" i="5"/>
  <c r="I1310" i="5"/>
  <c r="G1310" i="5"/>
  <c r="I1298" i="5"/>
  <c r="G1298" i="5"/>
  <c r="H1238" i="5"/>
  <c r="G1238" i="5"/>
  <c r="H1226" i="5"/>
  <c r="G1226" i="5"/>
  <c r="H1202" i="5"/>
  <c r="G1202" i="5"/>
  <c r="J1190" i="5"/>
  <c r="I1166" i="5"/>
  <c r="G1166" i="5"/>
  <c r="I1154" i="5"/>
  <c r="G1154" i="5"/>
  <c r="H1094" i="5"/>
  <c r="G1094" i="5"/>
  <c r="J1082" i="5"/>
  <c r="H1070" i="5"/>
  <c r="G1070" i="5"/>
  <c r="H1046" i="5"/>
  <c r="G1046" i="5"/>
  <c r="I1034" i="5"/>
  <c r="G1034" i="5"/>
  <c r="I1010" i="5"/>
  <c r="G1010" i="5"/>
  <c r="I998" i="5"/>
  <c r="G998" i="5"/>
  <c r="H974" i="5"/>
  <c r="J974" i="5" s="1"/>
  <c r="I974" i="5"/>
  <c r="G974" i="5"/>
  <c r="J962" i="5"/>
  <c r="I950" i="5"/>
  <c r="G950" i="5"/>
  <c r="H890" i="5"/>
  <c r="G890" i="5"/>
  <c r="I866" i="5"/>
  <c r="G866" i="5"/>
  <c r="I854" i="5"/>
  <c r="G854" i="5"/>
  <c r="H806" i="5"/>
  <c r="G806" i="5"/>
  <c r="I794" i="5"/>
  <c r="G794" i="5"/>
  <c r="I782" i="5"/>
  <c r="G782" i="5"/>
  <c r="H758" i="5"/>
  <c r="G758" i="5"/>
  <c r="H746" i="5"/>
  <c r="G746" i="5"/>
  <c r="I722" i="5"/>
  <c r="G722" i="5"/>
  <c r="I710" i="5"/>
  <c r="G710" i="5"/>
  <c r="I698" i="5"/>
  <c r="G698" i="5"/>
  <c r="H686" i="5"/>
  <c r="G686" i="5"/>
  <c r="I674" i="5"/>
  <c r="G674" i="5"/>
  <c r="H650" i="5"/>
  <c r="G650" i="5"/>
  <c r="H638" i="5"/>
  <c r="G638" i="5"/>
  <c r="I626" i="5"/>
  <c r="G626" i="5"/>
  <c r="H590" i="5"/>
  <c r="G590" i="5"/>
  <c r="H578" i="5"/>
  <c r="G578" i="5"/>
  <c r="I566" i="5"/>
  <c r="G566" i="5"/>
  <c r="I554" i="5"/>
  <c r="G554" i="5"/>
  <c r="H530" i="5"/>
  <c r="G530" i="5"/>
  <c r="I506" i="5"/>
  <c r="G506" i="5"/>
  <c r="J494" i="5"/>
  <c r="H482" i="5"/>
  <c r="G482" i="5"/>
  <c r="I458" i="5"/>
  <c r="G458" i="5"/>
  <c r="H434" i="5"/>
  <c r="G434" i="5"/>
  <c r="I422" i="5"/>
  <c r="G422" i="5"/>
  <c r="I410" i="5"/>
  <c r="G410" i="5"/>
  <c r="I398" i="5"/>
  <c r="G398" i="5"/>
  <c r="H386" i="5"/>
  <c r="G386" i="5"/>
  <c r="I362" i="5"/>
  <c r="G362" i="5"/>
  <c r="H338" i="5"/>
  <c r="G338" i="5"/>
  <c r="H326" i="5"/>
  <c r="G326" i="5"/>
  <c r="H314" i="5"/>
  <c r="J314" i="5" s="1"/>
  <c r="I314" i="5"/>
  <c r="I302" i="5"/>
  <c r="G302" i="5"/>
  <c r="I278" i="5"/>
  <c r="G278" i="5"/>
  <c r="I266" i="5"/>
  <c r="G266" i="5"/>
  <c r="I254" i="5"/>
  <c r="G254" i="5"/>
  <c r="I242" i="5"/>
  <c r="G242" i="5"/>
  <c r="H218" i="5"/>
  <c r="I218" i="5"/>
  <c r="I206" i="5"/>
  <c r="G206" i="5"/>
  <c r="H182" i="5"/>
  <c r="G182" i="5"/>
  <c r="I146" i="5"/>
  <c r="G146" i="5"/>
  <c r="I134" i="5"/>
  <c r="G134" i="5"/>
  <c r="I122" i="5"/>
  <c r="G122" i="5"/>
  <c r="H110" i="5"/>
  <c r="G110" i="5"/>
  <c r="I98" i="5"/>
  <c r="G98" i="5"/>
  <c r="I86" i="5"/>
  <c r="G86" i="5"/>
  <c r="H74" i="5"/>
  <c r="G74" i="5"/>
  <c r="H62" i="5"/>
  <c r="G62" i="5"/>
  <c r="I50" i="5"/>
  <c r="G50" i="5"/>
  <c r="I38" i="5"/>
  <c r="G38" i="5"/>
  <c r="I1244" i="5"/>
  <c r="G1466" i="5"/>
  <c r="G1442" i="5"/>
  <c r="G1361" i="5"/>
  <c r="J1361" i="5" s="1"/>
  <c r="G1341" i="5"/>
  <c r="J1341" i="5" s="1"/>
  <c r="G1312" i="5"/>
  <c r="G1286" i="5"/>
  <c r="G1179" i="5"/>
  <c r="G1156" i="5"/>
  <c r="G1100" i="5"/>
  <c r="G833" i="5"/>
  <c r="G808" i="5"/>
  <c r="G711" i="5"/>
  <c r="G687" i="5"/>
  <c r="G293" i="5"/>
  <c r="G230" i="5"/>
  <c r="J230" i="5" s="1"/>
  <c r="G158" i="5"/>
  <c r="J158" i="5" s="1"/>
  <c r="I965" i="5"/>
  <c r="I689" i="5"/>
  <c r="I653" i="5"/>
  <c r="I592" i="5"/>
  <c r="G1437" i="5"/>
  <c r="J1437" i="5" s="1"/>
  <c r="G1360" i="5"/>
  <c r="G1178" i="5"/>
  <c r="G1155" i="5"/>
  <c r="G1121" i="5"/>
  <c r="G980" i="5"/>
  <c r="G832" i="5"/>
  <c r="G771" i="5"/>
  <c r="G681" i="5"/>
  <c r="J681" i="5" s="1"/>
  <c r="G615" i="5"/>
  <c r="G321" i="5"/>
  <c r="J321" i="5" s="1"/>
  <c r="G291" i="5"/>
  <c r="G39" i="5"/>
  <c r="I964" i="5"/>
  <c r="G1436" i="5"/>
  <c r="G1384" i="5"/>
  <c r="G1359" i="5"/>
  <c r="J1359" i="5" s="1"/>
  <c r="G1120" i="5"/>
  <c r="G1041" i="5"/>
  <c r="J1041" i="5" s="1"/>
  <c r="G915" i="5"/>
  <c r="G831" i="5"/>
  <c r="G734" i="5"/>
  <c r="J734" i="5" s="1"/>
  <c r="G614" i="5"/>
  <c r="G521" i="5"/>
  <c r="G345" i="5"/>
  <c r="H1397" i="5"/>
  <c r="G1397" i="5"/>
  <c r="H1253" i="5"/>
  <c r="G1253" i="5"/>
  <c r="I1253" i="5"/>
  <c r="I1205" i="5"/>
  <c r="G1205" i="5"/>
  <c r="I953" i="5"/>
  <c r="G953" i="5"/>
  <c r="H917" i="5"/>
  <c r="G917" i="5"/>
  <c r="H749" i="5"/>
  <c r="I749" i="5"/>
  <c r="G749" i="5"/>
  <c r="I725" i="5"/>
  <c r="G725" i="5"/>
  <c r="H701" i="5"/>
  <c r="G701" i="5"/>
  <c r="I581" i="5"/>
  <c r="G581" i="5"/>
  <c r="H533" i="5"/>
  <c r="G533" i="5"/>
  <c r="I533" i="5"/>
  <c r="H485" i="5"/>
  <c r="G485" i="5"/>
  <c r="I449" i="5"/>
  <c r="G449" i="5"/>
  <c r="I317" i="5"/>
  <c r="G317" i="5"/>
  <c r="H281" i="5"/>
  <c r="G281" i="5"/>
  <c r="I281" i="5"/>
  <c r="H221" i="5"/>
  <c r="G221" i="5"/>
  <c r="H185" i="5"/>
  <c r="I185" i="5"/>
  <c r="G185" i="5"/>
  <c r="H65" i="5"/>
  <c r="I65" i="5"/>
  <c r="G65" i="5"/>
  <c r="H29" i="5"/>
  <c r="G29" i="5"/>
  <c r="I29" i="5"/>
  <c r="I1444" i="5"/>
  <c r="G1444" i="5"/>
  <c r="I1408" i="5"/>
  <c r="G1408" i="5"/>
  <c r="I1372" i="5"/>
  <c r="G1372" i="5"/>
  <c r="I1324" i="5"/>
  <c r="G1324" i="5"/>
  <c r="I1276" i="5"/>
  <c r="G1276" i="5"/>
  <c r="I1240" i="5"/>
  <c r="G1240" i="5"/>
  <c r="I1204" i="5"/>
  <c r="G1204" i="5"/>
  <c r="I1132" i="5"/>
  <c r="G1132" i="5"/>
  <c r="I1096" i="5"/>
  <c r="G1096" i="5"/>
  <c r="I1048" i="5"/>
  <c r="G1048" i="5"/>
  <c r="H904" i="5"/>
  <c r="G904" i="5"/>
  <c r="I904" i="5"/>
  <c r="J832" i="5"/>
  <c r="H748" i="5"/>
  <c r="G748" i="5"/>
  <c r="I712" i="5"/>
  <c r="G712" i="5"/>
  <c r="I628" i="5"/>
  <c r="G628" i="5"/>
  <c r="I580" i="5"/>
  <c r="G580" i="5"/>
  <c r="H544" i="5"/>
  <c r="I544" i="5"/>
  <c r="G544" i="5"/>
  <c r="H496" i="5"/>
  <c r="G496" i="5"/>
  <c r="H448" i="5"/>
  <c r="G448" i="5"/>
  <c r="I448" i="5"/>
  <c r="I304" i="5"/>
  <c r="G304" i="5"/>
  <c r="H268" i="5"/>
  <c r="G268" i="5"/>
  <c r="I268" i="5"/>
  <c r="H220" i="5"/>
  <c r="G220" i="5"/>
  <c r="H184" i="5"/>
  <c r="I184" i="5"/>
  <c r="G184" i="5"/>
  <c r="I148" i="5"/>
  <c r="G148" i="5"/>
  <c r="H64" i="5"/>
  <c r="I64" i="5"/>
  <c r="G64" i="5"/>
  <c r="I4" i="5"/>
  <c r="G4" i="5"/>
  <c r="H1371" i="5"/>
  <c r="G1371" i="5"/>
  <c r="I1335" i="5"/>
  <c r="G1335" i="5"/>
  <c r="I1299" i="5"/>
  <c r="G1299" i="5"/>
  <c r="H1227" i="5"/>
  <c r="G1227" i="5"/>
  <c r="H1107" i="5"/>
  <c r="G1107" i="5"/>
  <c r="I1035" i="5"/>
  <c r="G1035" i="5"/>
  <c r="I867" i="5"/>
  <c r="G867" i="5"/>
  <c r="I819" i="5"/>
  <c r="G819" i="5"/>
  <c r="I783" i="5"/>
  <c r="G783" i="5"/>
  <c r="I735" i="5"/>
  <c r="G735" i="5"/>
  <c r="I388" i="5"/>
  <c r="G1251" i="5"/>
  <c r="J1251" i="5" s="1"/>
  <c r="G1228" i="5"/>
  <c r="G1097" i="5"/>
  <c r="J1097" i="5" s="1"/>
  <c r="G855" i="5"/>
  <c r="G640" i="5"/>
  <c r="J640" i="5" s="1"/>
  <c r="G520" i="5"/>
  <c r="G413" i="5"/>
  <c r="G316" i="5"/>
  <c r="J22" i="5"/>
  <c r="G977" i="5"/>
  <c r="J977" i="5" s="1"/>
  <c r="G797" i="5"/>
  <c r="G639" i="5"/>
  <c r="G219" i="5"/>
  <c r="H1461" i="5"/>
  <c r="G1461" i="5"/>
  <c r="H1413" i="5"/>
  <c r="J1413" i="5" s="1"/>
  <c r="I1413" i="5"/>
  <c r="H1389" i="5"/>
  <c r="G1389" i="5"/>
  <c r="H1365" i="5"/>
  <c r="G1365" i="5"/>
  <c r="J1305" i="5"/>
  <c r="J1269" i="5"/>
  <c r="H1245" i="5"/>
  <c r="I1245" i="5"/>
  <c r="G1245" i="5"/>
  <c r="H1221" i="5"/>
  <c r="I1221" i="5"/>
  <c r="G1221" i="5"/>
  <c r="H1197" i="5"/>
  <c r="J1197" i="5" s="1"/>
  <c r="I1197" i="5"/>
  <c r="H1173" i="5"/>
  <c r="J1173" i="5" s="1"/>
  <c r="I1173" i="5"/>
  <c r="H1137" i="5"/>
  <c r="G1137" i="5"/>
  <c r="I1137" i="5"/>
  <c r="H1125" i="5"/>
  <c r="G1125" i="5"/>
  <c r="I1125" i="5"/>
  <c r="H1101" i="5"/>
  <c r="G1101" i="5"/>
  <c r="H1065" i="5"/>
  <c r="J1065" i="5" s="1"/>
  <c r="I1065" i="5"/>
  <c r="H1017" i="5"/>
  <c r="J1017" i="5" s="1"/>
  <c r="I1017" i="5"/>
  <c r="H993" i="5"/>
  <c r="I993" i="5"/>
  <c r="G993" i="5"/>
  <c r="H957" i="5"/>
  <c r="G957" i="5"/>
  <c r="I957" i="5"/>
  <c r="H909" i="5"/>
  <c r="G909" i="5"/>
  <c r="H885" i="5"/>
  <c r="G885" i="5"/>
  <c r="J861" i="5"/>
  <c r="H837" i="5"/>
  <c r="J837" i="5" s="1"/>
  <c r="I837" i="5"/>
  <c r="H813" i="5"/>
  <c r="G813" i="5"/>
  <c r="I813" i="5"/>
  <c r="H765" i="5"/>
  <c r="I765" i="5"/>
  <c r="G765" i="5"/>
  <c r="H741" i="5"/>
  <c r="I741" i="5"/>
  <c r="G741" i="5"/>
  <c r="H717" i="5"/>
  <c r="G717" i="5"/>
  <c r="H693" i="5"/>
  <c r="I693" i="5"/>
  <c r="G693" i="5"/>
  <c r="H669" i="5"/>
  <c r="G669" i="5"/>
  <c r="I645" i="5"/>
  <c r="G645" i="5"/>
  <c r="H621" i="5"/>
  <c r="G621" i="5"/>
  <c r="I621" i="5"/>
  <c r="H585" i="5"/>
  <c r="J585" i="5" s="1"/>
  <c r="I585" i="5"/>
  <c r="H537" i="5"/>
  <c r="J537" i="5" s="1"/>
  <c r="I537" i="5"/>
  <c r="H525" i="5"/>
  <c r="G525" i="5"/>
  <c r="I501" i="5"/>
  <c r="G501" i="5"/>
  <c r="H477" i="5"/>
  <c r="G477" i="5"/>
  <c r="H453" i="5"/>
  <c r="J453" i="5" s="1"/>
  <c r="I453" i="5"/>
  <c r="G453" i="5"/>
  <c r="H429" i="5"/>
  <c r="G429" i="5"/>
  <c r="H405" i="5"/>
  <c r="G405" i="5"/>
  <c r="H381" i="5"/>
  <c r="G381" i="5"/>
  <c r="I381" i="5"/>
  <c r="I357" i="5"/>
  <c r="G357" i="5"/>
  <c r="H297" i="5"/>
  <c r="G297" i="5"/>
  <c r="H261" i="5"/>
  <c r="G261" i="5"/>
  <c r="H237" i="5"/>
  <c r="G237" i="5"/>
  <c r="H189" i="5"/>
  <c r="G189" i="5"/>
  <c r="I189" i="5"/>
  <c r="H165" i="5"/>
  <c r="J165" i="5" s="1"/>
  <c r="I165" i="5"/>
  <c r="J141" i="5"/>
  <c r="H117" i="5"/>
  <c r="G117" i="5"/>
  <c r="I117" i="5"/>
  <c r="H93" i="5"/>
  <c r="G93" i="5"/>
  <c r="I57" i="5"/>
  <c r="G57" i="5"/>
  <c r="J21" i="5"/>
  <c r="I1313" i="5"/>
  <c r="G1313" i="5"/>
  <c r="H1229" i="5"/>
  <c r="G1229" i="5"/>
  <c r="H1109" i="5"/>
  <c r="G1109" i="5"/>
  <c r="G1061" i="5"/>
  <c r="I1061" i="5"/>
  <c r="I1037" i="5"/>
  <c r="G1037" i="5"/>
  <c r="H989" i="5"/>
  <c r="G989" i="5"/>
  <c r="I893" i="5"/>
  <c r="G893" i="5"/>
  <c r="G809" i="5"/>
  <c r="I809" i="5"/>
  <c r="H761" i="5"/>
  <c r="G761" i="5"/>
  <c r="I761" i="5"/>
  <c r="H641" i="5"/>
  <c r="G641" i="5"/>
  <c r="I593" i="5"/>
  <c r="G593" i="5"/>
  <c r="H377" i="5"/>
  <c r="G377" i="5"/>
  <c r="I377" i="5"/>
  <c r="H329" i="5"/>
  <c r="G329" i="5"/>
  <c r="H269" i="5"/>
  <c r="G269" i="5"/>
  <c r="H233" i="5"/>
  <c r="G233" i="5"/>
  <c r="I233" i="5"/>
  <c r="I161" i="5"/>
  <c r="G161" i="5"/>
  <c r="H113" i="5"/>
  <c r="J113" i="5" s="1"/>
  <c r="I113" i="5"/>
  <c r="H77" i="5"/>
  <c r="G77" i="5"/>
  <c r="G629" i="5"/>
  <c r="I1396" i="5"/>
  <c r="G1396" i="5"/>
  <c r="I1348" i="5"/>
  <c r="G1348" i="5"/>
  <c r="I1264" i="5"/>
  <c r="G1264" i="5"/>
  <c r="I1180" i="5"/>
  <c r="G1180" i="5"/>
  <c r="I1036" i="5"/>
  <c r="G1036" i="5"/>
  <c r="H988" i="5"/>
  <c r="G988" i="5"/>
  <c r="I988" i="5"/>
  <c r="G880" i="5"/>
  <c r="I880" i="5"/>
  <c r="I736" i="5"/>
  <c r="G736" i="5"/>
  <c r="H688" i="5"/>
  <c r="G688" i="5"/>
  <c r="H652" i="5"/>
  <c r="G652" i="5"/>
  <c r="H376" i="5"/>
  <c r="J376" i="5" s="1"/>
  <c r="I376" i="5"/>
  <c r="I292" i="5"/>
  <c r="G292" i="5"/>
  <c r="I160" i="5"/>
  <c r="G160" i="5"/>
  <c r="H112" i="5"/>
  <c r="G112" i="5"/>
  <c r="H28" i="5"/>
  <c r="I28" i="5"/>
  <c r="G28" i="5"/>
  <c r="I1455" i="5"/>
  <c r="G1455" i="5"/>
  <c r="J1395" i="5"/>
  <c r="I1311" i="5"/>
  <c r="G1311" i="5"/>
  <c r="H1239" i="5"/>
  <c r="G1239" i="5"/>
  <c r="H1203" i="5"/>
  <c r="G1203" i="5"/>
  <c r="H1071" i="5"/>
  <c r="G1071" i="5"/>
  <c r="I1011" i="5"/>
  <c r="G1011" i="5"/>
  <c r="I939" i="5"/>
  <c r="G939" i="5"/>
  <c r="I903" i="5"/>
  <c r="G903" i="5"/>
  <c r="I879" i="5"/>
  <c r="G879" i="5"/>
  <c r="I843" i="5"/>
  <c r="G843" i="5"/>
  <c r="I795" i="5"/>
  <c r="G795" i="5"/>
  <c r="I759" i="5"/>
  <c r="G759" i="5"/>
  <c r="I723" i="5"/>
  <c r="G723" i="5"/>
  <c r="I675" i="5"/>
  <c r="G675" i="5"/>
  <c r="I579" i="5"/>
  <c r="G579" i="5"/>
  <c r="J934" i="5"/>
  <c r="I1097" i="5"/>
  <c r="G881" i="5"/>
  <c r="G519" i="5"/>
  <c r="G76" i="5"/>
  <c r="H1449" i="5"/>
  <c r="J1449" i="5" s="1"/>
  <c r="I1449" i="5"/>
  <c r="H1425" i="5"/>
  <c r="I1425" i="5"/>
  <c r="G1425" i="5"/>
  <c r="H1401" i="5"/>
  <c r="G1401" i="5"/>
  <c r="H1353" i="5"/>
  <c r="I1353" i="5"/>
  <c r="G1353" i="5"/>
  <c r="H1329" i="5"/>
  <c r="G1329" i="5"/>
  <c r="H1317" i="5"/>
  <c r="I1317" i="5"/>
  <c r="G1317" i="5"/>
  <c r="H1293" i="5"/>
  <c r="G1293" i="5"/>
  <c r="H1281" i="5"/>
  <c r="G1281" i="5"/>
  <c r="H1257" i="5"/>
  <c r="I1257" i="5"/>
  <c r="G1257" i="5"/>
  <c r="J1233" i="5"/>
  <c r="H1209" i="5"/>
  <c r="G1209" i="5"/>
  <c r="H1185" i="5"/>
  <c r="G1185" i="5"/>
  <c r="H1161" i="5"/>
  <c r="J1161" i="5" s="1"/>
  <c r="I1161" i="5"/>
  <c r="H1149" i="5"/>
  <c r="I1149" i="5"/>
  <c r="G1149" i="5"/>
  <c r="H1113" i="5"/>
  <c r="I1113" i="5"/>
  <c r="G1113" i="5"/>
  <c r="H1089" i="5"/>
  <c r="G1089" i="5"/>
  <c r="H1077" i="5"/>
  <c r="G1077" i="5"/>
  <c r="H1053" i="5"/>
  <c r="I1053" i="5"/>
  <c r="G1053" i="5"/>
  <c r="H1029" i="5"/>
  <c r="G1029" i="5"/>
  <c r="H1005" i="5"/>
  <c r="J1005" i="5" s="1"/>
  <c r="I1005" i="5"/>
  <c r="H981" i="5"/>
  <c r="G981" i="5"/>
  <c r="H969" i="5"/>
  <c r="G969" i="5"/>
  <c r="H945" i="5"/>
  <c r="G945" i="5"/>
  <c r="I945" i="5"/>
  <c r="H921" i="5"/>
  <c r="G921" i="5"/>
  <c r="H897" i="5"/>
  <c r="J897" i="5" s="1"/>
  <c r="I897" i="5"/>
  <c r="H873" i="5"/>
  <c r="I873" i="5"/>
  <c r="G873" i="5"/>
  <c r="H849" i="5"/>
  <c r="G849" i="5"/>
  <c r="I849" i="5"/>
  <c r="H825" i="5"/>
  <c r="G825" i="5"/>
  <c r="H801" i="5"/>
  <c r="I801" i="5"/>
  <c r="G801" i="5"/>
  <c r="H777" i="5"/>
  <c r="G777" i="5"/>
  <c r="I777" i="5"/>
  <c r="H729" i="5"/>
  <c r="G729" i="5"/>
  <c r="H705" i="5"/>
  <c r="G705" i="5"/>
  <c r="H657" i="5"/>
  <c r="G657" i="5"/>
  <c r="J609" i="5"/>
  <c r="H597" i="5"/>
  <c r="G597" i="5"/>
  <c r="H573" i="5"/>
  <c r="G573" i="5"/>
  <c r="I573" i="5"/>
  <c r="H549" i="5"/>
  <c r="G549" i="5"/>
  <c r="H513" i="5"/>
  <c r="G513" i="5"/>
  <c r="I513" i="5"/>
  <c r="I489" i="5"/>
  <c r="G489" i="5"/>
  <c r="H465" i="5"/>
  <c r="G465" i="5"/>
  <c r="H417" i="5"/>
  <c r="G417" i="5"/>
  <c r="I417" i="5"/>
  <c r="J393" i="5"/>
  <c r="H369" i="5"/>
  <c r="G369" i="5"/>
  <c r="I369" i="5"/>
  <c r="H333" i="5"/>
  <c r="G333" i="5"/>
  <c r="I333" i="5"/>
  <c r="H309" i="5"/>
  <c r="J309" i="5" s="1"/>
  <c r="I309" i="5"/>
  <c r="G309" i="5"/>
  <c r="H285" i="5"/>
  <c r="G285" i="5"/>
  <c r="H273" i="5"/>
  <c r="J273" i="5" s="1"/>
  <c r="I273" i="5"/>
  <c r="H249" i="5"/>
  <c r="G249" i="5"/>
  <c r="H225" i="5"/>
  <c r="G225" i="5"/>
  <c r="H177" i="5"/>
  <c r="G177" i="5"/>
  <c r="H153" i="5"/>
  <c r="I153" i="5"/>
  <c r="G153" i="5"/>
  <c r="H129" i="5"/>
  <c r="G129" i="5"/>
  <c r="H105" i="5"/>
  <c r="G105" i="5"/>
  <c r="H81" i="5"/>
  <c r="G81" i="5"/>
  <c r="H45" i="5"/>
  <c r="G45" i="5"/>
  <c r="I45" i="5"/>
  <c r="H33" i="5"/>
  <c r="G33" i="5"/>
  <c r="I33" i="5"/>
  <c r="H9" i="5"/>
  <c r="G9" i="5"/>
  <c r="I1269" i="5"/>
  <c r="I861" i="5"/>
  <c r="I681" i="5"/>
  <c r="I640" i="5"/>
  <c r="I425" i="5"/>
  <c r="I329" i="5"/>
  <c r="I141" i="5"/>
  <c r="G1377" i="5"/>
  <c r="J1377" i="5" s="1"/>
  <c r="G1192" i="5"/>
  <c r="G1144" i="5"/>
  <c r="G1059" i="5"/>
  <c r="J1059" i="5" s="1"/>
  <c r="G975" i="5"/>
  <c r="G940" i="5"/>
  <c r="G878" i="5"/>
  <c r="G796" i="5"/>
  <c r="G542" i="5"/>
  <c r="J542" i="5" s="1"/>
  <c r="G518" i="5"/>
  <c r="G472" i="5"/>
  <c r="G441" i="5"/>
  <c r="J441" i="5" s="1"/>
  <c r="G218" i="5"/>
  <c r="G101" i="5"/>
  <c r="G69" i="5"/>
  <c r="H1448" i="5"/>
  <c r="J1448" i="5" s="1"/>
  <c r="I1448" i="5"/>
  <c r="J1436" i="5"/>
  <c r="H1424" i="5"/>
  <c r="G1424" i="5"/>
  <c r="I1424" i="5"/>
  <c r="H1412" i="5"/>
  <c r="G1412" i="5"/>
  <c r="H1400" i="5"/>
  <c r="J1400" i="5" s="1"/>
  <c r="I1400" i="5"/>
  <c r="I1388" i="5"/>
  <c r="G1388" i="5"/>
  <c r="I1352" i="5"/>
  <c r="G1352" i="5"/>
  <c r="J1304" i="5"/>
  <c r="H1292" i="5"/>
  <c r="G1292" i="5"/>
  <c r="I1292" i="5"/>
  <c r="H1280" i="5"/>
  <c r="G1280" i="5"/>
  <c r="J1268" i="5"/>
  <c r="H1256" i="5"/>
  <c r="J1256" i="5" s="1"/>
  <c r="I1256" i="5"/>
  <c r="I1208" i="5"/>
  <c r="G1208" i="5"/>
  <c r="J1160" i="5"/>
  <c r="H1148" i="5"/>
  <c r="I1148" i="5"/>
  <c r="G1148" i="5"/>
  <c r="H1136" i="5"/>
  <c r="G1136" i="5"/>
  <c r="H1124" i="5"/>
  <c r="J1124" i="5" s="1"/>
  <c r="I1124" i="5"/>
  <c r="H1112" i="5"/>
  <c r="G1112" i="5"/>
  <c r="I1088" i="5"/>
  <c r="G1088" i="5"/>
  <c r="I1076" i="5"/>
  <c r="G1076" i="5"/>
  <c r="H1016" i="5"/>
  <c r="I1016" i="5"/>
  <c r="G1016" i="5"/>
  <c r="J1004" i="5"/>
  <c r="H992" i="5"/>
  <c r="G992" i="5"/>
  <c r="I968" i="5"/>
  <c r="G968" i="5"/>
  <c r="H944" i="5"/>
  <c r="G944" i="5"/>
  <c r="H932" i="5"/>
  <c r="G932" i="5"/>
  <c r="I920" i="5"/>
  <c r="G920" i="5"/>
  <c r="J860" i="5"/>
  <c r="H848" i="5"/>
  <c r="I848" i="5"/>
  <c r="G848" i="5"/>
  <c r="G836" i="5"/>
  <c r="I836" i="5"/>
  <c r="I824" i="5"/>
  <c r="G824" i="5"/>
  <c r="H788" i="5"/>
  <c r="G788" i="5"/>
  <c r="I740" i="5"/>
  <c r="G740" i="5"/>
  <c r="I1268" i="5"/>
  <c r="I1229" i="5"/>
  <c r="I1193" i="5"/>
  <c r="I952" i="5"/>
  <c r="I760" i="5"/>
  <c r="I729" i="5"/>
  <c r="I465" i="5"/>
  <c r="I328" i="5"/>
  <c r="G1456" i="5"/>
  <c r="G1432" i="5"/>
  <c r="G1376" i="5"/>
  <c r="G1323" i="5"/>
  <c r="G1217" i="5"/>
  <c r="G1191" i="5"/>
  <c r="G1142" i="5"/>
  <c r="G1085" i="5"/>
  <c r="J1085" i="5" s="1"/>
  <c r="G1058" i="5"/>
  <c r="J1058" i="5" s="1"/>
  <c r="G938" i="5"/>
  <c r="G820" i="5"/>
  <c r="G753" i="5"/>
  <c r="J753" i="5" s="1"/>
  <c r="G699" i="5"/>
  <c r="G603" i="5"/>
  <c r="G471" i="5"/>
  <c r="G273" i="5"/>
  <c r="G213" i="5"/>
  <c r="G172" i="5"/>
  <c r="J172" i="5" s="1"/>
  <c r="G136" i="5"/>
  <c r="G100" i="5"/>
  <c r="G17" i="5"/>
  <c r="H1369" i="5"/>
  <c r="I1369" i="5"/>
  <c r="G1369" i="5"/>
  <c r="H1333" i="5"/>
  <c r="G1333" i="5"/>
  <c r="G1297" i="5"/>
  <c r="I1297" i="5"/>
  <c r="H1105" i="5"/>
  <c r="G1105" i="5"/>
  <c r="H1069" i="5"/>
  <c r="G1069" i="5"/>
  <c r="I985" i="5"/>
  <c r="G985" i="5"/>
  <c r="H901" i="5"/>
  <c r="G901" i="5"/>
  <c r="I853" i="5"/>
  <c r="G853" i="5"/>
  <c r="H817" i="5"/>
  <c r="G817" i="5"/>
  <c r="I817" i="5"/>
  <c r="I781" i="5"/>
  <c r="G781" i="5"/>
  <c r="H733" i="5"/>
  <c r="G733" i="5"/>
  <c r="I685" i="5"/>
  <c r="G685" i="5"/>
  <c r="H625" i="5"/>
  <c r="G625" i="5"/>
  <c r="H577" i="5"/>
  <c r="J577" i="5" s="1"/>
  <c r="G577" i="5"/>
  <c r="I577" i="5"/>
  <c r="H529" i="5"/>
  <c r="G529" i="5"/>
  <c r="H481" i="5"/>
  <c r="G481" i="5"/>
  <c r="H433" i="5"/>
  <c r="G433" i="5"/>
  <c r="I397" i="5"/>
  <c r="G397" i="5"/>
  <c r="H361" i="5"/>
  <c r="I361" i="5"/>
  <c r="H277" i="5"/>
  <c r="I277" i="5"/>
  <c r="H229" i="5"/>
  <c r="G229" i="5"/>
  <c r="I229" i="5"/>
  <c r="H97" i="5"/>
  <c r="I97" i="5"/>
  <c r="G97" i="5"/>
  <c r="H61" i="5"/>
  <c r="G61" i="5"/>
  <c r="H25" i="5"/>
  <c r="J25" i="5" s="1"/>
  <c r="G25" i="5"/>
  <c r="I1189" i="5"/>
  <c r="I625" i="5"/>
  <c r="J1380" i="5"/>
  <c r="H1224" i="5"/>
  <c r="G1224" i="5"/>
  <c r="I1224" i="5"/>
  <c r="J1176" i="5"/>
  <c r="J1080" i="5"/>
  <c r="H1044" i="5"/>
  <c r="J1044" i="5" s="1"/>
  <c r="I1044" i="5"/>
  <c r="G1044" i="5"/>
  <c r="H792" i="5"/>
  <c r="J792" i="5" s="1"/>
  <c r="I792" i="5"/>
  <c r="H744" i="5"/>
  <c r="J744" i="5" s="1"/>
  <c r="I744" i="5"/>
  <c r="I684" i="5"/>
  <c r="G684" i="5"/>
  <c r="H636" i="5"/>
  <c r="I636" i="5"/>
  <c r="G636" i="5"/>
  <c r="H588" i="5"/>
  <c r="G588" i="5"/>
  <c r="I588" i="5"/>
  <c r="I564" i="5"/>
  <c r="G564" i="5"/>
  <c r="I552" i="5"/>
  <c r="G552" i="5"/>
  <c r="I528" i="5"/>
  <c r="G528" i="5"/>
  <c r="H516" i="5"/>
  <c r="G516" i="5"/>
  <c r="J492" i="5"/>
  <c r="H480" i="5"/>
  <c r="I480" i="5"/>
  <c r="G480" i="5"/>
  <c r="H468" i="5"/>
  <c r="J468" i="5" s="1"/>
  <c r="G468" i="5"/>
  <c r="I468" i="5"/>
  <c r="I444" i="5"/>
  <c r="G444" i="5"/>
  <c r="H432" i="5"/>
  <c r="G432" i="5"/>
  <c r="I432" i="5"/>
  <c r="H420" i="5"/>
  <c r="J420" i="5" s="1"/>
  <c r="G420" i="5"/>
  <c r="I420" i="5"/>
  <c r="I408" i="5"/>
  <c r="G408" i="5"/>
  <c r="H360" i="5"/>
  <c r="G360" i="5"/>
  <c r="I360" i="5"/>
  <c r="H336" i="5"/>
  <c r="G336" i="5"/>
  <c r="H324" i="5"/>
  <c r="J324" i="5" s="1"/>
  <c r="I324" i="5"/>
  <c r="H312" i="5"/>
  <c r="G312" i="5"/>
  <c r="I312" i="5"/>
  <c r="J276" i="5"/>
  <c r="I240" i="5"/>
  <c r="G240" i="5"/>
  <c r="H228" i="5"/>
  <c r="G228" i="5"/>
  <c r="H216" i="5"/>
  <c r="G216" i="5"/>
  <c r="I216" i="5"/>
  <c r="H204" i="5"/>
  <c r="G204" i="5"/>
  <c r="H180" i="5"/>
  <c r="G180" i="5"/>
  <c r="H168" i="5"/>
  <c r="G168" i="5"/>
  <c r="H156" i="5"/>
  <c r="J156" i="5" s="1"/>
  <c r="I156" i="5"/>
  <c r="I144" i="5"/>
  <c r="G144" i="5"/>
  <c r="I132" i="5"/>
  <c r="G132" i="5"/>
  <c r="H120" i="5"/>
  <c r="G120" i="5"/>
  <c r="I108" i="5"/>
  <c r="G108" i="5"/>
  <c r="I84" i="5"/>
  <c r="G84" i="5"/>
  <c r="H72" i="5"/>
  <c r="G72" i="5"/>
  <c r="H60" i="5"/>
  <c r="G60" i="5"/>
  <c r="H48" i="5"/>
  <c r="J48" i="5" s="1"/>
  <c r="I48" i="5"/>
  <c r="I36" i="5"/>
  <c r="G36" i="5"/>
  <c r="I24" i="5"/>
  <c r="G24" i="5"/>
  <c r="H12" i="5"/>
  <c r="G12" i="5"/>
  <c r="I1452" i="5"/>
  <c r="I1188" i="5"/>
  <c r="I1018" i="5"/>
  <c r="I876" i="5"/>
  <c r="I576" i="5"/>
  <c r="I491" i="5"/>
  <c r="I454" i="5"/>
  <c r="I190" i="5"/>
  <c r="I72" i="5"/>
  <c r="G1463" i="5"/>
  <c r="G1429" i="5"/>
  <c r="G1261" i="5"/>
  <c r="J1261" i="5" s="1"/>
  <c r="G1091" i="5"/>
  <c r="J1091" i="5" s="1"/>
  <c r="G1031" i="5"/>
  <c r="J1031" i="5" s="1"/>
  <c r="G1008" i="5"/>
  <c r="G948" i="5"/>
  <c r="J948" i="5" s="1"/>
  <c r="G886" i="5"/>
  <c r="J886" i="5" s="1"/>
  <c r="G803" i="5"/>
  <c r="J803" i="5" s="1"/>
  <c r="G672" i="5"/>
  <c r="G623" i="5"/>
  <c r="G598" i="5"/>
  <c r="J598" i="5" s="1"/>
  <c r="G576" i="5"/>
  <c r="J576" i="5" s="1"/>
  <c r="G455" i="5"/>
  <c r="G430" i="5"/>
  <c r="J430" i="5" s="1"/>
  <c r="G384" i="5"/>
  <c r="G358" i="5"/>
  <c r="G178" i="5"/>
  <c r="J1393" i="5"/>
  <c r="H1345" i="5"/>
  <c r="J1345" i="5" s="1"/>
  <c r="I1345" i="5"/>
  <c r="H1213" i="5"/>
  <c r="G1213" i="5"/>
  <c r="H1177" i="5"/>
  <c r="G1177" i="5"/>
  <c r="H1081" i="5"/>
  <c r="G1081" i="5"/>
  <c r="I1081" i="5"/>
  <c r="H1033" i="5"/>
  <c r="G1033" i="5"/>
  <c r="I1033" i="5"/>
  <c r="H973" i="5"/>
  <c r="J973" i="5" s="1"/>
  <c r="G973" i="5"/>
  <c r="I925" i="5"/>
  <c r="G925" i="5"/>
  <c r="H877" i="5"/>
  <c r="G877" i="5"/>
  <c r="I841" i="5"/>
  <c r="G841" i="5"/>
  <c r="G793" i="5"/>
  <c r="I793" i="5"/>
  <c r="I721" i="5"/>
  <c r="G721" i="5"/>
  <c r="H673" i="5"/>
  <c r="J673" i="5" s="1"/>
  <c r="G673" i="5"/>
  <c r="I673" i="5"/>
  <c r="H649" i="5"/>
  <c r="G649" i="5"/>
  <c r="H601" i="5"/>
  <c r="G601" i="5"/>
  <c r="I553" i="5"/>
  <c r="G553" i="5"/>
  <c r="H517" i="5"/>
  <c r="G517" i="5"/>
  <c r="I457" i="5"/>
  <c r="G457" i="5"/>
  <c r="H385" i="5"/>
  <c r="G385" i="5"/>
  <c r="H289" i="5"/>
  <c r="G289" i="5"/>
  <c r="I253" i="5"/>
  <c r="G253" i="5"/>
  <c r="H217" i="5"/>
  <c r="I217" i="5"/>
  <c r="G217" i="5"/>
  <c r="H169" i="5"/>
  <c r="G169" i="5"/>
  <c r="H73" i="5"/>
  <c r="G73" i="5"/>
  <c r="I73" i="5"/>
  <c r="J1464" i="5"/>
  <c r="H1368" i="5"/>
  <c r="G1368" i="5"/>
  <c r="H1332" i="5"/>
  <c r="J1332" i="5" s="1"/>
  <c r="I1332" i="5"/>
  <c r="G1296" i="5"/>
  <c r="I1296" i="5"/>
  <c r="J1236" i="5"/>
  <c r="H1020" i="5"/>
  <c r="J1020" i="5" s="1"/>
  <c r="I1020" i="5"/>
  <c r="H888" i="5"/>
  <c r="G888" i="5"/>
  <c r="I852" i="5"/>
  <c r="G852" i="5"/>
  <c r="J816" i="5"/>
  <c r="I768" i="5"/>
  <c r="G768" i="5"/>
  <c r="H624" i="5"/>
  <c r="G624" i="5"/>
  <c r="H1451" i="5"/>
  <c r="G1451" i="5"/>
  <c r="I1451" i="5"/>
  <c r="H1415" i="5"/>
  <c r="G1415" i="5"/>
  <c r="H1391" i="5"/>
  <c r="G1391" i="5"/>
  <c r="H1355" i="5"/>
  <c r="G1355" i="5"/>
  <c r="H1331" i="5"/>
  <c r="G1331" i="5"/>
  <c r="H1295" i="5"/>
  <c r="G1295" i="5"/>
  <c r="H1259" i="5"/>
  <c r="G1259" i="5"/>
  <c r="H1223" i="5"/>
  <c r="G1223" i="5"/>
  <c r="H1199" i="5"/>
  <c r="G1199" i="5"/>
  <c r="I1199" i="5"/>
  <c r="H1163" i="5"/>
  <c r="G1163" i="5"/>
  <c r="H1139" i="5"/>
  <c r="G1139" i="5"/>
  <c r="H1115" i="5"/>
  <c r="G1115" i="5"/>
  <c r="J1055" i="5"/>
  <c r="J1043" i="5"/>
  <c r="I983" i="5"/>
  <c r="G983" i="5"/>
  <c r="H971" i="5"/>
  <c r="G971" i="5"/>
  <c r="H947" i="5"/>
  <c r="J947" i="5" s="1"/>
  <c r="I947" i="5"/>
  <c r="H935" i="5"/>
  <c r="G935" i="5"/>
  <c r="H923" i="5"/>
  <c r="J923" i="5" s="1"/>
  <c r="I923" i="5"/>
  <c r="H899" i="5"/>
  <c r="G899" i="5"/>
  <c r="H887" i="5"/>
  <c r="G887" i="5"/>
  <c r="H875" i="5"/>
  <c r="J875" i="5" s="1"/>
  <c r="I875" i="5"/>
  <c r="J863" i="5"/>
  <c r="J851" i="5"/>
  <c r="H839" i="5"/>
  <c r="G839" i="5"/>
  <c r="H827" i="5"/>
  <c r="G827" i="5"/>
  <c r="G779" i="5"/>
  <c r="H779" i="5"/>
  <c r="J779" i="5" s="1"/>
  <c r="J767" i="5"/>
  <c r="H731" i="5"/>
  <c r="G731" i="5"/>
  <c r="H695" i="5"/>
  <c r="G695" i="5"/>
  <c r="J635" i="5"/>
  <c r="H563" i="5"/>
  <c r="G563" i="5"/>
  <c r="I527" i="5"/>
  <c r="G527" i="5"/>
  <c r="H503" i="5"/>
  <c r="G503" i="5"/>
  <c r="J455" i="5"/>
  <c r="H431" i="5"/>
  <c r="G431" i="5"/>
  <c r="H395" i="5"/>
  <c r="G395" i="5"/>
  <c r="I371" i="5"/>
  <c r="G371" i="5"/>
  <c r="H347" i="5"/>
  <c r="G347" i="5"/>
  <c r="H335" i="5"/>
  <c r="G335" i="5"/>
  <c r="I335" i="5"/>
  <c r="H323" i="5"/>
  <c r="G323" i="5"/>
  <c r="H299" i="5"/>
  <c r="G299" i="5"/>
  <c r="I299" i="5"/>
  <c r="H287" i="5"/>
  <c r="G287" i="5"/>
  <c r="H275" i="5"/>
  <c r="G275" i="5"/>
  <c r="H263" i="5"/>
  <c r="G263" i="5"/>
  <c r="H251" i="5"/>
  <c r="G251" i="5"/>
  <c r="I251" i="5"/>
  <c r="I239" i="5"/>
  <c r="G239" i="5"/>
  <c r="I227" i="5"/>
  <c r="G227" i="5"/>
  <c r="H215" i="5"/>
  <c r="G215" i="5"/>
  <c r="H203" i="5"/>
  <c r="G203" i="5"/>
  <c r="H191" i="5"/>
  <c r="G191" i="5"/>
  <c r="H179" i="5"/>
  <c r="G179" i="5"/>
  <c r="H167" i="5"/>
  <c r="G167" i="5"/>
  <c r="H155" i="5"/>
  <c r="G155" i="5"/>
  <c r="H143" i="5"/>
  <c r="G143" i="5"/>
  <c r="H131" i="5"/>
  <c r="G131" i="5"/>
  <c r="H119" i="5"/>
  <c r="G119" i="5"/>
  <c r="I119" i="5"/>
  <c r="H107" i="5"/>
  <c r="G107" i="5"/>
  <c r="I107" i="5"/>
  <c r="I95" i="5"/>
  <c r="G95" i="5"/>
  <c r="I83" i="5"/>
  <c r="G83" i="5"/>
  <c r="H71" i="5"/>
  <c r="G71" i="5"/>
  <c r="H59" i="5"/>
  <c r="G59" i="5"/>
  <c r="H47" i="5"/>
  <c r="G47" i="5"/>
  <c r="I47" i="5"/>
  <c r="H35" i="5"/>
  <c r="G35" i="5"/>
  <c r="H23" i="5"/>
  <c r="G23" i="5"/>
  <c r="H11" i="5"/>
  <c r="G11" i="5"/>
  <c r="H983" i="5"/>
  <c r="J983" i="5" s="1"/>
  <c r="I1153" i="5"/>
  <c r="I971" i="5"/>
  <c r="I901" i="5"/>
  <c r="I733" i="5"/>
  <c r="I694" i="5"/>
  <c r="I623" i="5"/>
  <c r="I490" i="5"/>
  <c r="I154" i="5"/>
  <c r="I71" i="5"/>
  <c r="G1332" i="5"/>
  <c r="G1260" i="5"/>
  <c r="G1090" i="5"/>
  <c r="J1090" i="5" s="1"/>
  <c r="G1007" i="5"/>
  <c r="J1007" i="5" s="1"/>
  <c r="G947" i="5"/>
  <c r="G802" i="5"/>
  <c r="G756" i="5"/>
  <c r="J756" i="5" s="1"/>
  <c r="G671" i="5"/>
  <c r="G550" i="5"/>
  <c r="J550" i="5" s="1"/>
  <c r="G504" i="5"/>
  <c r="G454" i="5"/>
  <c r="J454" i="5" s="1"/>
  <c r="G406" i="5"/>
  <c r="J406" i="5" s="1"/>
  <c r="H1465" i="5"/>
  <c r="J1465" i="5" s="1"/>
  <c r="I1465" i="5"/>
  <c r="J1381" i="5"/>
  <c r="H1321" i="5"/>
  <c r="J1321" i="5" s="1"/>
  <c r="I1321" i="5"/>
  <c r="H1225" i="5"/>
  <c r="G1225" i="5"/>
  <c r="J1189" i="5"/>
  <c r="H1093" i="5"/>
  <c r="G1093" i="5"/>
  <c r="H1057" i="5"/>
  <c r="G1057" i="5"/>
  <c r="I1057" i="5"/>
  <c r="H1045" i="5"/>
  <c r="G1045" i="5"/>
  <c r="I1009" i="5"/>
  <c r="G1009" i="5"/>
  <c r="H997" i="5"/>
  <c r="G997" i="5"/>
  <c r="H961" i="5"/>
  <c r="G961" i="5"/>
  <c r="H949" i="5"/>
  <c r="J949" i="5" s="1"/>
  <c r="G949" i="5"/>
  <c r="H913" i="5"/>
  <c r="G913" i="5"/>
  <c r="H889" i="5"/>
  <c r="G889" i="5"/>
  <c r="H829" i="5"/>
  <c r="G829" i="5"/>
  <c r="H805" i="5"/>
  <c r="G805" i="5"/>
  <c r="H769" i="5"/>
  <c r="G769" i="5"/>
  <c r="H757" i="5"/>
  <c r="J757" i="5" s="1"/>
  <c r="G757" i="5"/>
  <c r="H745" i="5"/>
  <c r="G745" i="5"/>
  <c r="H709" i="5"/>
  <c r="G709" i="5"/>
  <c r="I697" i="5"/>
  <c r="G697" i="5"/>
  <c r="I661" i="5"/>
  <c r="G661" i="5"/>
  <c r="H637" i="5"/>
  <c r="G637" i="5"/>
  <c r="I613" i="5"/>
  <c r="G613" i="5"/>
  <c r="H589" i="5"/>
  <c r="G589" i="5"/>
  <c r="I565" i="5"/>
  <c r="G565" i="5"/>
  <c r="I541" i="5"/>
  <c r="G541" i="5"/>
  <c r="I505" i="5"/>
  <c r="G505" i="5"/>
  <c r="H493" i="5"/>
  <c r="G493" i="5"/>
  <c r="H469" i="5"/>
  <c r="J469" i="5" s="1"/>
  <c r="G469" i="5"/>
  <c r="H445" i="5"/>
  <c r="G445" i="5"/>
  <c r="H421" i="5"/>
  <c r="G421" i="5"/>
  <c r="I409" i="5"/>
  <c r="G409" i="5"/>
  <c r="H373" i="5"/>
  <c r="G373" i="5"/>
  <c r="H325" i="5"/>
  <c r="G325" i="5"/>
  <c r="I301" i="5"/>
  <c r="G301" i="5"/>
  <c r="I265" i="5"/>
  <c r="G265" i="5"/>
  <c r="H181" i="5"/>
  <c r="I181" i="5"/>
  <c r="G181" i="5"/>
  <c r="H157" i="5"/>
  <c r="I157" i="5"/>
  <c r="G157" i="5"/>
  <c r="I85" i="5"/>
  <c r="G85" i="5"/>
  <c r="H49" i="5"/>
  <c r="G49" i="5"/>
  <c r="H13" i="5"/>
  <c r="G13" i="5"/>
  <c r="I1453" i="5"/>
  <c r="I877" i="5"/>
  <c r="G361" i="5"/>
  <c r="G121" i="5"/>
  <c r="G37" i="5"/>
  <c r="J1452" i="5"/>
  <c r="J1392" i="5"/>
  <c r="J1356" i="5"/>
  <c r="H1344" i="5"/>
  <c r="J1344" i="5" s="1"/>
  <c r="I1344" i="5"/>
  <c r="H1308" i="5"/>
  <c r="J1308" i="5" s="1"/>
  <c r="I1308" i="5"/>
  <c r="J1248" i="5"/>
  <c r="H1164" i="5"/>
  <c r="I1164" i="5"/>
  <c r="J1104" i="5"/>
  <c r="H1092" i="5"/>
  <c r="G1092" i="5"/>
  <c r="J1056" i="5"/>
  <c r="H1032" i="5"/>
  <c r="G1032" i="5"/>
  <c r="I1032" i="5"/>
  <c r="I996" i="5"/>
  <c r="G996" i="5"/>
  <c r="H984" i="5"/>
  <c r="G984" i="5"/>
  <c r="G936" i="5"/>
  <c r="I936" i="5"/>
  <c r="H900" i="5"/>
  <c r="J900" i="5" s="1"/>
  <c r="I900" i="5"/>
  <c r="H840" i="5"/>
  <c r="G840" i="5"/>
  <c r="J804" i="5"/>
  <c r="J732" i="5"/>
  <c r="I708" i="5"/>
  <c r="G708" i="5"/>
  <c r="H696" i="5"/>
  <c r="G696" i="5"/>
  <c r="J648" i="5"/>
  <c r="H1439" i="5"/>
  <c r="G1439" i="5"/>
  <c r="I1439" i="5"/>
  <c r="H1427" i="5"/>
  <c r="G1427" i="5"/>
  <c r="H1403" i="5"/>
  <c r="G1403" i="5"/>
  <c r="H1379" i="5"/>
  <c r="G1379" i="5"/>
  <c r="H1367" i="5"/>
  <c r="G1367" i="5"/>
  <c r="I1367" i="5"/>
  <c r="H1343" i="5"/>
  <c r="G1343" i="5"/>
  <c r="H1319" i="5"/>
  <c r="G1319" i="5"/>
  <c r="H1307" i="5"/>
  <c r="G1307" i="5"/>
  <c r="H1283" i="5"/>
  <c r="J1283" i="5" s="1"/>
  <c r="G1283" i="5"/>
  <c r="H1271" i="5"/>
  <c r="G1271" i="5"/>
  <c r="I1271" i="5"/>
  <c r="H1247" i="5"/>
  <c r="G1247" i="5"/>
  <c r="H1235" i="5"/>
  <c r="G1235" i="5"/>
  <c r="H1211" i="5"/>
  <c r="G1211" i="5"/>
  <c r="H1187" i="5"/>
  <c r="G1187" i="5"/>
  <c r="H1175" i="5"/>
  <c r="G1175" i="5"/>
  <c r="I1175" i="5"/>
  <c r="H1151" i="5"/>
  <c r="G1151" i="5"/>
  <c r="H1127" i="5"/>
  <c r="G1127" i="5"/>
  <c r="J1103" i="5"/>
  <c r="H1079" i="5"/>
  <c r="J1079" i="5" s="1"/>
  <c r="I1079" i="5"/>
  <c r="J743" i="5"/>
  <c r="J719" i="5"/>
  <c r="J707" i="5"/>
  <c r="H683" i="5"/>
  <c r="G683" i="5"/>
  <c r="H647" i="5"/>
  <c r="J647" i="5" s="1"/>
  <c r="I647" i="5"/>
  <c r="J623" i="5"/>
  <c r="H611" i="5"/>
  <c r="G611" i="5"/>
  <c r="J587" i="5"/>
  <c r="H575" i="5"/>
  <c r="J575" i="5" s="1"/>
  <c r="I575" i="5"/>
  <c r="H551" i="5"/>
  <c r="J551" i="5" s="1"/>
  <c r="G551" i="5"/>
  <c r="I539" i="5"/>
  <c r="H539" i="5"/>
  <c r="G539" i="5"/>
  <c r="J491" i="5"/>
  <c r="H479" i="5"/>
  <c r="G479" i="5"/>
  <c r="I479" i="5"/>
  <c r="H467" i="5"/>
  <c r="G467" i="5"/>
  <c r="J443" i="5"/>
  <c r="H419" i="5"/>
  <c r="J419" i="5" s="1"/>
  <c r="I419" i="5"/>
  <c r="H407" i="5"/>
  <c r="G407" i="5"/>
  <c r="I383" i="5"/>
  <c r="G383" i="5"/>
  <c r="H359" i="5"/>
  <c r="G359" i="5"/>
  <c r="H311" i="5"/>
  <c r="G311" i="5"/>
  <c r="I311" i="5"/>
  <c r="H1462" i="5"/>
  <c r="G1462" i="5"/>
  <c r="H1450" i="5"/>
  <c r="G1450" i="5"/>
  <c r="I1450" i="5"/>
  <c r="H1438" i="5"/>
  <c r="G1438" i="5"/>
  <c r="H1426" i="5"/>
  <c r="G1426" i="5"/>
  <c r="I1426" i="5"/>
  <c r="H1414" i="5"/>
  <c r="G1414" i="5"/>
  <c r="H1402" i="5"/>
  <c r="G1402" i="5"/>
  <c r="H1390" i="5"/>
  <c r="G1390" i="5"/>
  <c r="H1378" i="5"/>
  <c r="G1378" i="5"/>
  <c r="H1366" i="5"/>
  <c r="G1366" i="5"/>
  <c r="I1366" i="5"/>
  <c r="H1354" i="5"/>
  <c r="G1354" i="5"/>
  <c r="H1342" i="5"/>
  <c r="G1342" i="5"/>
  <c r="H1330" i="5"/>
  <c r="J1330" i="5" s="1"/>
  <c r="G1330" i="5"/>
  <c r="H1318" i="5"/>
  <c r="G1318" i="5"/>
  <c r="I1318" i="5"/>
  <c r="H1306" i="5"/>
  <c r="G1306" i="5"/>
  <c r="H1294" i="5"/>
  <c r="G1294" i="5"/>
  <c r="H1282" i="5"/>
  <c r="G1282" i="5"/>
  <c r="H1270" i="5"/>
  <c r="G1270" i="5"/>
  <c r="H1258" i="5"/>
  <c r="G1258" i="5"/>
  <c r="H1246" i="5"/>
  <c r="G1246" i="5"/>
  <c r="H1234" i="5"/>
  <c r="G1234" i="5"/>
  <c r="H1222" i="5"/>
  <c r="G1222" i="5"/>
  <c r="I1222" i="5"/>
  <c r="H1210" i="5"/>
  <c r="G1210" i="5"/>
  <c r="H1198" i="5"/>
  <c r="J1198" i="5" s="1"/>
  <c r="G1198" i="5"/>
  <c r="I1198" i="5"/>
  <c r="H1186" i="5"/>
  <c r="G1186" i="5"/>
  <c r="H1174" i="5"/>
  <c r="G1174" i="5"/>
  <c r="I1174" i="5"/>
  <c r="H1162" i="5"/>
  <c r="G1162" i="5"/>
  <c r="H1150" i="5"/>
  <c r="G1150" i="5"/>
  <c r="I1150" i="5"/>
  <c r="H1138" i="5"/>
  <c r="G1138" i="5"/>
  <c r="H1126" i="5"/>
  <c r="G1126" i="5"/>
  <c r="H1114" i="5"/>
  <c r="G1114" i="5"/>
  <c r="H1102" i="5"/>
  <c r="G1102" i="5"/>
  <c r="H1078" i="5"/>
  <c r="I1078" i="5"/>
  <c r="G1078" i="5"/>
  <c r="J1054" i="5"/>
  <c r="H1030" i="5"/>
  <c r="G1030" i="5"/>
  <c r="J1018" i="5"/>
  <c r="J994" i="5"/>
  <c r="H982" i="5"/>
  <c r="G982" i="5"/>
  <c r="H958" i="5"/>
  <c r="G958" i="5"/>
  <c r="H898" i="5"/>
  <c r="J898" i="5" s="1"/>
  <c r="I898" i="5"/>
  <c r="H874" i="5"/>
  <c r="J874" i="5" s="1"/>
  <c r="I874" i="5"/>
  <c r="H862" i="5"/>
  <c r="G862" i="5"/>
  <c r="J850" i="5"/>
  <c r="J838" i="5"/>
  <c r="H826" i="5"/>
  <c r="G826" i="5"/>
  <c r="H814" i="5"/>
  <c r="G814" i="5"/>
  <c r="H778" i="5"/>
  <c r="G778" i="5"/>
  <c r="I778" i="5"/>
  <c r="H742" i="5"/>
  <c r="I742" i="5"/>
  <c r="G742" i="5"/>
  <c r="J706" i="5"/>
  <c r="J694" i="5"/>
  <c r="H682" i="5"/>
  <c r="G682" i="5"/>
  <c r="H670" i="5"/>
  <c r="J670" i="5" s="1"/>
  <c r="G670" i="5"/>
  <c r="I658" i="5"/>
  <c r="G658" i="5"/>
  <c r="I646" i="5"/>
  <c r="G646" i="5"/>
  <c r="H634" i="5"/>
  <c r="J634" i="5" s="1"/>
  <c r="I634" i="5"/>
  <c r="H622" i="5"/>
  <c r="G622" i="5"/>
  <c r="H610" i="5"/>
  <c r="G610" i="5"/>
  <c r="H574" i="5"/>
  <c r="J574" i="5" s="1"/>
  <c r="G574" i="5"/>
  <c r="H562" i="5"/>
  <c r="G562" i="5"/>
  <c r="H526" i="5"/>
  <c r="G526" i="5"/>
  <c r="H478" i="5"/>
  <c r="J478" i="5" s="1"/>
  <c r="I478" i="5"/>
  <c r="J466" i="5"/>
  <c r="H418" i="5"/>
  <c r="G418" i="5"/>
  <c r="H394" i="5"/>
  <c r="G394" i="5"/>
  <c r="H382" i="5"/>
  <c r="G382" i="5"/>
  <c r="I370" i="5"/>
  <c r="G370" i="5"/>
  <c r="H346" i="5"/>
  <c r="G346" i="5"/>
  <c r="H334" i="5"/>
  <c r="G334" i="5"/>
  <c r="I334" i="5"/>
  <c r="H322" i="5"/>
  <c r="J322" i="5" s="1"/>
  <c r="G322" i="5"/>
  <c r="H310" i="5"/>
  <c r="G310" i="5"/>
  <c r="J298" i="5"/>
  <c r="H286" i="5"/>
  <c r="G286" i="5"/>
  <c r="H274" i="5"/>
  <c r="J274" i="5" s="1"/>
  <c r="I274" i="5"/>
  <c r="H262" i="5"/>
  <c r="G262" i="5"/>
  <c r="H250" i="5"/>
  <c r="J250" i="5" s="1"/>
  <c r="I250" i="5"/>
  <c r="H238" i="5"/>
  <c r="G238" i="5"/>
  <c r="I214" i="5"/>
  <c r="G214" i="5"/>
  <c r="H202" i="5"/>
  <c r="G202" i="5"/>
  <c r="J190" i="5"/>
  <c r="J178" i="5"/>
  <c r="H166" i="5"/>
  <c r="G166" i="5"/>
  <c r="J154" i="5"/>
  <c r="H142" i="5"/>
  <c r="G142" i="5"/>
  <c r="J130" i="5"/>
  <c r="H118" i="5"/>
  <c r="G118" i="5"/>
  <c r="H106" i="5"/>
  <c r="G106" i="5"/>
  <c r="I70" i="5"/>
  <c r="G70" i="5"/>
  <c r="H58" i="5"/>
  <c r="G58" i="5"/>
  <c r="H46" i="5"/>
  <c r="G46" i="5"/>
  <c r="H34" i="5"/>
  <c r="I34" i="5"/>
  <c r="G34" i="5"/>
  <c r="H10" i="5"/>
  <c r="G10" i="5"/>
  <c r="I10" i="5"/>
  <c r="H970" i="5"/>
  <c r="J970" i="5" s="1"/>
  <c r="I1343" i="5"/>
  <c r="I1282" i="5"/>
  <c r="I1213" i="5"/>
  <c r="I1186" i="5"/>
  <c r="I1152" i="5"/>
  <c r="I1069" i="5"/>
  <c r="I1045" i="5"/>
  <c r="I970" i="5"/>
  <c r="I937" i="5"/>
  <c r="I899" i="5"/>
  <c r="I865" i="5"/>
  <c r="I805" i="5"/>
  <c r="I766" i="5"/>
  <c r="I732" i="5"/>
  <c r="I622" i="5"/>
  <c r="I529" i="5"/>
  <c r="I407" i="5"/>
  <c r="I337" i="5"/>
  <c r="I228" i="5"/>
  <c r="I180" i="5"/>
  <c r="G1164" i="5"/>
  <c r="G1129" i="5"/>
  <c r="G1068" i="5"/>
  <c r="J1068" i="5" s="1"/>
  <c r="G1006" i="5"/>
  <c r="J1006" i="5" s="1"/>
  <c r="G946" i="5"/>
  <c r="G863" i="5"/>
  <c r="G755" i="5"/>
  <c r="J755" i="5" s="1"/>
  <c r="G502" i="5"/>
  <c r="G277" i="5"/>
  <c r="G205" i="5"/>
  <c r="G145" i="5"/>
  <c r="J1422" i="5"/>
  <c r="H1410" i="5"/>
  <c r="G1410" i="5"/>
  <c r="H1398" i="5"/>
  <c r="J1398" i="5" s="1"/>
  <c r="I1398" i="5"/>
  <c r="J1386" i="5"/>
  <c r="I1338" i="5"/>
  <c r="G1338" i="5"/>
  <c r="H1278" i="5"/>
  <c r="J1278" i="5" s="1"/>
  <c r="I1278" i="5"/>
  <c r="H1266" i="5"/>
  <c r="I1266" i="5"/>
  <c r="G1266" i="5"/>
  <c r="J1242" i="5"/>
  <c r="I1194" i="5"/>
  <c r="G1194" i="5"/>
  <c r="J1134" i="5"/>
  <c r="H1122" i="5"/>
  <c r="G1122" i="5"/>
  <c r="I1122" i="5"/>
  <c r="J1086" i="5"/>
  <c r="I1050" i="5"/>
  <c r="G1050" i="5"/>
  <c r="H918" i="5"/>
  <c r="G918" i="5"/>
  <c r="H906" i="5"/>
  <c r="G906" i="5"/>
  <c r="H846" i="5"/>
  <c r="J846" i="5" s="1"/>
  <c r="I846" i="5"/>
  <c r="I810" i="5"/>
  <c r="G810" i="5"/>
  <c r="H774" i="5"/>
  <c r="G774" i="5"/>
  <c r="H762" i="5"/>
  <c r="G762" i="5"/>
  <c r="H714" i="5"/>
  <c r="J714" i="5" s="1"/>
  <c r="I714" i="5"/>
  <c r="H666" i="5"/>
  <c r="J666" i="5" s="1"/>
  <c r="I666" i="5"/>
  <c r="I630" i="5"/>
  <c r="G630" i="5"/>
  <c r="H618" i="5"/>
  <c r="G618" i="5"/>
  <c r="I618" i="5"/>
  <c r="I606" i="5"/>
  <c r="G606" i="5"/>
  <c r="H558" i="5"/>
  <c r="G558" i="5"/>
  <c r="H510" i="5"/>
  <c r="G510" i="5"/>
  <c r="I486" i="5"/>
  <c r="G486" i="5"/>
  <c r="I474" i="5"/>
  <c r="G474" i="5"/>
  <c r="I450" i="5"/>
  <c r="G450" i="5"/>
  <c r="H438" i="5"/>
  <c r="G438" i="5"/>
  <c r="H402" i="5"/>
  <c r="G402" i="5"/>
  <c r="H390" i="5"/>
  <c r="I390" i="5"/>
  <c r="G390" i="5"/>
  <c r="H354" i="5"/>
  <c r="G354" i="5"/>
  <c r="I318" i="5"/>
  <c r="G318" i="5"/>
  <c r="H294" i="5"/>
  <c r="G294" i="5"/>
  <c r="H282" i="5"/>
  <c r="G282" i="5"/>
  <c r="J234" i="5"/>
  <c r="I210" i="5"/>
  <c r="G210" i="5"/>
  <c r="H198" i="5"/>
  <c r="G198" i="5"/>
  <c r="H186" i="5"/>
  <c r="G186" i="5"/>
  <c r="I150" i="5"/>
  <c r="G150" i="5"/>
  <c r="H138" i="5"/>
  <c r="G138" i="5"/>
  <c r="H126" i="5"/>
  <c r="G126" i="5"/>
  <c r="I66" i="5"/>
  <c r="G66" i="5"/>
  <c r="I30" i="5"/>
  <c r="G30" i="5"/>
  <c r="I6" i="5"/>
  <c r="G6" i="5"/>
  <c r="I1410" i="5"/>
  <c r="I1098" i="5"/>
  <c r="I966" i="5"/>
  <c r="I498" i="5"/>
  <c r="I90" i="5"/>
  <c r="G882" i="5"/>
  <c r="G570" i="5"/>
  <c r="G426" i="5"/>
  <c r="J704" i="5"/>
  <c r="H656" i="5"/>
  <c r="G656" i="5"/>
  <c r="I644" i="5"/>
  <c r="G644" i="5"/>
  <c r="J608" i="5"/>
  <c r="J560" i="5"/>
  <c r="J548" i="5"/>
  <c r="H512" i="5"/>
  <c r="G512" i="5"/>
  <c r="H500" i="5"/>
  <c r="G500" i="5"/>
  <c r="J452" i="5"/>
  <c r="J404" i="5"/>
  <c r="I320" i="5"/>
  <c r="G320" i="5"/>
  <c r="H296" i="5"/>
  <c r="G296" i="5"/>
  <c r="J236" i="5"/>
  <c r="I224" i="5"/>
  <c r="G224" i="5"/>
  <c r="I176" i="5"/>
  <c r="G176" i="5"/>
  <c r="I164" i="5"/>
  <c r="G164" i="5"/>
  <c r="J128" i="5"/>
  <c r="J92" i="5"/>
  <c r="J80" i="5"/>
  <c r="I56" i="5"/>
  <c r="G56" i="5"/>
  <c r="H32" i="5"/>
  <c r="G32" i="5"/>
  <c r="H20" i="5"/>
  <c r="G20" i="5"/>
  <c r="I8" i="5"/>
  <c r="G8" i="5"/>
  <c r="I1399" i="5"/>
  <c r="I1327" i="5"/>
  <c r="I1039" i="5"/>
  <c r="I1015" i="5"/>
  <c r="I979" i="5"/>
  <c r="I715" i="5"/>
  <c r="I679" i="5"/>
  <c r="I583" i="5"/>
  <c r="I451" i="5"/>
  <c r="I127" i="5"/>
  <c r="G1411" i="5"/>
  <c r="J1411" i="5" s="1"/>
  <c r="G1339" i="5"/>
  <c r="J1339" i="5" s="1"/>
  <c r="G1267" i="5"/>
  <c r="J1267" i="5" s="1"/>
  <c r="G1015" i="5"/>
  <c r="J1015" i="5" s="1"/>
  <c r="G716" i="5"/>
  <c r="J716" i="5" s="1"/>
  <c r="G668" i="5"/>
  <c r="J668" i="5" s="1"/>
  <c r="G559" i="5"/>
  <c r="J559" i="5" s="1"/>
  <c r="G199" i="5"/>
  <c r="J199" i="5" s="1"/>
  <c r="G67" i="5"/>
  <c r="J1459" i="5"/>
  <c r="J1387" i="5"/>
  <c r="J1327" i="5"/>
  <c r="J1315" i="5"/>
  <c r="J1303" i="5"/>
  <c r="J1243" i="5"/>
  <c r="J1219" i="5"/>
  <c r="J1207" i="5"/>
  <c r="H1195" i="5"/>
  <c r="J1195" i="5" s="1"/>
  <c r="I1195" i="5"/>
  <c r="H1123" i="5"/>
  <c r="J1123" i="5" s="1"/>
  <c r="I1123" i="5"/>
  <c r="J1087" i="5"/>
  <c r="H1075" i="5"/>
  <c r="G1075" i="5"/>
  <c r="H1063" i="5"/>
  <c r="G1063" i="5"/>
  <c r="J1039" i="5"/>
  <c r="J979" i="5"/>
  <c r="H967" i="5"/>
  <c r="J967" i="5" s="1"/>
  <c r="I967" i="5"/>
  <c r="J943" i="5"/>
  <c r="H931" i="5"/>
  <c r="G931" i="5"/>
  <c r="H919" i="5"/>
  <c r="I919" i="5"/>
  <c r="G919" i="5"/>
  <c r="J883" i="5"/>
  <c r="H847" i="5"/>
  <c r="J847" i="5" s="1"/>
  <c r="I847" i="5"/>
  <c r="J835" i="5"/>
  <c r="H787" i="5"/>
  <c r="G787" i="5"/>
  <c r="H775" i="5"/>
  <c r="I775" i="5"/>
  <c r="G775" i="5"/>
  <c r="J739" i="5"/>
  <c r="H727" i="5"/>
  <c r="J727" i="5" s="1"/>
  <c r="I727" i="5"/>
  <c r="H691" i="5"/>
  <c r="J691" i="5" s="1"/>
  <c r="I691" i="5"/>
  <c r="H643" i="5"/>
  <c r="G643" i="5"/>
  <c r="H631" i="5"/>
  <c r="G631" i="5"/>
  <c r="H607" i="5"/>
  <c r="J607" i="5" s="1"/>
  <c r="I607" i="5"/>
  <c r="J595" i="5"/>
  <c r="J583" i="5"/>
  <c r="J547" i="5"/>
  <c r="H511" i="5"/>
  <c r="J511" i="5" s="1"/>
  <c r="I511" i="5"/>
  <c r="H499" i="5"/>
  <c r="G499" i="5"/>
  <c r="H487" i="5"/>
  <c r="G487" i="5"/>
  <c r="J475" i="5"/>
  <c r="J451" i="5"/>
  <c r="H427" i="5"/>
  <c r="J427" i="5" s="1"/>
  <c r="I427" i="5"/>
  <c r="H403" i="5"/>
  <c r="J403" i="5" s="1"/>
  <c r="I403" i="5"/>
  <c r="H367" i="5"/>
  <c r="G367" i="5"/>
  <c r="H343" i="5"/>
  <c r="J343" i="5" s="1"/>
  <c r="I343" i="5"/>
  <c r="H307" i="5"/>
  <c r="G307" i="5"/>
  <c r="H283" i="5"/>
  <c r="G283" i="5"/>
  <c r="J259" i="5"/>
  <c r="H247" i="5"/>
  <c r="J247" i="5" s="1"/>
  <c r="I247" i="5"/>
  <c r="H211" i="5"/>
  <c r="G211" i="5"/>
  <c r="H163" i="5"/>
  <c r="G163" i="5"/>
  <c r="H151" i="5"/>
  <c r="G151" i="5"/>
  <c r="H139" i="5"/>
  <c r="J139" i="5" s="1"/>
  <c r="I139" i="5"/>
  <c r="J115" i="5"/>
  <c r="H103" i="5"/>
  <c r="G103" i="5"/>
  <c r="J91" i="5"/>
  <c r="H55" i="5"/>
  <c r="G55" i="5"/>
  <c r="H19" i="5"/>
  <c r="G19" i="5"/>
  <c r="H7" i="5"/>
  <c r="G7" i="5"/>
  <c r="I955" i="5"/>
  <c r="I643" i="5"/>
  <c r="I499" i="5"/>
  <c r="G763" i="5"/>
  <c r="J763" i="5" s="1"/>
  <c r="G715" i="5"/>
  <c r="J715" i="5" s="1"/>
  <c r="G667" i="5"/>
  <c r="J667" i="5" s="1"/>
  <c r="G464" i="5"/>
  <c r="J464" i="5" s="1"/>
  <c r="G284" i="5"/>
  <c r="J284" i="5" s="1"/>
  <c r="G248" i="5"/>
  <c r="J248" i="5" s="1"/>
  <c r="H1431" i="5"/>
  <c r="J1431" i="5" s="1"/>
  <c r="I1431" i="5"/>
  <c r="H1287" i="5"/>
  <c r="J1287" i="5" s="1"/>
  <c r="I1287" i="5"/>
  <c r="H1263" i="5"/>
  <c r="J1263" i="5" s="1"/>
  <c r="I1263" i="5"/>
  <c r="H1143" i="5"/>
  <c r="J1143" i="5" s="1"/>
  <c r="I1143" i="5"/>
  <c r="H1119" i="5"/>
  <c r="J1119" i="5" s="1"/>
  <c r="I1119" i="5"/>
  <c r="I1203" i="5"/>
  <c r="I1107" i="5"/>
  <c r="H1406" i="5"/>
  <c r="J1406" i="5" s="1"/>
  <c r="I1406" i="5"/>
  <c r="H1262" i="5"/>
  <c r="J1262" i="5" s="1"/>
  <c r="I1262" i="5"/>
  <c r="H1250" i="5"/>
  <c r="J1250" i="5" s="1"/>
  <c r="I1250" i="5"/>
  <c r="H1118" i="5"/>
  <c r="J1118" i="5" s="1"/>
  <c r="I1118" i="5"/>
  <c r="H914" i="5"/>
  <c r="J914" i="5" s="1"/>
  <c r="I914" i="5"/>
  <c r="H842" i="5"/>
  <c r="J842" i="5" s="1"/>
  <c r="I842" i="5"/>
  <c r="H770" i="5"/>
  <c r="J770" i="5" s="1"/>
  <c r="I770" i="5"/>
  <c r="H602" i="5"/>
  <c r="J602" i="5" s="1"/>
  <c r="I602" i="5"/>
  <c r="H446" i="5"/>
  <c r="J446" i="5" s="1"/>
  <c r="I446" i="5"/>
  <c r="I1082" i="5"/>
  <c r="I170" i="5"/>
  <c r="I74" i="5"/>
  <c r="I1334" i="5"/>
  <c r="I806" i="5"/>
  <c r="I1382" i="5"/>
  <c r="I1214" i="5"/>
  <c r="I590" i="5"/>
  <c r="I1347" i="5"/>
  <c r="I1227" i="5"/>
  <c r="I902" i="5"/>
  <c r="I1346" i="5"/>
  <c r="I374" i="5"/>
  <c r="I230" i="5"/>
  <c r="I1359" i="5"/>
  <c r="I1095" i="5"/>
  <c r="I1046" i="5"/>
  <c r="I734" i="5"/>
  <c r="H1328" i="5"/>
  <c r="J1328" i="5" s="1"/>
  <c r="I1328" i="5"/>
  <c r="H1316" i="5"/>
  <c r="J1316" i="5" s="1"/>
  <c r="I1316" i="5"/>
  <c r="I1220" i="5"/>
  <c r="H1220" i="5"/>
  <c r="J1220" i="5" s="1"/>
  <c r="H1184" i="5"/>
  <c r="J1184" i="5" s="1"/>
  <c r="I1184" i="5"/>
  <c r="H1040" i="5"/>
  <c r="J1040" i="5" s="1"/>
  <c r="I1040" i="5"/>
  <c r="H884" i="5"/>
  <c r="J884" i="5" s="1"/>
  <c r="I884" i="5"/>
  <c r="H812" i="5"/>
  <c r="J812" i="5" s="1"/>
  <c r="I812" i="5"/>
  <c r="H764" i="5"/>
  <c r="J764" i="5" s="1"/>
  <c r="I764" i="5"/>
  <c r="H572" i="5"/>
  <c r="J572" i="5" s="1"/>
  <c r="I572" i="5"/>
  <c r="H524" i="5"/>
  <c r="J524" i="5" s="1"/>
  <c r="I524" i="5"/>
  <c r="H368" i="5"/>
  <c r="J368" i="5" s="1"/>
  <c r="I368" i="5"/>
  <c r="H308" i="5"/>
  <c r="J308" i="5" s="1"/>
  <c r="I308" i="5"/>
  <c r="H260" i="5"/>
  <c r="J260" i="5" s="1"/>
  <c r="I260" i="5"/>
  <c r="H212" i="5"/>
  <c r="J212" i="5" s="1"/>
  <c r="I212" i="5"/>
  <c r="H152" i="5"/>
  <c r="J152" i="5" s="1"/>
  <c r="I152" i="5"/>
  <c r="H104" i="5"/>
  <c r="J104" i="5" s="1"/>
  <c r="I104" i="5"/>
  <c r="I1358" i="5"/>
  <c r="I1094" i="5"/>
  <c r="H1170" i="5"/>
  <c r="J1170" i="5" s="1"/>
  <c r="I1170" i="5"/>
  <c r="H1146" i="5"/>
  <c r="J1146" i="5" s="1"/>
  <c r="I1146" i="5"/>
  <c r="H1026" i="5"/>
  <c r="J1026" i="5" s="1"/>
  <c r="I1026" i="5"/>
  <c r="H942" i="5"/>
  <c r="J942" i="5" s="1"/>
  <c r="I942" i="5"/>
  <c r="H870" i="5"/>
  <c r="J870" i="5" s="1"/>
  <c r="I870" i="5"/>
  <c r="I1370" i="5"/>
  <c r="I1058" i="5"/>
  <c r="I962" i="5"/>
  <c r="I918" i="5"/>
  <c r="I702" i="5"/>
  <c r="I248" i="5"/>
  <c r="I128" i="5"/>
  <c r="H1445" i="5"/>
  <c r="J1445" i="5" s="1"/>
  <c r="I1445" i="5"/>
  <c r="H1301" i="5"/>
  <c r="J1301" i="5" s="1"/>
  <c r="I1301" i="5"/>
  <c r="H1157" i="5"/>
  <c r="J1157" i="5" s="1"/>
  <c r="I1157" i="5"/>
  <c r="H1133" i="5"/>
  <c r="J1133" i="5" s="1"/>
  <c r="I1133" i="5"/>
  <c r="H1001" i="5"/>
  <c r="J1001" i="5" s="1"/>
  <c r="I1001" i="5"/>
  <c r="H929" i="5"/>
  <c r="J929" i="5" s="1"/>
  <c r="I929" i="5"/>
  <c r="H845" i="5"/>
  <c r="J845" i="5" s="1"/>
  <c r="I845" i="5"/>
  <c r="H773" i="5"/>
  <c r="J773" i="5" s="1"/>
  <c r="I773" i="5"/>
  <c r="H713" i="5"/>
  <c r="J713" i="5" s="1"/>
  <c r="I713" i="5"/>
  <c r="H665" i="5"/>
  <c r="J665" i="5" s="1"/>
  <c r="I665" i="5"/>
  <c r="H617" i="5"/>
  <c r="J617" i="5" s="1"/>
  <c r="I617" i="5"/>
  <c r="H245" i="5"/>
  <c r="J245" i="5" s="1"/>
  <c r="I245" i="5"/>
  <c r="H137" i="5"/>
  <c r="J137" i="5" s="1"/>
  <c r="I137" i="5"/>
  <c r="I1436" i="5"/>
  <c r="I1412" i="5"/>
  <c r="I1239" i="5"/>
  <c r="I1190" i="5"/>
  <c r="I1134" i="5"/>
  <c r="I1110" i="5"/>
  <c r="I1086" i="5"/>
  <c r="I1071" i="5"/>
  <c r="I977" i="5"/>
  <c r="I917" i="5"/>
  <c r="I832" i="5"/>
  <c r="I748" i="5"/>
  <c r="I701" i="5"/>
  <c r="I652" i="5"/>
  <c r="I605" i="5"/>
  <c r="I578" i="5"/>
  <c r="I558" i="5"/>
  <c r="I532" i="5"/>
  <c r="I500" i="5"/>
  <c r="I484" i="5"/>
  <c r="I464" i="5"/>
  <c r="I386" i="5"/>
  <c r="I296" i="5"/>
  <c r="I221" i="5"/>
  <c r="I198" i="5"/>
  <c r="I78" i="5"/>
  <c r="I32" i="5"/>
  <c r="H1443" i="5"/>
  <c r="J1443" i="5" s="1"/>
  <c r="I1443" i="5"/>
  <c r="H1419" i="5"/>
  <c r="J1419" i="5" s="1"/>
  <c r="I1419" i="5"/>
  <c r="H1407" i="5"/>
  <c r="J1407" i="5" s="1"/>
  <c r="I1407" i="5"/>
  <c r="H1275" i="5"/>
  <c r="J1275" i="5" s="1"/>
  <c r="I1275" i="5"/>
  <c r="H1131" i="5"/>
  <c r="J1131" i="5" s="1"/>
  <c r="I1131" i="5"/>
  <c r="I1083" i="5"/>
  <c r="H1418" i="5"/>
  <c r="J1418" i="5" s="1"/>
  <c r="I1418" i="5"/>
  <c r="H1394" i="5"/>
  <c r="J1394" i="5" s="1"/>
  <c r="I1394" i="5"/>
  <c r="H1274" i="5"/>
  <c r="J1274" i="5" s="1"/>
  <c r="I1274" i="5"/>
  <c r="H1130" i="5"/>
  <c r="J1130" i="5" s="1"/>
  <c r="I1130" i="5"/>
  <c r="H1106" i="5"/>
  <c r="J1106" i="5" s="1"/>
  <c r="I1106" i="5"/>
  <c r="H986" i="5"/>
  <c r="J986" i="5" s="1"/>
  <c r="I986" i="5"/>
  <c r="H926" i="5"/>
  <c r="J926" i="5" s="1"/>
  <c r="I926" i="5"/>
  <c r="H830" i="5"/>
  <c r="J830" i="5" s="1"/>
  <c r="I830" i="5"/>
  <c r="H290" i="5"/>
  <c r="J290" i="5" s="1"/>
  <c r="I290" i="5"/>
  <c r="H26" i="5"/>
  <c r="J26" i="5" s="1"/>
  <c r="I26" i="5"/>
  <c r="I1202" i="5"/>
  <c r="I890" i="5"/>
  <c r="I1383" i="5"/>
  <c r="I1215" i="5"/>
  <c r="I758" i="5"/>
  <c r="I494" i="5"/>
  <c r="I1251" i="5"/>
  <c r="I542" i="5"/>
  <c r="I182" i="5"/>
  <c r="I1226" i="5"/>
  <c r="I326" i="5"/>
  <c r="I14" i="5"/>
  <c r="H795" i="5"/>
  <c r="J795" i="5" s="1"/>
  <c r="I818" i="5"/>
  <c r="I638" i="5"/>
  <c r="H1460" i="5"/>
  <c r="J1460" i="5" s="1"/>
  <c r="I1460" i="5"/>
  <c r="H1340" i="5"/>
  <c r="J1340" i="5" s="1"/>
  <c r="I1340" i="5"/>
  <c r="H1196" i="5"/>
  <c r="J1196" i="5" s="1"/>
  <c r="I1196" i="5"/>
  <c r="H1172" i="5"/>
  <c r="J1172" i="5" s="1"/>
  <c r="I1172" i="5"/>
  <c r="H1052" i="5"/>
  <c r="J1052" i="5" s="1"/>
  <c r="I1052" i="5"/>
  <c r="H1028" i="5"/>
  <c r="J1028" i="5" s="1"/>
  <c r="I1028" i="5"/>
  <c r="H956" i="5"/>
  <c r="J956" i="5" s="1"/>
  <c r="I956" i="5"/>
  <c r="H872" i="5"/>
  <c r="J872" i="5" s="1"/>
  <c r="I872" i="5"/>
  <c r="H800" i="5"/>
  <c r="J800" i="5" s="1"/>
  <c r="I800" i="5"/>
  <c r="H728" i="5"/>
  <c r="J728" i="5" s="1"/>
  <c r="I728" i="5"/>
  <c r="H680" i="5"/>
  <c r="J680" i="5" s="1"/>
  <c r="I680" i="5"/>
  <c r="H416" i="5"/>
  <c r="J416" i="5" s="1"/>
  <c r="I416" i="5"/>
  <c r="I1160" i="5"/>
  <c r="I704" i="5"/>
  <c r="I686" i="5"/>
  <c r="I512" i="5"/>
  <c r="I1395" i="5"/>
  <c r="I1371" i="5"/>
  <c r="I1136" i="5"/>
  <c r="I1112" i="5"/>
  <c r="I1059" i="5"/>
  <c r="I608" i="5"/>
  <c r="I560" i="5"/>
  <c r="I158" i="5"/>
  <c r="I80" i="5"/>
  <c r="I62" i="5"/>
  <c r="H1458" i="5"/>
  <c r="J1458" i="5" s="1"/>
  <c r="I1458" i="5"/>
  <c r="H1446" i="5"/>
  <c r="J1446" i="5" s="1"/>
  <c r="I1446" i="5"/>
  <c r="H1434" i="5"/>
  <c r="J1434" i="5" s="1"/>
  <c r="I1434" i="5"/>
  <c r="H1314" i="5"/>
  <c r="J1314" i="5" s="1"/>
  <c r="I1314" i="5"/>
  <c r="H1302" i="5"/>
  <c r="J1302" i="5" s="1"/>
  <c r="I1302" i="5"/>
  <c r="H1290" i="5"/>
  <c r="J1290" i="5" s="1"/>
  <c r="I1290" i="5"/>
  <c r="H1158" i="5"/>
  <c r="J1158" i="5" s="1"/>
  <c r="I1158" i="5"/>
  <c r="H1014" i="5"/>
  <c r="J1014" i="5" s="1"/>
  <c r="I1014" i="5"/>
  <c r="H930" i="5"/>
  <c r="J930" i="5" s="1"/>
  <c r="I930" i="5"/>
  <c r="H858" i="5"/>
  <c r="J858" i="5" s="1"/>
  <c r="I858" i="5"/>
  <c r="H798" i="5"/>
  <c r="J798" i="5" s="1"/>
  <c r="I798" i="5"/>
  <c r="H786" i="5"/>
  <c r="J786" i="5" s="1"/>
  <c r="I786" i="5"/>
  <c r="I1004" i="5"/>
  <c r="I978" i="5"/>
  <c r="I944" i="5"/>
  <c r="I860" i="5"/>
  <c r="I510" i="5"/>
  <c r="I434" i="5"/>
  <c r="I338" i="5"/>
  <c r="I110" i="5"/>
  <c r="H1457" i="5"/>
  <c r="J1457" i="5" s="1"/>
  <c r="I1457" i="5"/>
  <c r="H1433" i="5"/>
  <c r="J1433" i="5" s="1"/>
  <c r="I1433" i="5"/>
  <c r="H1421" i="5"/>
  <c r="J1421" i="5" s="1"/>
  <c r="I1421" i="5"/>
  <c r="H1289" i="5"/>
  <c r="J1289" i="5" s="1"/>
  <c r="I1289" i="5"/>
  <c r="H1277" i="5"/>
  <c r="J1277" i="5" s="1"/>
  <c r="I1277" i="5"/>
  <c r="H1145" i="5"/>
  <c r="J1145" i="5" s="1"/>
  <c r="I1145" i="5"/>
  <c r="H1013" i="5"/>
  <c r="J1013" i="5" s="1"/>
  <c r="I1013" i="5"/>
  <c r="H941" i="5"/>
  <c r="J941" i="5" s="1"/>
  <c r="I941" i="5"/>
  <c r="H857" i="5"/>
  <c r="J857" i="5" s="1"/>
  <c r="I857" i="5"/>
  <c r="H785" i="5"/>
  <c r="J785" i="5" s="1"/>
  <c r="I785" i="5"/>
  <c r="H557" i="5"/>
  <c r="J557" i="5" s="1"/>
  <c r="I557" i="5"/>
  <c r="H509" i="5"/>
  <c r="J509" i="5" s="1"/>
  <c r="I509" i="5"/>
  <c r="H461" i="5"/>
  <c r="J461" i="5" s="1"/>
  <c r="I461" i="5"/>
  <c r="H401" i="5"/>
  <c r="J401" i="5" s="1"/>
  <c r="I401" i="5"/>
  <c r="H353" i="5"/>
  <c r="J353" i="5" s="1"/>
  <c r="I353" i="5"/>
  <c r="H197" i="5"/>
  <c r="J197" i="5" s="1"/>
  <c r="I197" i="5"/>
  <c r="H89" i="5"/>
  <c r="J89" i="5" s="1"/>
  <c r="I89" i="5"/>
  <c r="H41" i="5"/>
  <c r="J41" i="5" s="1"/>
  <c r="I41" i="5"/>
  <c r="H1000" i="5"/>
  <c r="J1000" i="5" s="1"/>
  <c r="I1000" i="5"/>
  <c r="H928" i="5"/>
  <c r="J928" i="5" s="1"/>
  <c r="I928" i="5"/>
  <c r="H916" i="5"/>
  <c r="J916" i="5" s="1"/>
  <c r="I916" i="5"/>
  <c r="H856" i="5"/>
  <c r="J856" i="5" s="1"/>
  <c r="I856" i="5"/>
  <c r="H844" i="5"/>
  <c r="J844" i="5" s="1"/>
  <c r="I844" i="5"/>
  <c r="H784" i="5"/>
  <c r="J784" i="5" s="1"/>
  <c r="I784" i="5"/>
  <c r="H772" i="5"/>
  <c r="J772" i="5" s="1"/>
  <c r="I772" i="5"/>
  <c r="H664" i="5"/>
  <c r="J664" i="5" s="1"/>
  <c r="I664" i="5"/>
  <c r="H616" i="5"/>
  <c r="J616" i="5" s="1"/>
  <c r="I616" i="5"/>
  <c r="H556" i="5"/>
  <c r="J556" i="5" s="1"/>
  <c r="I556" i="5"/>
  <c r="H508" i="5"/>
  <c r="J508" i="5" s="1"/>
  <c r="I508" i="5"/>
  <c r="H400" i="5"/>
  <c r="J400" i="5" s="1"/>
  <c r="I400" i="5"/>
  <c r="H352" i="5"/>
  <c r="J352" i="5" s="1"/>
  <c r="I352" i="5"/>
  <c r="H244" i="5"/>
  <c r="J244" i="5" s="1"/>
  <c r="I244" i="5"/>
  <c r="H196" i="5"/>
  <c r="J196" i="5" s="1"/>
  <c r="I196" i="5"/>
  <c r="H88" i="5"/>
  <c r="J88" i="5" s="1"/>
  <c r="I88" i="5"/>
  <c r="H40" i="5"/>
  <c r="J40" i="5" s="1"/>
  <c r="I40" i="5"/>
  <c r="I1304" i="5"/>
  <c r="I1238" i="5"/>
  <c r="I1109" i="5"/>
  <c r="I1085" i="5"/>
  <c r="I1070" i="5"/>
  <c r="I1002" i="5"/>
  <c r="I976" i="5"/>
  <c r="I762" i="5"/>
  <c r="I746" i="5"/>
  <c r="I700" i="5"/>
  <c r="I650" i="5"/>
  <c r="I604" i="5"/>
  <c r="I548" i="5"/>
  <c r="I530" i="5"/>
  <c r="I482" i="5"/>
  <c r="I269" i="5"/>
  <c r="I246" i="5"/>
  <c r="I220" i="5"/>
  <c r="I173" i="5"/>
  <c r="I126" i="5"/>
  <c r="I77" i="5"/>
  <c r="I1093" i="5"/>
  <c r="I829" i="5"/>
  <c r="I709" i="5"/>
  <c r="I445" i="5"/>
  <c r="I289" i="5"/>
  <c r="I25" i="5"/>
  <c r="I1393" i="5"/>
  <c r="I1236" i="5"/>
  <c r="I1105" i="5"/>
  <c r="I984" i="5"/>
  <c r="I913" i="5"/>
  <c r="I1405" i="5"/>
  <c r="I1379" i="5"/>
  <c r="I1235" i="5"/>
  <c r="I1117" i="5"/>
  <c r="I1091" i="5"/>
  <c r="I1381" i="5"/>
  <c r="I1237" i="5"/>
  <c r="I601" i="5"/>
  <c r="I133" i="5"/>
  <c r="I1380" i="5"/>
  <c r="I1249" i="5"/>
  <c r="I1092" i="5"/>
  <c r="I1392" i="5"/>
  <c r="I1261" i="5"/>
  <c r="I1248" i="5"/>
  <c r="I1104" i="5"/>
  <c r="I997" i="5"/>
  <c r="I912" i="5"/>
  <c r="I840" i="5"/>
  <c r="I769" i="5"/>
  <c r="I707" i="5"/>
  <c r="I599" i="5"/>
  <c r="I551" i="5"/>
  <c r="I443" i="5"/>
  <c r="I395" i="5"/>
  <c r="I287" i="5"/>
  <c r="I131" i="5"/>
  <c r="I23" i="5"/>
  <c r="I1391" i="5"/>
  <c r="I1378" i="5"/>
  <c r="I1247" i="5"/>
  <c r="I1234" i="5"/>
  <c r="I1103" i="5"/>
  <c r="I1090" i="5"/>
  <c r="I982" i="5"/>
  <c r="I911" i="5"/>
  <c r="I839" i="5"/>
  <c r="I706" i="5"/>
  <c r="I598" i="5"/>
  <c r="I550" i="5"/>
  <c r="I442" i="5"/>
  <c r="I394" i="5"/>
  <c r="I286" i="5"/>
  <c r="I238" i="5"/>
  <c r="I130" i="5"/>
  <c r="I22" i="5"/>
  <c r="I1403" i="5"/>
  <c r="I1390" i="5"/>
  <c r="I1377" i="5"/>
  <c r="I1259" i="5"/>
  <c r="I1246" i="5"/>
  <c r="I1233" i="5"/>
  <c r="I1115" i="5"/>
  <c r="I1102" i="5"/>
  <c r="I1089" i="5"/>
  <c r="I995" i="5"/>
  <c r="I981" i="5"/>
  <c r="I910" i="5"/>
  <c r="I838" i="5"/>
  <c r="I767" i="5"/>
  <c r="I705" i="5"/>
  <c r="I657" i="5"/>
  <c r="I611" i="5"/>
  <c r="I597" i="5"/>
  <c r="I549" i="5"/>
  <c r="I503" i="5"/>
  <c r="I441" i="5"/>
  <c r="I393" i="5"/>
  <c r="I347" i="5"/>
  <c r="I285" i="5"/>
  <c r="I237" i="5"/>
  <c r="I191" i="5"/>
  <c r="I129" i="5"/>
  <c r="I81" i="5"/>
  <c r="I35" i="5"/>
  <c r="I21" i="5"/>
  <c r="I907" i="5"/>
  <c r="I763" i="5"/>
  <c r="I619" i="5"/>
  <c r="I475" i="5"/>
  <c r="I331" i="5"/>
  <c r="I187" i="5"/>
  <c r="I43" i="5"/>
  <c r="H1453" i="5"/>
  <c r="J1453" i="5" s="1"/>
  <c r="H1429" i="5"/>
  <c r="J1429" i="5" s="1"/>
  <c r="H1417" i="5"/>
  <c r="H1297" i="5"/>
  <c r="H1273" i="5"/>
  <c r="J1273" i="5" s="1"/>
  <c r="H1141" i="5"/>
  <c r="J1141" i="5" s="1"/>
  <c r="H1021" i="5"/>
  <c r="J1021" i="5" s="1"/>
  <c r="H985" i="5"/>
  <c r="H937" i="5"/>
  <c r="J937" i="5" s="1"/>
  <c r="H853" i="5"/>
  <c r="H721" i="5"/>
  <c r="H697" i="5"/>
  <c r="H685" i="5"/>
  <c r="H661" i="5"/>
  <c r="H613" i="5"/>
  <c r="H565" i="5"/>
  <c r="H541" i="5"/>
  <c r="H397" i="5"/>
  <c r="J397" i="5" s="1"/>
  <c r="H349" i="5"/>
  <c r="J349" i="5" s="1"/>
  <c r="H265" i="5"/>
  <c r="J265" i="5" s="1"/>
  <c r="H241" i="5"/>
  <c r="J241" i="5" s="1"/>
  <c r="H193" i="5"/>
  <c r="J193" i="5" s="1"/>
  <c r="H145" i="5"/>
  <c r="H121" i="5"/>
  <c r="H37" i="5"/>
  <c r="H1440" i="5"/>
  <c r="J1440" i="5" s="1"/>
  <c r="H1428" i="5"/>
  <c r="H1284" i="5"/>
  <c r="J1284" i="5" s="1"/>
  <c r="H1260" i="5"/>
  <c r="J1260" i="5" s="1"/>
  <c r="H1128" i="5"/>
  <c r="J1128" i="5" s="1"/>
  <c r="H1008" i="5"/>
  <c r="J1008" i="5" s="1"/>
  <c r="H972" i="5"/>
  <c r="J972" i="5" s="1"/>
  <c r="H780" i="5"/>
  <c r="J780" i="5" s="1"/>
  <c r="H708" i="5"/>
  <c r="H684" i="5"/>
  <c r="H660" i="5"/>
  <c r="J660" i="5" s="1"/>
  <c r="H600" i="5"/>
  <c r="J600" i="5" s="1"/>
  <c r="H564" i="5"/>
  <c r="J564" i="5" s="1"/>
  <c r="H540" i="5"/>
  <c r="J540" i="5" s="1"/>
  <c r="H504" i="5"/>
  <c r="H456" i="5"/>
  <c r="J456" i="5" s="1"/>
  <c r="H396" i="5"/>
  <c r="J396" i="5" s="1"/>
  <c r="H348" i="5"/>
  <c r="J348" i="5" s="1"/>
  <c r="H288" i="5"/>
  <c r="J288" i="5" s="1"/>
  <c r="H240" i="5"/>
  <c r="H192" i="5"/>
  <c r="J192" i="5" s="1"/>
  <c r="H144" i="5"/>
  <c r="H108" i="5"/>
  <c r="H84" i="5"/>
  <c r="H36" i="5"/>
  <c r="J36" i="5" s="1"/>
  <c r="H24" i="5"/>
  <c r="H924" i="5"/>
  <c r="H864" i="5"/>
  <c r="J864" i="5" s="1"/>
  <c r="H768" i="5"/>
  <c r="J768" i="5" s="1"/>
  <c r="H720" i="5"/>
  <c r="J720" i="5" s="1"/>
  <c r="H301" i="5"/>
  <c r="J301" i="5" s="1"/>
  <c r="H1388" i="5"/>
  <c r="H1376" i="5"/>
  <c r="H1364" i="5"/>
  <c r="H1352" i="5"/>
  <c r="H1232" i="5"/>
  <c r="J1232" i="5" s="1"/>
  <c r="H1208" i="5"/>
  <c r="H1088" i="5"/>
  <c r="H968" i="5"/>
  <c r="J968" i="5" s="1"/>
  <c r="H776" i="5"/>
  <c r="J776" i="5" s="1"/>
  <c r="H740" i="5"/>
  <c r="H692" i="5"/>
  <c r="J692" i="5" s="1"/>
  <c r="H644" i="5"/>
  <c r="J644" i="5" s="1"/>
  <c r="H632" i="5"/>
  <c r="J632" i="5" s="1"/>
  <c r="H488" i="5"/>
  <c r="J488" i="5" s="1"/>
  <c r="H332" i="5"/>
  <c r="J332" i="5" s="1"/>
  <c r="H224" i="5"/>
  <c r="J224" i="5" s="1"/>
  <c r="H200" i="5"/>
  <c r="J200" i="5" s="1"/>
  <c r="H164" i="5"/>
  <c r="H56" i="5"/>
  <c r="H1362" i="5"/>
  <c r="J1362" i="5" s="1"/>
  <c r="H1206" i="5"/>
  <c r="J1206" i="5" s="1"/>
  <c r="H1050" i="5"/>
  <c r="J1050" i="5" s="1"/>
  <c r="H810" i="5"/>
  <c r="J810" i="5" s="1"/>
  <c r="H750" i="5"/>
  <c r="J750" i="5" s="1"/>
  <c r="H642" i="5"/>
  <c r="J642" i="5" s="1"/>
  <c r="H606" i="5"/>
  <c r="H522" i="5"/>
  <c r="H486" i="5"/>
  <c r="H366" i="5"/>
  <c r="J366" i="5" s="1"/>
  <c r="H318" i="5"/>
  <c r="H258" i="5"/>
  <c r="J258" i="5" s="1"/>
  <c r="H210" i="5"/>
  <c r="H174" i="5"/>
  <c r="J174" i="5" s="1"/>
  <c r="H150" i="5"/>
  <c r="H114" i="5"/>
  <c r="J114" i="5" s="1"/>
  <c r="H54" i="5"/>
  <c r="J54" i="5" s="1"/>
  <c r="H18" i="5"/>
  <c r="J18" i="5" s="1"/>
  <c r="H1200" i="5"/>
  <c r="J1200" i="5" s="1"/>
  <c r="H1337" i="5"/>
  <c r="J1337" i="5" s="1"/>
  <c r="H1181" i="5"/>
  <c r="J1181" i="5" s="1"/>
  <c r="H1049" i="5"/>
  <c r="H725" i="5"/>
  <c r="H581" i="5"/>
  <c r="H473" i="5"/>
  <c r="H317" i="5"/>
  <c r="J317" i="5" s="1"/>
  <c r="H149" i="5"/>
  <c r="J149" i="5" s="1"/>
  <c r="H53" i="5"/>
  <c r="J53" i="5" s="1"/>
  <c r="H17" i="5"/>
  <c r="J17" i="5" s="1"/>
  <c r="H1456" i="5"/>
  <c r="H1432" i="5"/>
  <c r="H1396" i="5"/>
  <c r="H1348" i="5"/>
  <c r="H1312" i="5"/>
  <c r="H1276" i="5"/>
  <c r="H1240" i="5"/>
  <c r="H1204" i="5"/>
  <c r="H1132" i="5"/>
  <c r="H1096" i="5"/>
  <c r="J1096" i="5" s="1"/>
  <c r="H1060" i="5"/>
  <c r="J1060" i="5" s="1"/>
  <c r="H1024" i="5"/>
  <c r="J1024" i="5" s="1"/>
  <c r="H940" i="5"/>
  <c r="H796" i="5"/>
  <c r="H712" i="5"/>
  <c r="H628" i="5"/>
  <c r="J628" i="5" s="1"/>
  <c r="H316" i="5"/>
  <c r="H280" i="5"/>
  <c r="H160" i="5"/>
  <c r="H1323" i="5"/>
  <c r="J1323" i="5" s="1"/>
  <c r="H1299" i="5"/>
  <c r="H1167" i="5"/>
  <c r="H1047" i="5"/>
  <c r="J1047" i="5" s="1"/>
  <c r="H1011" i="5"/>
  <c r="J1011" i="5" s="1"/>
  <c r="H963" i="5"/>
  <c r="J963" i="5" s="1"/>
  <c r="H915" i="5"/>
  <c r="H867" i="5"/>
  <c r="H819" i="5"/>
  <c r="H771" i="5"/>
  <c r="H735" i="5"/>
  <c r="J735" i="5" s="1"/>
  <c r="H687" i="5"/>
  <c r="H651" i="5"/>
  <c r="J651" i="5" s="1"/>
  <c r="H591" i="5"/>
  <c r="H555" i="5"/>
  <c r="H507" i="5"/>
  <c r="J507" i="5" s="1"/>
  <c r="H471" i="5"/>
  <c r="J471" i="5" s="1"/>
  <c r="H411" i="5"/>
  <c r="H375" i="5"/>
  <c r="H327" i="5"/>
  <c r="J327" i="5" s="1"/>
  <c r="H279" i="5"/>
  <c r="H231" i="5"/>
  <c r="H159" i="5"/>
  <c r="H27" i="5"/>
  <c r="H1441" i="5"/>
  <c r="J1441" i="5" s="1"/>
  <c r="H1309" i="5"/>
  <c r="J1309" i="5" s="1"/>
  <c r="H1285" i="5"/>
  <c r="J1285" i="5" s="1"/>
  <c r="H1165" i="5"/>
  <c r="J1165" i="5" s="1"/>
  <c r="H1153" i="5"/>
  <c r="J1153" i="5" s="1"/>
  <c r="H1129" i="5"/>
  <c r="H1009" i="5"/>
  <c r="H925" i="5"/>
  <c r="H865" i="5"/>
  <c r="J865" i="5" s="1"/>
  <c r="H841" i="5"/>
  <c r="H553" i="5"/>
  <c r="H505" i="5"/>
  <c r="H457" i="5"/>
  <c r="H409" i="5"/>
  <c r="H253" i="5"/>
  <c r="J253" i="5" s="1"/>
  <c r="H109" i="5"/>
  <c r="J109" i="5" s="1"/>
  <c r="H85" i="5"/>
  <c r="J85" i="5" s="1"/>
  <c r="H1416" i="5"/>
  <c r="J1416" i="5" s="1"/>
  <c r="H1404" i="5"/>
  <c r="J1404" i="5" s="1"/>
  <c r="H1296" i="5"/>
  <c r="H1272" i="5"/>
  <c r="H1140" i="5"/>
  <c r="J1140" i="5" s="1"/>
  <c r="H1116" i="5"/>
  <c r="H996" i="5"/>
  <c r="H936" i="5"/>
  <c r="H852" i="5"/>
  <c r="J852" i="5" s="1"/>
  <c r="H828" i="5"/>
  <c r="J828" i="5" s="1"/>
  <c r="H672" i="5"/>
  <c r="J672" i="5" s="1"/>
  <c r="H612" i="5"/>
  <c r="J612" i="5" s="1"/>
  <c r="H552" i="5"/>
  <c r="H528" i="5"/>
  <c r="H444" i="5"/>
  <c r="H408" i="5"/>
  <c r="H384" i="5"/>
  <c r="H300" i="5"/>
  <c r="H252" i="5"/>
  <c r="J252" i="5" s="1"/>
  <c r="H132" i="5"/>
  <c r="H96" i="5"/>
  <c r="J96" i="5" s="1"/>
  <c r="H313" i="5"/>
  <c r="J313" i="5" s="1"/>
  <c r="H793" i="5"/>
  <c r="J793" i="5" s="1"/>
  <c r="H1244" i="5"/>
  <c r="J1244" i="5" s="1"/>
  <c r="H1100" i="5"/>
  <c r="J1100" i="5" s="1"/>
  <c r="H1076" i="5"/>
  <c r="H1064" i="5"/>
  <c r="J1064" i="5" s="1"/>
  <c r="H980" i="5"/>
  <c r="J980" i="5" s="1"/>
  <c r="H920" i="5"/>
  <c r="H908" i="5"/>
  <c r="J908" i="5" s="1"/>
  <c r="H896" i="5"/>
  <c r="J896" i="5" s="1"/>
  <c r="H836" i="5"/>
  <c r="J836" i="5" s="1"/>
  <c r="H824" i="5"/>
  <c r="J824" i="5" s="1"/>
  <c r="H752" i="5"/>
  <c r="J752" i="5" s="1"/>
  <c r="H620" i="5"/>
  <c r="J620" i="5" s="1"/>
  <c r="H584" i="5"/>
  <c r="J584" i="5" s="1"/>
  <c r="H536" i="5"/>
  <c r="J536" i="5" s="1"/>
  <c r="H476" i="5"/>
  <c r="J476" i="5" s="1"/>
  <c r="H428" i="5"/>
  <c r="J428" i="5" s="1"/>
  <c r="H380" i="5"/>
  <c r="J380" i="5" s="1"/>
  <c r="H344" i="5"/>
  <c r="J344" i="5" s="1"/>
  <c r="H320" i="5"/>
  <c r="H272" i="5"/>
  <c r="J272" i="5" s="1"/>
  <c r="H188" i="5"/>
  <c r="J188" i="5" s="1"/>
  <c r="H176" i="5"/>
  <c r="J176" i="5" s="1"/>
  <c r="H116" i="5"/>
  <c r="J116" i="5" s="1"/>
  <c r="H68" i="5"/>
  <c r="J68" i="5" s="1"/>
  <c r="H44" i="5"/>
  <c r="J44" i="5" s="1"/>
  <c r="H8" i="5"/>
  <c r="H781" i="5"/>
  <c r="J781" i="5" s="1"/>
  <c r="H1201" i="5"/>
  <c r="J1201" i="5" s="1"/>
  <c r="H1350" i="5"/>
  <c r="J1350" i="5" s="1"/>
  <c r="H1338" i="5"/>
  <c r="H1326" i="5"/>
  <c r="H1218" i="5"/>
  <c r="J1218" i="5" s="1"/>
  <c r="H1194" i="5"/>
  <c r="J1194" i="5" s="1"/>
  <c r="H1182" i="5"/>
  <c r="J1182" i="5" s="1"/>
  <c r="H1074" i="5"/>
  <c r="J1074" i="5" s="1"/>
  <c r="H1062" i="5"/>
  <c r="J1062" i="5" s="1"/>
  <c r="H1038" i="5"/>
  <c r="J1038" i="5" s="1"/>
  <c r="H966" i="5"/>
  <c r="J966" i="5" s="1"/>
  <c r="H954" i="5"/>
  <c r="J954" i="5" s="1"/>
  <c r="H894" i="5"/>
  <c r="H882" i="5"/>
  <c r="H822" i="5"/>
  <c r="J822" i="5" s="1"/>
  <c r="H738" i="5"/>
  <c r="H726" i="5"/>
  <c r="J726" i="5" s="1"/>
  <c r="H690" i="5"/>
  <c r="J690" i="5" s="1"/>
  <c r="H678" i="5"/>
  <c r="J678" i="5" s="1"/>
  <c r="H630" i="5"/>
  <c r="H594" i="5"/>
  <c r="H582" i="5"/>
  <c r="J582" i="5" s="1"/>
  <c r="H570" i="5"/>
  <c r="J570" i="5" s="1"/>
  <c r="H534" i="5"/>
  <c r="J534" i="5" s="1"/>
  <c r="H474" i="5"/>
  <c r="H462" i="5"/>
  <c r="J462" i="5" s="1"/>
  <c r="H450" i="5"/>
  <c r="H426" i="5"/>
  <c r="J426" i="5" s="1"/>
  <c r="H414" i="5"/>
  <c r="H378" i="5"/>
  <c r="H330" i="5"/>
  <c r="H306" i="5"/>
  <c r="J306" i="5" s="1"/>
  <c r="H270" i="5"/>
  <c r="J270" i="5" s="1"/>
  <c r="H222" i="5"/>
  <c r="J222" i="5" s="1"/>
  <c r="H162" i="5"/>
  <c r="J162" i="5" s="1"/>
  <c r="H102" i="5"/>
  <c r="H66" i="5"/>
  <c r="H30" i="5"/>
  <c r="H6" i="5"/>
  <c r="H1349" i="5"/>
  <c r="J1349" i="5" s="1"/>
  <c r="H1325" i="5"/>
  <c r="H1313" i="5"/>
  <c r="J1313" i="5" s="1"/>
  <c r="H1205" i="5"/>
  <c r="J1205" i="5" s="1"/>
  <c r="H1193" i="5"/>
  <c r="J1193" i="5" s="1"/>
  <c r="H1169" i="5"/>
  <c r="J1169" i="5" s="1"/>
  <c r="H1061" i="5"/>
  <c r="J1061" i="5" s="1"/>
  <c r="H1037" i="5"/>
  <c r="H1025" i="5"/>
  <c r="H965" i="5"/>
  <c r="J965" i="5" s="1"/>
  <c r="H953" i="5"/>
  <c r="H893" i="5"/>
  <c r="H881" i="5"/>
  <c r="H869" i="5"/>
  <c r="J869" i="5" s="1"/>
  <c r="H809" i="5"/>
  <c r="J809" i="5" s="1"/>
  <c r="H797" i="5"/>
  <c r="J797" i="5" s="1"/>
  <c r="H737" i="5"/>
  <c r="H677" i="5"/>
  <c r="J677" i="5" s="1"/>
  <c r="H629" i="5"/>
  <c r="J629" i="5" s="1"/>
  <c r="H593" i="5"/>
  <c r="J593" i="5" s="1"/>
  <c r="H569" i="5"/>
  <c r="H521" i="5"/>
  <c r="H449" i="5"/>
  <c r="J449" i="5" s="1"/>
  <c r="H437" i="5"/>
  <c r="J437" i="5" s="1"/>
  <c r="H413" i="5"/>
  <c r="H365" i="5"/>
  <c r="J365" i="5" s="1"/>
  <c r="H305" i="5"/>
  <c r="H293" i="5"/>
  <c r="J293" i="5" s="1"/>
  <c r="H257" i="5"/>
  <c r="H209" i="5"/>
  <c r="J209" i="5" s="1"/>
  <c r="H161" i="5"/>
  <c r="J161" i="5" s="1"/>
  <c r="H101" i="5"/>
  <c r="J101" i="5" s="1"/>
  <c r="H5" i="5"/>
  <c r="J5" i="5" s="1"/>
  <c r="H1444" i="5"/>
  <c r="H1420" i="5"/>
  <c r="H1408" i="5"/>
  <c r="H1384" i="5"/>
  <c r="H1372" i="5"/>
  <c r="J1372" i="5" s="1"/>
  <c r="H1360" i="5"/>
  <c r="J1360" i="5" s="1"/>
  <c r="H1336" i="5"/>
  <c r="J1336" i="5" s="1"/>
  <c r="H1324" i="5"/>
  <c r="J1324" i="5" s="1"/>
  <c r="H1300" i="5"/>
  <c r="J1300" i="5" s="1"/>
  <c r="H1288" i="5"/>
  <c r="J1288" i="5" s="1"/>
  <c r="H1264" i="5"/>
  <c r="H1252" i="5"/>
  <c r="H1228" i="5"/>
  <c r="H1216" i="5"/>
  <c r="H1192" i="5"/>
  <c r="J1192" i="5" s="1"/>
  <c r="H1180" i="5"/>
  <c r="H1168" i="5"/>
  <c r="H1156" i="5"/>
  <c r="H1144" i="5"/>
  <c r="J1144" i="5" s="1"/>
  <c r="H1120" i="5"/>
  <c r="J1120" i="5" s="1"/>
  <c r="H1108" i="5"/>
  <c r="H1084" i="5"/>
  <c r="J1084" i="5" s="1"/>
  <c r="H1072" i="5"/>
  <c r="J1072" i="5" s="1"/>
  <c r="H1048" i="5"/>
  <c r="H1036" i="5"/>
  <c r="H1012" i="5"/>
  <c r="H952" i="5"/>
  <c r="J952" i="5" s="1"/>
  <c r="H880" i="5"/>
  <c r="H868" i="5"/>
  <c r="J868" i="5" s="1"/>
  <c r="H808" i="5"/>
  <c r="J808" i="5" s="1"/>
  <c r="H736" i="5"/>
  <c r="H724" i="5"/>
  <c r="J724" i="5" s="1"/>
  <c r="H676" i="5"/>
  <c r="J676" i="5" s="1"/>
  <c r="H580" i="5"/>
  <c r="J580" i="5" s="1"/>
  <c r="H568" i="5"/>
  <c r="J568" i="5" s="1"/>
  <c r="H520" i="5"/>
  <c r="H472" i="5"/>
  <c r="H460" i="5"/>
  <c r="H436" i="5"/>
  <c r="H424" i="5"/>
  <c r="H412" i="5"/>
  <c r="H364" i="5"/>
  <c r="J364" i="5" s="1"/>
  <c r="H304" i="5"/>
  <c r="J304" i="5" s="1"/>
  <c r="H292" i="5"/>
  <c r="J292" i="5" s="1"/>
  <c r="H256" i="5"/>
  <c r="J256" i="5" s="1"/>
  <c r="H208" i="5"/>
  <c r="J208" i="5" s="1"/>
  <c r="H148" i="5"/>
  <c r="J148" i="5" s="1"/>
  <c r="H136" i="5"/>
  <c r="H100" i="5"/>
  <c r="J100" i="5" s="1"/>
  <c r="H52" i="5"/>
  <c r="J52" i="5" s="1"/>
  <c r="H4" i="5"/>
  <c r="H1152" i="5"/>
  <c r="J1152" i="5" s="1"/>
  <c r="H2" i="5"/>
  <c r="H1455" i="5"/>
  <c r="J1455" i="5" s="1"/>
  <c r="H1335" i="5"/>
  <c r="H1311" i="5"/>
  <c r="J1311" i="5" s="1"/>
  <c r="H1191" i="5"/>
  <c r="J1191" i="5" s="1"/>
  <c r="H1179" i="5"/>
  <c r="J1179" i="5" s="1"/>
  <c r="H1155" i="5"/>
  <c r="J1155" i="5" s="1"/>
  <c r="H1035" i="5"/>
  <c r="H1023" i="5"/>
  <c r="H999" i="5"/>
  <c r="J999" i="5" s="1"/>
  <c r="H987" i="5"/>
  <c r="H975" i="5"/>
  <c r="H951" i="5"/>
  <c r="H939" i="5"/>
  <c r="J939" i="5" s="1"/>
  <c r="H927" i="5"/>
  <c r="H903" i="5"/>
  <c r="J903" i="5" s="1"/>
  <c r="H891" i="5"/>
  <c r="H879" i="5"/>
  <c r="J879" i="5" s="1"/>
  <c r="H855" i="5"/>
  <c r="H843" i="5"/>
  <c r="H831" i="5"/>
  <c r="H807" i="5"/>
  <c r="J807" i="5" s="1"/>
  <c r="H783" i="5"/>
  <c r="H759" i="5"/>
  <c r="H747" i="5"/>
  <c r="J747" i="5" s="1"/>
  <c r="H723" i="5"/>
  <c r="J723" i="5" s="1"/>
  <c r="H711" i="5"/>
  <c r="J711" i="5" s="1"/>
  <c r="H699" i="5"/>
  <c r="J699" i="5" s="1"/>
  <c r="H675" i="5"/>
  <c r="J675" i="5" s="1"/>
  <c r="H663" i="5"/>
  <c r="J663" i="5" s="1"/>
  <c r="H639" i="5"/>
  <c r="H627" i="5"/>
  <c r="H615" i="5"/>
  <c r="H603" i="5"/>
  <c r="H579" i="5"/>
  <c r="H567" i="5"/>
  <c r="J567" i="5" s="1"/>
  <c r="H543" i="5"/>
  <c r="J543" i="5" s="1"/>
  <c r="H531" i="5"/>
  <c r="J531" i="5" s="1"/>
  <c r="H519" i="5"/>
  <c r="J519" i="5" s="1"/>
  <c r="H495" i="5"/>
  <c r="J495" i="5" s="1"/>
  <c r="H483" i="5"/>
  <c r="J483" i="5" s="1"/>
  <c r="H459" i="5"/>
  <c r="J459" i="5" s="1"/>
  <c r="H447" i="5"/>
  <c r="J447" i="5" s="1"/>
  <c r="H435" i="5"/>
  <c r="H423" i="5"/>
  <c r="J423" i="5" s="1"/>
  <c r="H399" i="5"/>
  <c r="J399" i="5" s="1"/>
  <c r="H387" i="5"/>
  <c r="H363" i="5"/>
  <c r="J363" i="5" s="1"/>
  <c r="H351" i="5"/>
  <c r="J351" i="5" s="1"/>
  <c r="H339" i="5"/>
  <c r="J339" i="5" s="1"/>
  <c r="H315" i="5"/>
  <c r="J315" i="5" s="1"/>
  <c r="H303" i="5"/>
  <c r="J303" i="5" s="1"/>
  <c r="H291" i="5"/>
  <c r="H267" i="5"/>
  <c r="J267" i="5" s="1"/>
  <c r="H255" i="5"/>
  <c r="J255" i="5" s="1"/>
  <c r="H243" i="5"/>
  <c r="H219" i="5"/>
  <c r="H207" i="5"/>
  <c r="H195" i="5"/>
  <c r="H183" i="5"/>
  <c r="H171" i="5"/>
  <c r="J171" i="5" s="1"/>
  <c r="H147" i="5"/>
  <c r="J147" i="5" s="1"/>
  <c r="H135" i="5"/>
  <c r="J135" i="5" s="1"/>
  <c r="H123" i="5"/>
  <c r="J123" i="5" s="1"/>
  <c r="H111" i="5"/>
  <c r="J111" i="5" s="1"/>
  <c r="H99" i="5"/>
  <c r="J99" i="5" s="1"/>
  <c r="H87" i="5"/>
  <c r="H75" i="5"/>
  <c r="J75" i="5" s="1"/>
  <c r="H63" i="5"/>
  <c r="H51" i="5"/>
  <c r="J51" i="5" s="1"/>
  <c r="H39" i="5"/>
  <c r="H15" i="5"/>
  <c r="H3" i="5"/>
  <c r="H1466" i="5"/>
  <c r="J1466" i="5" s="1"/>
  <c r="H1454" i="5"/>
  <c r="H1442" i="5"/>
  <c r="J1442" i="5" s="1"/>
  <c r="H1430" i="5"/>
  <c r="J1430" i="5" s="1"/>
  <c r="H1322" i="5"/>
  <c r="J1322" i="5" s="1"/>
  <c r="H1310" i="5"/>
  <c r="H1298" i="5"/>
  <c r="H1286" i="5"/>
  <c r="H1178" i="5"/>
  <c r="J1178" i="5" s="1"/>
  <c r="H1166" i="5"/>
  <c r="H1154" i="5"/>
  <c r="H1142" i="5"/>
  <c r="H1034" i="5"/>
  <c r="J1034" i="5" s="1"/>
  <c r="H1022" i="5"/>
  <c r="J1022" i="5" s="1"/>
  <c r="H1010" i="5"/>
  <c r="H998" i="5"/>
  <c r="J998" i="5" s="1"/>
  <c r="H950" i="5"/>
  <c r="J950" i="5" s="1"/>
  <c r="H938" i="5"/>
  <c r="H878" i="5"/>
  <c r="H866" i="5"/>
  <c r="H854" i="5"/>
  <c r="H794" i="5"/>
  <c r="J794" i="5" s="1"/>
  <c r="H782" i="5"/>
  <c r="H722" i="5"/>
  <c r="H710" i="5"/>
  <c r="J710" i="5" s="1"/>
  <c r="H698" i="5"/>
  <c r="J698" i="5" s="1"/>
  <c r="H674" i="5"/>
  <c r="H662" i="5"/>
  <c r="J662" i="5" s="1"/>
  <c r="H626" i="5"/>
  <c r="J626" i="5" s="1"/>
  <c r="H614" i="5"/>
  <c r="H566" i="5"/>
  <c r="H554" i="5"/>
  <c r="H518" i="5"/>
  <c r="J518" i="5" s="1"/>
  <c r="H506" i="5"/>
  <c r="H470" i="5"/>
  <c r="H458" i="5"/>
  <c r="H422" i="5"/>
  <c r="H410" i="5"/>
  <c r="J410" i="5" s="1"/>
  <c r="H398" i="5"/>
  <c r="J398" i="5" s="1"/>
  <c r="H362" i="5"/>
  <c r="J362" i="5" s="1"/>
  <c r="H350" i="5"/>
  <c r="J350" i="5" s="1"/>
  <c r="H302" i="5"/>
  <c r="H278" i="5"/>
  <c r="H266" i="5"/>
  <c r="H254" i="5"/>
  <c r="H242" i="5"/>
  <c r="H206" i="5"/>
  <c r="H194" i="5"/>
  <c r="J194" i="5" s="1"/>
  <c r="H146" i="5"/>
  <c r="H134" i="5"/>
  <c r="H122" i="5"/>
  <c r="J122" i="5" s="1"/>
  <c r="H98" i="5"/>
  <c r="J98" i="5" s="1"/>
  <c r="H86" i="5"/>
  <c r="J86" i="5" s="1"/>
  <c r="H50" i="5"/>
  <c r="J50" i="5" s="1"/>
  <c r="H38" i="5"/>
  <c r="H959" i="5"/>
  <c r="J959" i="5" s="1"/>
  <c r="H815" i="5"/>
  <c r="J815" i="5" s="1"/>
  <c r="H671" i="5"/>
  <c r="H659" i="5"/>
  <c r="J659" i="5" s="1"/>
  <c r="H527" i="5"/>
  <c r="H515" i="5"/>
  <c r="J515" i="5" s="1"/>
  <c r="H383" i="5"/>
  <c r="H371" i="5"/>
  <c r="J371" i="5" s="1"/>
  <c r="H239" i="5"/>
  <c r="J239" i="5" s="1"/>
  <c r="H227" i="5"/>
  <c r="J227" i="5" s="1"/>
  <c r="H95" i="5"/>
  <c r="H83" i="5"/>
  <c r="H946" i="5"/>
  <c r="H802" i="5"/>
  <c r="H658" i="5"/>
  <c r="H646" i="5"/>
  <c r="H514" i="5"/>
  <c r="J514" i="5" s="1"/>
  <c r="H502" i="5"/>
  <c r="H370" i="5"/>
  <c r="J370" i="5" s="1"/>
  <c r="H358" i="5"/>
  <c r="J358" i="5" s="1"/>
  <c r="H226" i="5"/>
  <c r="J226" i="5" s="1"/>
  <c r="H214" i="5"/>
  <c r="J214" i="5" s="1"/>
  <c r="H82" i="5"/>
  <c r="J82" i="5" s="1"/>
  <c r="H70" i="5"/>
  <c r="H933" i="5"/>
  <c r="J933" i="5" s="1"/>
  <c r="H789" i="5"/>
  <c r="J789" i="5" s="1"/>
  <c r="H645" i="5"/>
  <c r="H633" i="5"/>
  <c r="J633" i="5" s="1"/>
  <c r="H501" i="5"/>
  <c r="H489" i="5"/>
  <c r="J489" i="5" s="1"/>
  <c r="H357" i="5"/>
  <c r="J357" i="5" s="1"/>
  <c r="H345" i="5"/>
  <c r="J345" i="5" s="1"/>
  <c r="H213" i="5"/>
  <c r="J213" i="5" s="1"/>
  <c r="H201" i="5"/>
  <c r="J201" i="5" s="1"/>
  <c r="H69" i="5"/>
  <c r="H57" i="5"/>
  <c r="J985" i="5" l="1"/>
  <c r="J917" i="5"/>
  <c r="J291" i="5"/>
  <c r="J594" i="5"/>
  <c r="J1438" i="5"/>
  <c r="J1151" i="5"/>
  <c r="J448" i="5"/>
  <c r="J964" i="5"/>
  <c r="J42" i="5"/>
  <c r="J674" i="5"/>
  <c r="J1010" i="5"/>
  <c r="J150" i="5"/>
  <c r="J14" i="5"/>
  <c r="J330" i="5"/>
  <c r="J1299" i="5"/>
  <c r="J1132" i="5"/>
  <c r="J1389" i="5"/>
  <c r="J90" i="5"/>
  <c r="J1156" i="5"/>
  <c r="J378" i="5"/>
  <c r="J1115" i="5"/>
  <c r="J169" i="5"/>
  <c r="J1295" i="5"/>
  <c r="J1229" i="5"/>
  <c r="J1101" i="5"/>
  <c r="J955" i="5"/>
  <c r="J912" i="5"/>
  <c r="J23" i="5"/>
  <c r="J287" i="5"/>
  <c r="J935" i="5"/>
  <c r="J77" i="5"/>
  <c r="J604" i="5"/>
  <c r="J175" i="5"/>
  <c r="J523" i="5"/>
  <c r="J799" i="5"/>
  <c r="J1212" i="5"/>
  <c r="J1083" i="5"/>
  <c r="J978" i="5"/>
  <c r="J383" i="5"/>
  <c r="J1382" i="5"/>
  <c r="J187" i="5"/>
  <c r="J960" i="5"/>
  <c r="J167" i="5"/>
  <c r="J299" i="5"/>
  <c r="J695" i="5"/>
  <c r="J1454" i="5"/>
  <c r="J922" i="5"/>
  <c r="J530" i="5"/>
  <c r="J638" i="5"/>
  <c r="J936" i="5"/>
  <c r="J504" i="5"/>
  <c r="J762" i="5"/>
  <c r="J118" i="5"/>
  <c r="J382" i="5"/>
  <c r="J1164" i="5"/>
  <c r="J157" i="5"/>
  <c r="J373" i="5"/>
  <c r="J805" i="5"/>
  <c r="J997" i="5"/>
  <c r="J1225" i="5"/>
  <c r="J107" i="5"/>
  <c r="J431" i="5"/>
  <c r="J1221" i="5"/>
  <c r="J1214" i="5"/>
  <c r="J374" i="5"/>
  <c r="J342" i="5"/>
  <c r="J501" i="5"/>
  <c r="J722" i="5"/>
  <c r="J1142" i="5"/>
  <c r="J412" i="5"/>
  <c r="J1325" i="5"/>
  <c r="J414" i="5"/>
  <c r="J505" i="5"/>
  <c r="J687" i="5"/>
  <c r="J1088" i="5"/>
  <c r="J24" i="5"/>
  <c r="J1428" i="5"/>
  <c r="J613" i="5"/>
  <c r="J1417" i="5"/>
  <c r="J873" i="5"/>
  <c r="J765" i="5"/>
  <c r="J415" i="5"/>
  <c r="J811" i="5"/>
  <c r="J1159" i="5"/>
  <c r="J1435" i="5"/>
  <c r="J646" i="5"/>
  <c r="J470" i="5"/>
  <c r="J15" i="5"/>
  <c r="J424" i="5"/>
  <c r="J1180" i="5"/>
  <c r="J1384" i="5"/>
  <c r="J413" i="5"/>
  <c r="J738" i="5"/>
  <c r="J1326" i="5"/>
  <c r="J300" i="5"/>
  <c r="J1116" i="5"/>
  <c r="J725" i="5"/>
  <c r="J164" i="5"/>
  <c r="J661" i="5"/>
  <c r="J1138" i="5"/>
  <c r="J1258" i="5"/>
  <c r="J1390" i="5"/>
  <c r="J1112" i="5"/>
  <c r="J33" i="5"/>
  <c r="J153" i="5"/>
  <c r="J573" i="5"/>
  <c r="J1113" i="5"/>
  <c r="J688" i="5"/>
  <c r="J989" i="5"/>
  <c r="J1042" i="5"/>
  <c r="J671" i="5"/>
  <c r="J783" i="5"/>
  <c r="J1408" i="5"/>
  <c r="J30" i="5"/>
  <c r="J1364" i="5"/>
  <c r="J145" i="5"/>
  <c r="J512" i="5"/>
  <c r="J1223" i="5"/>
  <c r="J1415" i="5"/>
  <c r="J888" i="5"/>
  <c r="J801" i="5"/>
  <c r="J921" i="5"/>
  <c r="J1149" i="5"/>
  <c r="J1281" i="5"/>
  <c r="J1401" i="5"/>
  <c r="J1107" i="5"/>
  <c r="J65" i="5"/>
  <c r="J389" i="5"/>
  <c r="J457" i="5"/>
  <c r="J924" i="5"/>
  <c r="J645" i="5"/>
  <c r="J39" i="5"/>
  <c r="J450" i="5"/>
  <c r="J316" i="5"/>
  <c r="J37" i="5"/>
  <c r="J1463" i="5"/>
  <c r="J1216" i="5"/>
  <c r="J408" i="5"/>
  <c r="J1272" i="5"/>
  <c r="J486" i="5"/>
  <c r="J108" i="5"/>
  <c r="J198" i="5"/>
  <c r="J46" i="5"/>
  <c r="J418" i="5"/>
  <c r="J649" i="5"/>
  <c r="J1177" i="5"/>
  <c r="J590" i="5"/>
  <c r="J1046" i="5"/>
  <c r="J124" i="5"/>
  <c r="J340" i="5"/>
  <c r="J532" i="5"/>
  <c r="J1254" i="5"/>
  <c r="J472" i="5"/>
  <c r="J521" i="5"/>
  <c r="J66" i="5"/>
  <c r="J474" i="5"/>
  <c r="J894" i="5"/>
  <c r="J712" i="5"/>
  <c r="J522" i="5"/>
  <c r="J1048" i="5"/>
  <c r="J569" i="5"/>
  <c r="J1025" i="5"/>
  <c r="J102" i="5"/>
  <c r="J606" i="5"/>
  <c r="J708" i="5"/>
  <c r="J103" i="5"/>
  <c r="J67" i="5"/>
  <c r="J827" i="5"/>
  <c r="J120" i="5"/>
  <c r="J204" i="5"/>
  <c r="J312" i="5"/>
  <c r="J588" i="5"/>
  <c r="J1136" i="5"/>
  <c r="J225" i="5"/>
  <c r="J333" i="5"/>
  <c r="J64" i="5"/>
  <c r="J1363" i="5"/>
  <c r="J702" i="5"/>
  <c r="J502" i="5"/>
  <c r="J422" i="5"/>
  <c r="J132" i="5"/>
  <c r="J1204" i="5"/>
  <c r="J473" i="5"/>
  <c r="J210" i="5"/>
  <c r="J1297" i="5"/>
  <c r="J151" i="5"/>
  <c r="J1063" i="5"/>
  <c r="J126" i="5"/>
  <c r="J402" i="5"/>
  <c r="J346" i="5"/>
  <c r="J982" i="5"/>
  <c r="J1162" i="5"/>
  <c r="J1354" i="5"/>
  <c r="J311" i="5"/>
  <c r="J1319" i="5"/>
  <c r="J421" i="5"/>
  <c r="J709" i="5"/>
  <c r="J889" i="5"/>
  <c r="J1045" i="5"/>
  <c r="J263" i="5"/>
  <c r="J335" i="5"/>
  <c r="J887" i="5"/>
  <c r="J1355" i="5"/>
  <c r="J228" i="5"/>
  <c r="J788" i="5"/>
  <c r="J932" i="5"/>
  <c r="J1077" i="5"/>
  <c r="J1185" i="5"/>
  <c r="J93" i="5"/>
  <c r="J813" i="5"/>
  <c r="J1245" i="5"/>
  <c r="J1461" i="5"/>
  <c r="J1371" i="5"/>
  <c r="J220" i="5"/>
  <c r="J281" i="5"/>
  <c r="J74" i="5"/>
  <c r="J758" i="5"/>
  <c r="J16" i="5"/>
  <c r="J700" i="5"/>
  <c r="J821" i="5"/>
  <c r="J1409" i="5"/>
  <c r="J527" i="5"/>
  <c r="J3" i="5"/>
  <c r="C13" i="7"/>
  <c r="J2" i="5"/>
  <c r="J1168" i="5"/>
  <c r="J996" i="5"/>
  <c r="J27" i="5"/>
  <c r="J1240" i="5"/>
  <c r="J581" i="5"/>
  <c r="J56" i="5"/>
  <c r="J19" i="5"/>
  <c r="J307" i="5"/>
  <c r="J919" i="5"/>
  <c r="J282" i="5"/>
  <c r="J906" i="5"/>
  <c r="J1102" i="5"/>
  <c r="J1222" i="5"/>
  <c r="J1294" i="5"/>
  <c r="J611" i="5"/>
  <c r="J1235" i="5"/>
  <c r="J840" i="5"/>
  <c r="J13" i="5"/>
  <c r="J71" i="5"/>
  <c r="J131" i="5"/>
  <c r="J203" i="5"/>
  <c r="J1081" i="5"/>
  <c r="J72" i="5"/>
  <c r="J97" i="5"/>
  <c r="J433" i="5"/>
  <c r="J1369" i="5"/>
  <c r="J9" i="5"/>
  <c r="J129" i="5"/>
  <c r="J549" i="5"/>
  <c r="J729" i="5"/>
  <c r="J849" i="5"/>
  <c r="J969" i="5"/>
  <c r="J1317" i="5"/>
  <c r="J269" i="5"/>
  <c r="J261" i="5"/>
  <c r="J429" i="5"/>
  <c r="J693" i="5"/>
  <c r="J993" i="5"/>
  <c r="J544" i="5"/>
  <c r="J904" i="5"/>
  <c r="J29" i="5"/>
  <c r="J701" i="5"/>
  <c r="J890" i="5"/>
  <c r="J125" i="5"/>
  <c r="J545" i="5"/>
  <c r="J206" i="5"/>
  <c r="J782" i="5"/>
  <c r="J1154" i="5"/>
  <c r="J183" i="5"/>
  <c r="J759" i="5"/>
  <c r="J975" i="5"/>
  <c r="J880" i="5"/>
  <c r="J881" i="5"/>
  <c r="J320" i="5"/>
  <c r="J553" i="5"/>
  <c r="J159" i="5"/>
  <c r="J280" i="5"/>
  <c r="J1276" i="5"/>
  <c r="J318" i="5"/>
  <c r="J1208" i="5"/>
  <c r="J163" i="5"/>
  <c r="J1075" i="5"/>
  <c r="J138" i="5"/>
  <c r="J438" i="5"/>
  <c r="J558" i="5"/>
  <c r="J106" i="5"/>
  <c r="J202" i="5"/>
  <c r="J286" i="5"/>
  <c r="J742" i="5"/>
  <c r="J1426" i="5"/>
  <c r="J359" i="5"/>
  <c r="J479" i="5"/>
  <c r="J1127" i="5"/>
  <c r="J1343" i="5"/>
  <c r="J1439" i="5"/>
  <c r="J1032" i="5"/>
  <c r="J445" i="5"/>
  <c r="J589" i="5"/>
  <c r="J745" i="5"/>
  <c r="J913" i="5"/>
  <c r="J11" i="5"/>
  <c r="J275" i="5"/>
  <c r="J347" i="5"/>
  <c r="J899" i="5"/>
  <c r="J1199" i="5"/>
  <c r="J1391" i="5"/>
  <c r="J1368" i="5"/>
  <c r="J601" i="5"/>
  <c r="J360" i="5"/>
  <c r="J1224" i="5"/>
  <c r="J733" i="5"/>
  <c r="J944" i="5"/>
  <c r="J285" i="5"/>
  <c r="J1089" i="5"/>
  <c r="J1209" i="5"/>
  <c r="J761" i="5"/>
  <c r="J1109" i="5"/>
  <c r="J1137" i="5"/>
  <c r="J578" i="5"/>
  <c r="J686" i="5"/>
  <c r="J1383" i="5"/>
  <c r="J76" i="5"/>
  <c r="J484" i="5"/>
  <c r="J760" i="5"/>
  <c r="J341" i="5"/>
  <c r="J1121" i="5"/>
  <c r="J658" i="5"/>
  <c r="J242" i="5"/>
  <c r="J506" i="5"/>
  <c r="J1166" i="5"/>
  <c r="J195" i="5"/>
  <c r="J387" i="5"/>
  <c r="J579" i="5"/>
  <c r="J987" i="5"/>
  <c r="J4" i="5"/>
  <c r="J436" i="5"/>
  <c r="J893" i="5"/>
  <c r="J6" i="5"/>
  <c r="J1338" i="5"/>
  <c r="J920" i="5"/>
  <c r="J384" i="5"/>
  <c r="J841" i="5"/>
  <c r="J231" i="5"/>
  <c r="J771" i="5"/>
  <c r="J1312" i="5"/>
  <c r="J1049" i="5"/>
  <c r="J84" i="5"/>
  <c r="J685" i="5"/>
  <c r="J55" i="5"/>
  <c r="J487" i="5"/>
  <c r="J631" i="5"/>
  <c r="J775" i="5"/>
  <c r="J931" i="5"/>
  <c r="J656" i="5"/>
  <c r="J294" i="5"/>
  <c r="J918" i="5"/>
  <c r="J1410" i="5"/>
  <c r="J10" i="5"/>
  <c r="J526" i="5"/>
  <c r="J862" i="5"/>
  <c r="J1114" i="5"/>
  <c r="J1174" i="5"/>
  <c r="J1234" i="5"/>
  <c r="J1306" i="5"/>
  <c r="J1366" i="5"/>
  <c r="J1247" i="5"/>
  <c r="J49" i="5"/>
  <c r="J1057" i="5"/>
  <c r="J143" i="5"/>
  <c r="J215" i="5"/>
  <c r="J563" i="5"/>
  <c r="J289" i="5"/>
  <c r="J877" i="5"/>
  <c r="J12" i="5"/>
  <c r="J168" i="5"/>
  <c r="J481" i="5"/>
  <c r="J1069" i="5"/>
  <c r="J417" i="5"/>
  <c r="J981" i="5"/>
  <c r="J1329" i="5"/>
  <c r="J988" i="5"/>
  <c r="J329" i="5"/>
  <c r="J117" i="5"/>
  <c r="J297" i="5"/>
  <c r="J717" i="5"/>
  <c r="J268" i="5"/>
  <c r="J1253" i="5"/>
  <c r="J182" i="5"/>
  <c r="J386" i="5"/>
  <c r="J482" i="5"/>
  <c r="J1334" i="5"/>
  <c r="B13" i="7"/>
  <c r="J605" i="5"/>
  <c r="J682" i="5"/>
  <c r="J1270" i="5"/>
  <c r="J1462" i="5"/>
  <c r="J47" i="5"/>
  <c r="J179" i="5"/>
  <c r="J1139" i="5"/>
  <c r="J624" i="5"/>
  <c r="J361" i="5"/>
  <c r="J657" i="5"/>
  <c r="J112" i="5"/>
  <c r="J189" i="5"/>
  <c r="J533" i="5"/>
  <c r="J232" i="5"/>
  <c r="J892" i="5"/>
  <c r="J257" i="5"/>
  <c r="J630" i="5"/>
  <c r="J1167" i="5"/>
  <c r="J390" i="5"/>
  <c r="J262" i="5"/>
  <c r="J958" i="5"/>
  <c r="J1150" i="5"/>
  <c r="J1342" i="5"/>
  <c r="J1307" i="5"/>
  <c r="J1331" i="5"/>
  <c r="J517" i="5"/>
  <c r="J636" i="5"/>
  <c r="J61" i="5"/>
  <c r="J1333" i="5"/>
  <c r="J1424" i="5"/>
  <c r="J249" i="5"/>
  <c r="J641" i="5"/>
  <c r="J525" i="5"/>
  <c r="J496" i="5"/>
  <c r="J62" i="5"/>
  <c r="J650" i="5"/>
  <c r="J134" i="5"/>
  <c r="J1335" i="5"/>
  <c r="J7" i="5"/>
  <c r="J510" i="5"/>
  <c r="J1282" i="5"/>
  <c r="J1414" i="5"/>
  <c r="J1211" i="5"/>
  <c r="J1427" i="5"/>
  <c r="J181" i="5"/>
  <c r="J119" i="5"/>
  <c r="J503" i="5"/>
  <c r="J971" i="5"/>
  <c r="J217" i="5"/>
  <c r="J60" i="5"/>
  <c r="J432" i="5"/>
  <c r="J901" i="5"/>
  <c r="J1148" i="5"/>
  <c r="J369" i="5"/>
  <c r="J705" i="5"/>
  <c r="J1239" i="5"/>
  <c r="J405" i="5"/>
  <c r="J1125" i="5"/>
  <c r="J338" i="5"/>
  <c r="J976" i="5"/>
  <c r="J146" i="5"/>
  <c r="J305" i="5"/>
  <c r="J1073" i="5"/>
  <c r="J458" i="5"/>
  <c r="J951" i="5"/>
  <c r="J160" i="5"/>
  <c r="J802" i="5"/>
  <c r="J254" i="5"/>
  <c r="J854" i="5"/>
  <c r="J1012" i="5"/>
  <c r="J1420" i="5"/>
  <c r="J953" i="5"/>
  <c r="J819" i="5"/>
  <c r="J1348" i="5"/>
  <c r="J1352" i="5"/>
  <c r="J697" i="5"/>
  <c r="J554" i="5"/>
  <c r="J1286" i="5"/>
  <c r="J219" i="5"/>
  <c r="J615" i="5"/>
  <c r="J1023" i="5"/>
  <c r="J1036" i="5"/>
  <c r="J1228" i="5"/>
  <c r="J1444" i="5"/>
  <c r="J1296" i="5"/>
  <c r="J925" i="5"/>
  <c r="J867" i="5"/>
  <c r="J1396" i="5"/>
  <c r="J144" i="5"/>
  <c r="J684" i="5"/>
  <c r="J721" i="5"/>
  <c r="J643" i="5"/>
  <c r="J562" i="5"/>
  <c r="J1030" i="5"/>
  <c r="J1186" i="5"/>
  <c r="J1378" i="5"/>
  <c r="J539" i="5"/>
  <c r="J1092" i="5"/>
  <c r="J1093" i="5"/>
  <c r="J229" i="5"/>
  <c r="J1105" i="5"/>
  <c r="J885" i="5"/>
  <c r="J1397" i="5"/>
  <c r="J653" i="5"/>
  <c r="J57" i="5"/>
  <c r="J70" i="5"/>
  <c r="J83" i="5"/>
  <c r="J38" i="5"/>
  <c r="J278" i="5"/>
  <c r="J566" i="5"/>
  <c r="J878" i="5"/>
  <c r="J1298" i="5"/>
  <c r="J243" i="5"/>
  <c r="J435" i="5"/>
  <c r="J627" i="5"/>
  <c r="J843" i="5"/>
  <c r="J1035" i="5"/>
  <c r="J136" i="5"/>
  <c r="J520" i="5"/>
  <c r="J1252" i="5"/>
  <c r="J1076" i="5"/>
  <c r="J528" i="5"/>
  <c r="J1009" i="5"/>
  <c r="J375" i="5"/>
  <c r="J915" i="5"/>
  <c r="J796" i="5"/>
  <c r="J1432" i="5"/>
  <c r="J1376" i="5"/>
  <c r="J853" i="5"/>
  <c r="J211" i="5"/>
  <c r="J367" i="5"/>
  <c r="J500" i="5"/>
  <c r="J186" i="5"/>
  <c r="J774" i="5"/>
  <c r="J1266" i="5"/>
  <c r="J34" i="5"/>
  <c r="J238" i="5"/>
  <c r="J394" i="5"/>
  <c r="J778" i="5"/>
  <c r="J1318" i="5"/>
  <c r="J407" i="5"/>
  <c r="J683" i="5"/>
  <c r="J1271" i="5"/>
  <c r="J696" i="5"/>
  <c r="J325" i="5"/>
  <c r="J493" i="5"/>
  <c r="J637" i="5"/>
  <c r="J769" i="5"/>
  <c r="J961" i="5"/>
  <c r="J35" i="5"/>
  <c r="J395" i="5"/>
  <c r="J839" i="5"/>
  <c r="J1259" i="5"/>
  <c r="J73" i="5"/>
  <c r="J385" i="5"/>
  <c r="J1213" i="5"/>
  <c r="J992" i="5"/>
  <c r="J177" i="5"/>
  <c r="J465" i="5"/>
  <c r="J597" i="5"/>
  <c r="J1257" i="5"/>
  <c r="J1353" i="5"/>
  <c r="J652" i="5"/>
  <c r="J377" i="5"/>
  <c r="J477" i="5"/>
  <c r="J621" i="5"/>
  <c r="J741" i="5"/>
  <c r="J1227" i="5"/>
  <c r="J485" i="5"/>
  <c r="J749" i="5"/>
  <c r="J110" i="5"/>
  <c r="J806" i="5"/>
  <c r="J1370" i="5"/>
  <c r="J388" i="5"/>
  <c r="J592" i="5"/>
  <c r="J905" i="5"/>
  <c r="J891" i="5"/>
  <c r="J1108" i="5"/>
  <c r="J32" i="5"/>
  <c r="J610" i="5"/>
  <c r="J814" i="5"/>
  <c r="J1402" i="5"/>
  <c r="J1187" i="5"/>
  <c r="J1403" i="5"/>
  <c r="J984" i="5"/>
  <c r="J323" i="5"/>
  <c r="J731" i="5"/>
  <c r="J81" i="5"/>
  <c r="J1203" i="5"/>
  <c r="J381" i="5"/>
  <c r="J748" i="5"/>
  <c r="J221" i="5"/>
  <c r="J326" i="5"/>
  <c r="J1238" i="5"/>
  <c r="J737" i="5"/>
  <c r="J555" i="5"/>
  <c r="J740" i="5"/>
  <c r="J58" i="5"/>
  <c r="J166" i="5"/>
  <c r="J334" i="5"/>
  <c r="J1078" i="5"/>
  <c r="J1210" i="5"/>
  <c r="J829" i="5"/>
  <c r="J251" i="5"/>
  <c r="J1033" i="5"/>
  <c r="J216" i="5"/>
  <c r="J516" i="5"/>
  <c r="J625" i="5"/>
  <c r="J1016" i="5"/>
  <c r="J1292" i="5"/>
  <c r="J825" i="5"/>
  <c r="J1053" i="5"/>
  <c r="J1293" i="5"/>
  <c r="J669" i="5"/>
  <c r="J957" i="5"/>
  <c r="J184" i="5"/>
  <c r="J746" i="5"/>
  <c r="J1094" i="5"/>
  <c r="J1385" i="5"/>
  <c r="J927" i="5"/>
  <c r="J736" i="5"/>
  <c r="J409" i="5"/>
  <c r="J591" i="5"/>
  <c r="J541" i="5"/>
  <c r="J283" i="5"/>
  <c r="J296" i="5"/>
  <c r="J1122" i="5"/>
  <c r="J622" i="5"/>
  <c r="J826" i="5"/>
  <c r="J467" i="5"/>
  <c r="J59" i="5"/>
  <c r="J191" i="5"/>
  <c r="J1163" i="5"/>
  <c r="J336" i="5"/>
  <c r="J105" i="5"/>
  <c r="J513" i="5"/>
  <c r="J945" i="5"/>
  <c r="J1425" i="5"/>
  <c r="J233" i="5"/>
  <c r="J237" i="5"/>
  <c r="J434" i="5"/>
  <c r="J565" i="5"/>
  <c r="J207" i="5"/>
  <c r="J603" i="5"/>
  <c r="J460" i="5"/>
  <c r="J882" i="5"/>
  <c r="J279" i="5"/>
  <c r="J121" i="5"/>
  <c r="J820" i="5"/>
  <c r="J946" i="5"/>
  <c r="J266" i="5"/>
  <c r="J866" i="5"/>
  <c r="J63" i="5"/>
  <c r="J831" i="5"/>
  <c r="J444" i="5"/>
  <c r="J499" i="5"/>
  <c r="J787" i="5"/>
  <c r="J310" i="5"/>
  <c r="J1126" i="5"/>
  <c r="J1246" i="5"/>
  <c r="J1367" i="5"/>
  <c r="J155" i="5"/>
  <c r="J180" i="5"/>
  <c r="J529" i="5"/>
  <c r="J777" i="5"/>
  <c r="J1365" i="5"/>
  <c r="J1202" i="5"/>
  <c r="J173" i="5"/>
  <c r="J69" i="5"/>
  <c r="J95" i="5"/>
  <c r="J302" i="5"/>
  <c r="J614" i="5"/>
  <c r="J938" i="5"/>
  <c r="J1310" i="5"/>
  <c r="J87" i="5"/>
  <c r="J639" i="5"/>
  <c r="J855" i="5"/>
  <c r="J1264" i="5"/>
  <c r="J1037" i="5"/>
  <c r="J8" i="5"/>
  <c r="J552" i="5"/>
  <c r="J1129" i="5"/>
  <c r="J411" i="5"/>
  <c r="J940" i="5"/>
  <c r="J1456" i="5"/>
  <c r="J1388" i="5"/>
  <c r="J240" i="5"/>
  <c r="J20" i="5"/>
  <c r="J354" i="5"/>
  <c r="J618" i="5"/>
  <c r="J142" i="5"/>
  <c r="J1450" i="5"/>
  <c r="J1175" i="5"/>
  <c r="J1379" i="5"/>
  <c r="J1451" i="5"/>
  <c r="J480" i="5"/>
  <c r="J277" i="5"/>
  <c r="J817" i="5"/>
  <c r="J848" i="5"/>
  <c r="J1280" i="5"/>
  <c r="J1412" i="5"/>
  <c r="J45" i="5"/>
  <c r="J1029" i="5"/>
  <c r="J1071" i="5"/>
  <c r="J28" i="5"/>
  <c r="J909" i="5"/>
  <c r="J185" i="5"/>
  <c r="J218" i="5"/>
  <c r="J1070" i="5"/>
  <c r="J1226" i="5"/>
  <c r="J1373" i="5"/>
  <c r="D13" i="7" l="1"/>
  <c r="D1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C29794-BAA1-4745-94F2-4327C35EEA5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5A815288-F633-495C-9CA8-BD39ABBBA1F4}" keepAlive="1" name="Query - Table2 (2)" description="Connection to the 'Table2 (2)' query in the workbook." type="5" refreshedVersion="0" background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<sst xmlns="http://schemas.openxmlformats.org/spreadsheetml/2006/main" count="7549" uniqueCount="3989">
  <si>
    <t>product_id</t>
  </si>
  <si>
    <t>Product</t>
  </si>
  <si>
    <t>category</t>
  </si>
  <si>
    <t>discounted_price</t>
  </si>
  <si>
    <t>actual_price</t>
  </si>
  <si>
    <t>discount_percentage</t>
  </si>
  <si>
    <t>rating</t>
  </si>
  <si>
    <t>rating_count</t>
  </si>
  <si>
    <t>User</t>
  </si>
  <si>
    <t>B07JW9H4J1</t>
  </si>
  <si>
    <t>Wayona Nylon Braided USB</t>
  </si>
  <si>
    <t>Manav,Adarsh gupta,Sundeep,S.Sayeed</t>
  </si>
  <si>
    <t>B098NS6PVG</t>
  </si>
  <si>
    <t>Ambrane Unbreakable 60W /</t>
  </si>
  <si>
    <t>ArdKn,Nirbhay kumar,Sagar</t>
  </si>
  <si>
    <t>B096MSW6CT</t>
  </si>
  <si>
    <t>Sounce Fast Phone Charging</t>
  </si>
  <si>
    <t>Kunal,Himanshu,viswanath,sai niharka,saqib</t>
  </si>
  <si>
    <t>B08HDJ86NZ</t>
  </si>
  <si>
    <t>boAt Deuce USB 300</t>
  </si>
  <si>
    <t>Omkar dhale,JD,HEMALATHA,Ajwadh</t>
  </si>
  <si>
    <t>B08CF3B7N1</t>
  </si>
  <si>
    <t>Portronics Konnect L 1.2M</t>
  </si>
  <si>
    <t>rahuls6099,Swasat Borah,Ajay</t>
  </si>
  <si>
    <t>B08Y1TFSP6</t>
  </si>
  <si>
    <t>pTron Solero TB301 3A</t>
  </si>
  <si>
    <t>Jayesh,Rajesh k.,Soopy,amazon</t>
  </si>
  <si>
    <t>B08WRWPM22</t>
  </si>
  <si>
    <t>boAt Micro USB 55</t>
  </si>
  <si>
    <t>Vivek kumar,Amazon</t>
  </si>
  <si>
    <t>B08DDRGWTJ</t>
  </si>
  <si>
    <t>MI Usb Type-C Cable</t>
  </si>
  <si>
    <t>Pavan A</t>
  </si>
  <si>
    <t>B008IFXQFU</t>
  </si>
  <si>
    <t>TP-Link USB WiFi Adapter</t>
  </si>
  <si>
    <t>Azhar JuMan,Anirudh</t>
  </si>
  <si>
    <t>B082LZGK39</t>
  </si>
  <si>
    <t>B08CF3D7QR</t>
  </si>
  <si>
    <t>Portronics Konnect L POR-1081</t>
  </si>
  <si>
    <t>Tanya,Anu,Akshay,Vishal Sagara</t>
  </si>
  <si>
    <t>B0789LZTCJ</t>
  </si>
  <si>
    <t>boAt Rugged v3 Extra</t>
  </si>
  <si>
    <t>B07KSMBL2H</t>
  </si>
  <si>
    <t>AmazonBasics Flexible Premium HDMI</t>
  </si>
  <si>
    <t>Rishav Gossain,Shashank</t>
  </si>
  <si>
    <t>B085DTN6R2</t>
  </si>
  <si>
    <t>Portronics Konnect CL 20W</t>
  </si>
  <si>
    <t>Priya,Mansi,Plaban,Vivek,Taufique Ahmed,Praveen</t>
  </si>
  <si>
    <t>B09KLVMZ3B</t>
  </si>
  <si>
    <t>Deepaak Singh,siva</t>
  </si>
  <si>
    <t>B083342NKJ</t>
  </si>
  <si>
    <t>MI Braided USB Type-C</t>
  </si>
  <si>
    <t>Birendra ku</t>
  </si>
  <si>
    <t>B0B6F7LX4C</t>
  </si>
  <si>
    <t>MI 80 cm</t>
  </si>
  <si>
    <t>Manoj maddheshiya,Manoj</t>
  </si>
  <si>
    <t>B082LSVT4B</t>
  </si>
  <si>
    <t>B08WRBG3XW</t>
  </si>
  <si>
    <t>boAt Type C A325</t>
  </si>
  <si>
    <t>Rohan Narkar,JAGWINDER</t>
  </si>
  <si>
    <t>B08DPLCM6T</t>
  </si>
  <si>
    <t>LG 80 cm</t>
  </si>
  <si>
    <t>NIRMAL.N,Manoj kumar,SOMNATH</t>
  </si>
  <si>
    <t>B09C6HXFC1</t>
  </si>
  <si>
    <t>Duracell USB Lightning Apple</t>
  </si>
  <si>
    <t>Prasannavijayaraghavan G.,Preet</t>
  </si>
  <si>
    <t>B085194JFL</t>
  </si>
  <si>
    <t>tizum HDMI to VGA</t>
  </si>
  <si>
    <t>aditya d.,Paranthaman,ashik</t>
  </si>
  <si>
    <t>B09F6S8BT6</t>
  </si>
  <si>
    <t>Samsung 80 cm</t>
  </si>
  <si>
    <t>Rahman Ali,MARIYA</t>
  </si>
  <si>
    <t>B09NHVCHS9</t>
  </si>
  <si>
    <t>Flix Micro Usb Cable</t>
  </si>
  <si>
    <t>$@|\|TO$|-|,Sethu madhav,Akash</t>
  </si>
  <si>
    <t>B0B1YVCJ2Y</t>
  </si>
  <si>
    <t>Acer 80 cm</t>
  </si>
  <si>
    <t>Ayush,ROHIT A.,Kedar,Haran,Santosh</t>
  </si>
  <si>
    <t>B01M4GGIVU</t>
  </si>
  <si>
    <t>Tizum High Speed HDMI</t>
  </si>
  <si>
    <t>Yashpreet Singh,Abiram,Aakaash</t>
  </si>
  <si>
    <t>B08B42LWKN</t>
  </si>
  <si>
    <t>OnePlus 80 cm</t>
  </si>
  <si>
    <t>ATHARVA BONDRE,Sujitkumar</t>
  </si>
  <si>
    <t>B094JNXNPV</t>
  </si>
  <si>
    <t>Ambrane Unbreakable 3 in</t>
  </si>
  <si>
    <t>Anand sarma,lokeshnist,C,SAI</t>
  </si>
  <si>
    <t>B09W5XR9RT</t>
  </si>
  <si>
    <t>Duracell USB C To</t>
  </si>
  <si>
    <t>Amazon Customer,Govind</t>
  </si>
  <si>
    <t>B077Z65HSD</t>
  </si>
  <si>
    <t>boAt A400 USB Type-C</t>
  </si>
  <si>
    <t>GHOST,Amazon Customer,A</t>
  </si>
  <si>
    <t>B00NH11PEY</t>
  </si>
  <si>
    <t>AmazonBasics USB 2.0 -</t>
  </si>
  <si>
    <t>Pravin Kumar,Maestrov,rag,Mukundha2good,Amazon_Shopper,Sonic,Pratap,Amazon</t>
  </si>
  <si>
    <t>B09CMM3VGK</t>
  </si>
  <si>
    <t>Ambrane 60W / 3A</t>
  </si>
  <si>
    <t>Rishabh,Amazon Customer,Darpan</t>
  </si>
  <si>
    <t>B08QSC1XY8</t>
  </si>
  <si>
    <t>Zoul USB C 60W</t>
  </si>
  <si>
    <t>Pratyush Pahuja,Thiyagarajan,yeses,Amazon</t>
  </si>
  <si>
    <t>B008FWZGSG</t>
  </si>
  <si>
    <t>Samsung Original Type C</t>
  </si>
  <si>
    <t>Verified Buyer,Avishek</t>
  </si>
  <si>
    <t>B0B4HJNPV4</t>
  </si>
  <si>
    <t>pTron Solero T351 3.5Amps</t>
  </si>
  <si>
    <t>Placeholder,à¤¶à¥à¤°à¥€PKà¤œà¥€,Gauri salkar,aQeel,Ashish</t>
  </si>
  <si>
    <t>B08Y1SJVV5</t>
  </si>
  <si>
    <t>pTron Solero MB301 3A</t>
  </si>
  <si>
    <t>B07XLCFSSN</t>
  </si>
  <si>
    <t>Amazonbasics Nylon Braided Usb-C</t>
  </si>
  <si>
    <t>Wraith,Krishna Engineering,Kindle</t>
  </si>
  <si>
    <t>B09RZS1NQT</t>
  </si>
  <si>
    <t>Sounce 65W OnePlus Dash</t>
  </si>
  <si>
    <t>Anmol,Vani,Tejas Jha,Rishabh</t>
  </si>
  <si>
    <t>B0B3MMYHYW</t>
  </si>
  <si>
    <t>OnePlus 126 cm</t>
  </si>
  <si>
    <t>Abhishek Kumar,Arun</t>
  </si>
  <si>
    <t>B09C6HWG18</t>
  </si>
  <si>
    <t>Duracell Type C To</t>
  </si>
  <si>
    <t>Koushal K</t>
  </si>
  <si>
    <t>B00NH11KIK</t>
  </si>
  <si>
    <t>AmazonBasics USB 2.0 Cable</t>
  </si>
  <si>
    <t>Shiva,Uzef,kottala samuel,Renjith,Dhivakaran,Mark,Utkarsh</t>
  </si>
  <si>
    <t>B09JPC82QC</t>
  </si>
  <si>
    <t>Mi 108 cm</t>
  </si>
  <si>
    <t>Sameer Patil,TechnoLoon,Deepti</t>
  </si>
  <si>
    <t>B07JW1Y6XV</t>
  </si>
  <si>
    <t>Wayona Nylon Braided 3A</t>
  </si>
  <si>
    <t>B07KRCW6LZ</t>
  </si>
  <si>
    <t>TP-Link Nano AC600 USB</t>
  </si>
  <si>
    <t>Paul Joe,Simon</t>
  </si>
  <si>
    <t>B09NJN8L25</t>
  </si>
  <si>
    <t>FLiX</t>
  </si>
  <si>
    <t>B07XJYYH7L</t>
  </si>
  <si>
    <t>Wecool Nylon Braided Multifunction</t>
  </si>
  <si>
    <t>Amazon Customer,DHONDU,Saurabh,Promod</t>
  </si>
  <si>
    <t>B002PD61Y4</t>
  </si>
  <si>
    <t>D-Link DWA-131 300 Mbps</t>
  </si>
  <si>
    <t>nilesh,EAGLE,Manoj KNS,Titus</t>
  </si>
  <si>
    <t>B014I8SSD0</t>
  </si>
  <si>
    <t>Amazon Basics High-Speed HDMI</t>
  </si>
  <si>
    <t>B09L8DSSFH</t>
  </si>
  <si>
    <t>7SEVENÂ® Compatible for Samsung</t>
  </si>
  <si>
    <t>MONTY,Qais Makani,Rajat</t>
  </si>
  <si>
    <t>B07232M876</t>
  </si>
  <si>
    <t>Amazonbasics Micro Usb Fast</t>
  </si>
  <si>
    <t>Neeraj Vishwakarma,Siddharth,SD1908,Mukundha2good,manjunath</t>
  </si>
  <si>
    <t>B07P681N66</t>
  </si>
  <si>
    <t>TP-Link AC600 600 Mbps</t>
  </si>
  <si>
    <t>Anonymous,Sugam Agrawal,Diganta</t>
  </si>
  <si>
    <t>B0711PVX6Z</t>
  </si>
  <si>
    <t>AmazonBasics Micro USB Fast</t>
  </si>
  <si>
    <t>B082T6V3DT</t>
  </si>
  <si>
    <t>AmazonBasics New Release Nylon</t>
  </si>
  <si>
    <t>Arun verma,Arv,Aashna</t>
  </si>
  <si>
    <t>B07MKFNHKG</t>
  </si>
  <si>
    <t>VW 80 cm</t>
  </si>
  <si>
    <t>Amazon Customer,Yousuf,Raja</t>
  </si>
  <si>
    <t>B0BFWGBX61</t>
  </si>
  <si>
    <t>Ambrane Unbreakable 3A Fast</t>
  </si>
  <si>
    <t>Vipan Agnihotri,Hitender</t>
  </si>
  <si>
    <t>B01N90RZ4M</t>
  </si>
  <si>
    <t>Tata Sky Universal Remote</t>
  </si>
  <si>
    <t>Jacob.,Dinesh Ahuja,Ashith,Pravin</t>
  </si>
  <si>
    <t>B0088TKTY2</t>
  </si>
  <si>
    <t>TP-LINK WiFi Dongle 300</t>
  </si>
  <si>
    <t>B09Q5SWVBJ</t>
  </si>
  <si>
    <t>B0B4DT8MKT</t>
  </si>
  <si>
    <t>Wecool Unbreakable 3 in</t>
  </si>
  <si>
    <t>nisar,Pralipta Kumar</t>
  </si>
  <si>
    <t>B08CDKQ8T6</t>
  </si>
  <si>
    <t>Portronics Konnect L 1.2Mtr,</t>
  </si>
  <si>
    <t>Arun S.,Jeevan</t>
  </si>
  <si>
    <t>B07B275VN9</t>
  </si>
  <si>
    <t>Airtel DigitalTV DTH Television,</t>
  </si>
  <si>
    <t>Periyasamy,Madhusudhanan,S Salman</t>
  </si>
  <si>
    <t>B0B15CPR37</t>
  </si>
  <si>
    <t>Samsung 108 cm</t>
  </si>
  <si>
    <t>Binu,Sabjan,Ramkapil,User,Amazon Customer,ganesh,basavaraj</t>
  </si>
  <si>
    <t>B0994GFWBH</t>
  </si>
  <si>
    <t>Lapster 1.5 mtr USB</t>
  </si>
  <si>
    <t>pruthvi natraj,Phani,Amazon</t>
  </si>
  <si>
    <t>B01GGKZ0V6</t>
  </si>
  <si>
    <t>AmazonBasics USB Type-C to</t>
  </si>
  <si>
    <t>harpreet,Y Kiran</t>
  </si>
  <si>
    <t>B09F9YQQ7B</t>
  </si>
  <si>
    <t>Redmi 80 cm</t>
  </si>
  <si>
    <t>prateeq,Suraj Chand,viswanath</t>
  </si>
  <si>
    <t>B014I8SX4Y</t>
  </si>
  <si>
    <t>B09Q8HMKZX</t>
  </si>
  <si>
    <t>Portronics Konnect L 20W</t>
  </si>
  <si>
    <t>Thenmozhi,manish,Brajesh Jha,sushil</t>
  </si>
  <si>
    <t>B0B9XN9S3W</t>
  </si>
  <si>
    <t>ARUN KUMAR</t>
  </si>
  <si>
    <t>B07966M8XH</t>
  </si>
  <si>
    <t>Model-P4 6 Way Swivel</t>
  </si>
  <si>
    <t>Prashant Pradhan,Raghavendra</t>
  </si>
  <si>
    <t>B01GGKYKQM</t>
  </si>
  <si>
    <t>Amazon Basics USB Type-C</t>
  </si>
  <si>
    <t>Hremant,Anjaneyulu,Madhav,NOTTADRIS,Deepak,P,M.SASIKUMAR,S.Suresh</t>
  </si>
  <si>
    <t>B0B86CDHL1</t>
  </si>
  <si>
    <t>oraimo 65W Type C</t>
  </si>
  <si>
    <t>Ravi Shankar,Prakash</t>
  </si>
  <si>
    <t>B0B5ZF3NRK</t>
  </si>
  <si>
    <t>CEDO 65W OnePlus Dash</t>
  </si>
  <si>
    <t>Satyanarayana,mohd irfan,Pankaj,Shirish</t>
  </si>
  <si>
    <t>B09RFC46VP</t>
  </si>
  <si>
    <t>Redmi 108 cm</t>
  </si>
  <si>
    <t>B08R69VDHT</t>
  </si>
  <si>
    <t>Pinnaclz Original Combo of</t>
  </si>
  <si>
    <t>Vijayan C</t>
  </si>
  <si>
    <t>B09RWZRCP1</t>
  </si>
  <si>
    <t>boAt Type C A750</t>
  </si>
  <si>
    <t>livin sebi,Anand</t>
  </si>
  <si>
    <t>B09CMP1SC8</t>
  </si>
  <si>
    <t>Ambrane 2 in 1</t>
  </si>
  <si>
    <t>Gopal krishna</t>
  </si>
  <si>
    <t>B09YLXYP7Y</t>
  </si>
  <si>
    <t>Actual user,Shanti</t>
  </si>
  <si>
    <t>B09ZPM4C2C</t>
  </si>
  <si>
    <t>TCL 80 cm</t>
  </si>
  <si>
    <t>Nilesh K</t>
  </si>
  <si>
    <t>B0B2DJDCPX</t>
  </si>
  <si>
    <t>SWAPKART Fast Charging Cable</t>
  </si>
  <si>
    <t>Vinay,Amazon Customer,Naveenkumar</t>
  </si>
  <si>
    <t>B0BCZCQTJX</t>
  </si>
  <si>
    <t>Firestick Remote</t>
  </si>
  <si>
    <t>Dharminder Singh</t>
  </si>
  <si>
    <t>B07LGT55SJ</t>
  </si>
  <si>
    <t>Wayona Usb Nylon Braided</t>
  </si>
  <si>
    <t>B09NKZXMWJ</t>
  </si>
  <si>
    <t>Flix</t>
  </si>
  <si>
    <t>B08QX1CC14</t>
  </si>
  <si>
    <t>SKYWALL 81.28 cm</t>
  </si>
  <si>
    <t>Naresh Patel,Bhaskar</t>
  </si>
  <si>
    <t>B0974H97TJ</t>
  </si>
  <si>
    <t>boAt A 350 Type</t>
  </si>
  <si>
    <t>ð•µð–†ð–™ð–Žð–“ ð•®ð–ð–†ð–‰ð–ð–†,palpandia153,Arvind,Nithyadhakshina,Basha_Neerati,shaker,Amazon</t>
  </si>
  <si>
    <t>B07GVGTSLN</t>
  </si>
  <si>
    <t>Wayona Usb Type C</t>
  </si>
  <si>
    <t>Sunil Funde,Biju</t>
  </si>
  <si>
    <t>B09VCHLSJF</t>
  </si>
  <si>
    <t>OnePlus 108 cm</t>
  </si>
  <si>
    <t>B0B1YZX72F</t>
  </si>
  <si>
    <t>Acer 127 cm</t>
  </si>
  <si>
    <t>B092BJMT8Q</t>
  </si>
  <si>
    <t>B0BMXMLSMM</t>
  </si>
  <si>
    <t>Lapster 65W compatible for</t>
  </si>
  <si>
    <t>Nadhiyarasan,Saurabh Aggarwal,Dibya,Sai</t>
  </si>
  <si>
    <t>B07JH1C41D</t>
  </si>
  <si>
    <t>Wayona Nylon Braided</t>
  </si>
  <si>
    <t>B0141EZMAI</t>
  </si>
  <si>
    <t>Gizga Essentials USB WiFi</t>
  </si>
  <si>
    <t>SQL,ARUN KUMAR,veer,Ravi</t>
  </si>
  <si>
    <t>B09Q5P2MT3</t>
  </si>
  <si>
    <t>B08HDH26JX</t>
  </si>
  <si>
    <t>B09VT6JKRP</t>
  </si>
  <si>
    <t>Lapster USB 3.0 A</t>
  </si>
  <si>
    <t>Vivek Ramachandran,Pavan,Rahul,Push,Yuthika</t>
  </si>
  <si>
    <t>B09T3KB6JZ</t>
  </si>
  <si>
    <t>TCL 100 cm</t>
  </si>
  <si>
    <t>KIRAN BABU</t>
  </si>
  <si>
    <t>B093QCY6YJ</t>
  </si>
  <si>
    <t>ZEBRONICS ZEB-USB150WF1 WiFi USB</t>
  </si>
  <si>
    <t>Mohseen Qureshi,Karan,Pranav</t>
  </si>
  <si>
    <t>B093ZNQZ2Y</t>
  </si>
  <si>
    <t>LOHAYA Remote Compatible for</t>
  </si>
  <si>
    <t>mohamednathar,Amazon Customer,Ashwini</t>
  </si>
  <si>
    <t>B08LKS3LSP</t>
  </si>
  <si>
    <t>Gilary Multi Charging Cable,</t>
  </si>
  <si>
    <t>kishore movva,Nithya,Balaji</t>
  </si>
  <si>
    <t>B00V4BGDKU</t>
  </si>
  <si>
    <t>TP-Link UE300 USB 3.0</t>
  </si>
  <si>
    <t>MOINUL H.,Jayendra</t>
  </si>
  <si>
    <t>B08CHKQ8D4</t>
  </si>
  <si>
    <t>Wayona Type C to</t>
  </si>
  <si>
    <t>Kiran Kolla,Vishal</t>
  </si>
  <si>
    <t>B09BW334ML</t>
  </si>
  <si>
    <t>Dealfreez Case Compatible with</t>
  </si>
  <si>
    <t>parvinder singh,Rishikesh</t>
  </si>
  <si>
    <t>B082T6GVLJ</t>
  </si>
  <si>
    <t>Amazon Basics New Release</t>
  </si>
  <si>
    <t>Ananya S.,Anirban</t>
  </si>
  <si>
    <t>B07DL1KC3H</t>
  </si>
  <si>
    <t>Isoelite Remote Compatible for</t>
  </si>
  <si>
    <t>Pritam Roy,AdyZon,pradeep4uall,purnendu</t>
  </si>
  <si>
    <t>B0B6F98KJJ</t>
  </si>
  <si>
    <t>MI 100 cm</t>
  </si>
  <si>
    <t>B07JNVF678</t>
  </si>
  <si>
    <t>Pratik,Amazon Customer,Abhishek,Derrick</t>
  </si>
  <si>
    <t>B09QGZFBPM</t>
  </si>
  <si>
    <t>Wayona Type C To</t>
  </si>
  <si>
    <t>sameer Dubey,virender,Amazon</t>
  </si>
  <si>
    <t>B07JGDB5M1</t>
  </si>
  <si>
    <t>Wayona Nylon Braided 2M</t>
  </si>
  <si>
    <t>B0981XSZJ7</t>
  </si>
  <si>
    <t>CROSSVOLT Compatible Dash/Warp Data</t>
  </si>
  <si>
    <t>AkashP.,Hrishikesh, pune,ROHIT</t>
  </si>
  <si>
    <t>B0B9XLX8VR</t>
  </si>
  <si>
    <t>VU 139 cm</t>
  </si>
  <si>
    <t>UtdBuzz,Mukund Nagvenkar,S.R</t>
  </si>
  <si>
    <t>B08Y5KXR6Z</t>
  </si>
  <si>
    <t>PTron Solero T241 2.4A</t>
  </si>
  <si>
    <t>B09F6VHQXB</t>
  </si>
  <si>
    <t>Croma 80 cm</t>
  </si>
  <si>
    <t>Ankit,Rishi Kapoor,Amazon</t>
  </si>
  <si>
    <t>B0974G5Q2Y</t>
  </si>
  <si>
    <t>boAt Laptop, Smartphone Type-c</t>
  </si>
  <si>
    <t>B09YL9SN9B</t>
  </si>
  <si>
    <t>Rishi V,Placeholder,Benoy</t>
  </si>
  <si>
    <t>B09RX1FK54</t>
  </si>
  <si>
    <t>B09TT6BFDX</t>
  </si>
  <si>
    <t>Cotbolt Silicone Protective Case</t>
  </si>
  <si>
    <t>ravi,Raju,arun,Customer reviews,Anirban</t>
  </si>
  <si>
    <t>B09KH58JZR</t>
  </si>
  <si>
    <t>Portronics Konnect L POR-1403</t>
  </si>
  <si>
    <t>Rathod Lakhan,Manas</t>
  </si>
  <si>
    <t>B09DDCQFMT</t>
  </si>
  <si>
    <t>Electvision Remote Control Compatible</t>
  </si>
  <si>
    <t>Anand Tiwari,Dr</t>
  </si>
  <si>
    <t>B08RP2L2NL</t>
  </si>
  <si>
    <t>King Shine Multi Retractable</t>
  </si>
  <si>
    <t>PARVEJ MALLICK,Akshay</t>
  </si>
  <si>
    <t>B0B4G2MWSB</t>
  </si>
  <si>
    <t>Lapster 5 pin mini</t>
  </si>
  <si>
    <t>B0B21C4BMX</t>
  </si>
  <si>
    <t>Portronics Konnect Spydr 31</t>
  </si>
  <si>
    <t>SyedShoaib Afnan,Deepak</t>
  </si>
  <si>
    <t>B084MZXJNK</t>
  </si>
  <si>
    <t>Belkin Apple Certified Lightning</t>
  </si>
  <si>
    <t>Ganesh,P P.,anas,Dr</t>
  </si>
  <si>
    <t>B0BHZCNC4P</t>
  </si>
  <si>
    <t>Remote Control Compatible for</t>
  </si>
  <si>
    <t>Abhishek Shode,Mahendra,Vishal</t>
  </si>
  <si>
    <t>B0B16KD737</t>
  </si>
  <si>
    <t>Denzil Varghese,Amazon</t>
  </si>
  <si>
    <t>B099K9ZX65</t>
  </si>
  <si>
    <t>Hisense 108 cm</t>
  </si>
  <si>
    <t>Ravi Naresh,anup,Chinmay</t>
  </si>
  <si>
    <t>B08Y55LPBF</t>
  </si>
  <si>
    <t>Redmi 126 cm</t>
  </si>
  <si>
    <t>B015OW3M1W</t>
  </si>
  <si>
    <t>AmazonBasics 6-Feet DisplayPort</t>
  </si>
  <si>
    <t>Ranjeet Singh,Placeholder,Niranjan</t>
  </si>
  <si>
    <t>B01D5H8ZI8</t>
  </si>
  <si>
    <t>AmazonBasics 3 Feet High</t>
  </si>
  <si>
    <t>Amazon Customer,Jagmeet</t>
  </si>
  <si>
    <t>B09X1M3DHX</t>
  </si>
  <si>
    <t>iFFALCON 80 cm</t>
  </si>
  <si>
    <t>giribabu,Dhuna Charan</t>
  </si>
  <si>
    <t>B09MM6P76N</t>
  </si>
  <si>
    <t>7SEVENÂ® Compatible Lg Smart</t>
  </si>
  <si>
    <t>Swapnil N,Abhishek</t>
  </si>
  <si>
    <t>B01D5H8LDM</t>
  </si>
  <si>
    <t>AmazonBasics 3.5mm to 2-Male</t>
  </si>
  <si>
    <t>Madhu Sudan</t>
  </si>
  <si>
    <t>B0B1YY6JJL</t>
  </si>
  <si>
    <t>Acer 109 cm</t>
  </si>
  <si>
    <t>B09QGZM8QB</t>
  </si>
  <si>
    <t>B08L4SBJRY</t>
  </si>
  <si>
    <t>Saifsmart Outlet Wall Mount</t>
  </si>
  <si>
    <t>Arun,Shailendra,SHIVA PALTHI,Harish</t>
  </si>
  <si>
    <t>B09X79PP8F</t>
  </si>
  <si>
    <t>MI 2-in-1 USB Type</t>
  </si>
  <si>
    <t>Amazon Customer,Amrit</t>
  </si>
  <si>
    <t>B082T6GVG9</t>
  </si>
  <si>
    <t>AmazonBasics New Release ABS</t>
  </si>
  <si>
    <t>Ranjith,Amazon Customer,Rajneesh</t>
  </si>
  <si>
    <t>B0B3XY5YT4</t>
  </si>
  <si>
    <t>LG 108 cm</t>
  </si>
  <si>
    <t>Raj Mohammed,Samson,Haroon</t>
  </si>
  <si>
    <t>B0B4HKH19N</t>
  </si>
  <si>
    <t>pTron Solero 331 3.4Amps</t>
  </si>
  <si>
    <t>B08TGG316Z</t>
  </si>
  <si>
    <t>10k 8k 4k HDMI</t>
  </si>
  <si>
    <t>Mandar Joglekar,Vasanth,Well</t>
  </si>
  <si>
    <t>B071VMP1Z4</t>
  </si>
  <si>
    <t>LRIPL Compatible Sony Bravia</t>
  </si>
  <si>
    <t>Vishal Nagpal,sharmila,Amazon</t>
  </si>
  <si>
    <t>B071SDRGWL</t>
  </si>
  <si>
    <t>boAt Type-c A400 Type-c</t>
  </si>
  <si>
    <t>B08PSQRW2T</t>
  </si>
  <si>
    <t>Zoul Type C to</t>
  </si>
  <si>
    <t>Abhay Goyal,Apurva,Shilpa,Vishnu</t>
  </si>
  <si>
    <t>B0859M539M</t>
  </si>
  <si>
    <t>TP-LINK AC1300 Archer T3U</t>
  </si>
  <si>
    <t>B08RX8G496</t>
  </si>
  <si>
    <t>LRIPL Mi Remote Control</t>
  </si>
  <si>
    <t>Girija Mohapatra,ShanChan83,Jai</t>
  </si>
  <si>
    <t>B002SZEOLG</t>
  </si>
  <si>
    <t>TP-Link Nano USB WiFi</t>
  </si>
  <si>
    <t>B08CS3BT4L</t>
  </si>
  <si>
    <t>Kodak 80 cm</t>
  </si>
  <si>
    <t>Fateh,Fauzia kahkashan,Prakash</t>
  </si>
  <si>
    <t>B00RFWNJMC</t>
  </si>
  <si>
    <t>Airtel DigitalTV DTH Remote</t>
  </si>
  <si>
    <t>ABHAY SINGH,kapil,Amazon</t>
  </si>
  <si>
    <t>B082T6GXS5</t>
  </si>
  <si>
    <t>Brian Visvasam,CHAITHANYA</t>
  </si>
  <si>
    <t>B09CMQRQM6</t>
  </si>
  <si>
    <t>Ambrane Fast 100W Output</t>
  </si>
  <si>
    <t>Siddhartha G.,BABU</t>
  </si>
  <si>
    <t>B005LJQMCK</t>
  </si>
  <si>
    <t>BlueRigger Digital Optical Audio</t>
  </si>
  <si>
    <t>Mahender Singh,Vinay,Supratim</t>
  </si>
  <si>
    <t>B09C6H53KH</t>
  </si>
  <si>
    <t>Duracell Type-C To Micro</t>
  </si>
  <si>
    <t>Sreejith ks,chetan</t>
  </si>
  <si>
    <t>B0BB3CBFBM</t>
  </si>
  <si>
    <t>VU 138 cm</t>
  </si>
  <si>
    <t>CH Venkatesh,nihar</t>
  </si>
  <si>
    <t>B08QSDKFGQ</t>
  </si>
  <si>
    <t>Zoul USB Type C</t>
  </si>
  <si>
    <t>B08PV1X771</t>
  </si>
  <si>
    <t>B07YTNKVJQ</t>
  </si>
  <si>
    <t>MI Xiaomi USB Type</t>
  </si>
  <si>
    <t>B0117H7GZ6</t>
  </si>
  <si>
    <t>GENERIC Ultra-Mini Bluetooth CSR</t>
  </si>
  <si>
    <t>Akmathambil |</t>
  </si>
  <si>
    <t>B09XJ1LM7R</t>
  </si>
  <si>
    <t>7SEVENÂ® Compatible for Tata</t>
  </si>
  <si>
    <t>anurag jain</t>
  </si>
  <si>
    <t>B084N133Y7</t>
  </si>
  <si>
    <t>B088Z1YWBC</t>
  </si>
  <si>
    <t>EGate i9 Pro-Max 1080p</t>
  </si>
  <si>
    <t>Amazon Customer,Manasi</t>
  </si>
  <si>
    <t>B07VSG5SXZ</t>
  </si>
  <si>
    <t>ZEBRONICS HAA2021 HDMI version</t>
  </si>
  <si>
    <t>Amazon Customer,Gowthami,Pradeep</t>
  </si>
  <si>
    <t>B08RWCZ6SY</t>
  </si>
  <si>
    <t>7SEVENÂ® Compatible for Sony</t>
  </si>
  <si>
    <t>T A</t>
  </si>
  <si>
    <t>B07KSB1MLX</t>
  </si>
  <si>
    <t>AmazonBasics Digital Optical Coax</t>
  </si>
  <si>
    <t>Amazon Customer,Sarma</t>
  </si>
  <si>
    <t>B081FG1QYX</t>
  </si>
  <si>
    <t>Wayona Type C Cable</t>
  </si>
  <si>
    <t>SMG,Rohit,roy,Sukumar Ballavolu,Jeeva,Sirajdurvesh,Adhikundhan,Manjit</t>
  </si>
  <si>
    <t>B08R69WBN7</t>
  </si>
  <si>
    <t>B0B3RHX6B6</t>
  </si>
  <si>
    <t>Ambrane BCL-15 Lightning Cable</t>
  </si>
  <si>
    <t>Nik Xavier,Muhammed</t>
  </si>
  <si>
    <t>B084N18QZY</t>
  </si>
  <si>
    <t>Belkin USB C to</t>
  </si>
  <si>
    <t>Khan, BA,Vaibhav,ANIL</t>
  </si>
  <si>
    <t>B081NHWT6Z</t>
  </si>
  <si>
    <t>LOHAYA Television Remote Compatible</t>
  </si>
  <si>
    <t>Pinky,girish,Sajin Thomas,Amazon</t>
  </si>
  <si>
    <t>B07JPJJZ2H</t>
  </si>
  <si>
    <t>Wayona Nylon Braided Lightning</t>
  </si>
  <si>
    <t>B09JKNF147</t>
  </si>
  <si>
    <t>MANIK SK,Niranjan,renpuppypaws,Ayushi</t>
  </si>
  <si>
    <t>B0B9959XF3</t>
  </si>
  <si>
    <t>Moon Tej,Aditya</t>
  </si>
  <si>
    <t>B09PNR6F8Q</t>
  </si>
  <si>
    <t>realme 10W Fast Charging</t>
  </si>
  <si>
    <t>Ajinkya M</t>
  </si>
  <si>
    <t>B07M69276N</t>
  </si>
  <si>
    <t>TP-Link AC1300 USB WiFi</t>
  </si>
  <si>
    <t>Shweta Bairagi,Sarathi,Abhishek,AAR,Deepak</t>
  </si>
  <si>
    <t>B0B1YZ9CB8</t>
  </si>
  <si>
    <t>Acer 139 cm</t>
  </si>
  <si>
    <t>B09YLYB9PB</t>
  </si>
  <si>
    <t>B08CTNJ985</t>
  </si>
  <si>
    <t>Wayona USB Type C</t>
  </si>
  <si>
    <t>Soumya R.,sivaramakrishnan</t>
  </si>
  <si>
    <t>B0BP7XLX48</t>
  </si>
  <si>
    <t>Syncwire LTG to USB</t>
  </si>
  <si>
    <t>Amazon Customer,kamal</t>
  </si>
  <si>
    <t>B09LHXNZLR</t>
  </si>
  <si>
    <t>Skadioo WiFi Adapter for</t>
  </si>
  <si>
    <t>POTNURU RAJINI,swapnil</t>
  </si>
  <si>
    <t>B0B3N8VG24</t>
  </si>
  <si>
    <t>B08PSVBB2X</t>
  </si>
  <si>
    <t>Zoul USB C to</t>
  </si>
  <si>
    <t>B0B3MQXNFB</t>
  </si>
  <si>
    <t>B08XMSKKMM</t>
  </si>
  <si>
    <t>7SEVENÂ® Bluetooth Voice Command</t>
  </si>
  <si>
    <t>ravi,Alex,Vineet M.,chakri,Siddhartha</t>
  </si>
  <si>
    <t>B09L8DT7D6</t>
  </si>
  <si>
    <t>Sony TV - Remote</t>
  </si>
  <si>
    <t>S R.,JK,balaji,kishore,SANJEEV</t>
  </si>
  <si>
    <t>B00GE55L22</t>
  </si>
  <si>
    <t>Storite USB 3.0 Cable</t>
  </si>
  <si>
    <t>Abhirup,SHANMUGANANDA RAMAN,Srijit</t>
  </si>
  <si>
    <t>B0162K34H2</t>
  </si>
  <si>
    <t>boAt LTG 500 Apple</t>
  </si>
  <si>
    <t>Aaditya,Ajinkya Kumbhar,Sanchada,Shubham,Gaurav</t>
  </si>
  <si>
    <t>B0B8SRZ5SV</t>
  </si>
  <si>
    <t>AmazonBasics USB C to</t>
  </si>
  <si>
    <t>B07CWNJLPC</t>
  </si>
  <si>
    <t>AmazonBasics Double Braided Nylon</t>
  </si>
  <si>
    <t>Gaurab Chakraborty,Pratik</t>
  </si>
  <si>
    <t>B00NH12R1O</t>
  </si>
  <si>
    <t>Amazon Basics USB 3.0</t>
  </si>
  <si>
    <t>Partha biswas,kamlesh</t>
  </si>
  <si>
    <t>B0B8SSC5D9</t>
  </si>
  <si>
    <t>B08WKG2MWT</t>
  </si>
  <si>
    <t>Wayona Usb C 65W</t>
  </si>
  <si>
    <t>B0B466C3G4</t>
  </si>
  <si>
    <t>Karbonn 80 cm</t>
  </si>
  <si>
    <t>Sunil Jeurkar,Bhashker</t>
  </si>
  <si>
    <t>B005LJQMZC</t>
  </si>
  <si>
    <t>B07MDRGHWQ</t>
  </si>
  <si>
    <t>VW 60 cm</t>
  </si>
  <si>
    <t>B07DC4RZPY</t>
  </si>
  <si>
    <t>Amazon Basics USB A</t>
  </si>
  <si>
    <t>Pete25,Bhanu,Naveen Kr</t>
  </si>
  <si>
    <t>B0B15GSPQW</t>
  </si>
  <si>
    <t>Samsung 138 cm</t>
  </si>
  <si>
    <t>B08GJNM9N7</t>
  </si>
  <si>
    <t>Saswat kumar</t>
  </si>
  <si>
    <t>B09C6FML9B</t>
  </si>
  <si>
    <t>Duracell Micro USB 3A</t>
  </si>
  <si>
    <t>Dr. R.,Ajay</t>
  </si>
  <si>
    <t>B0B65MJ45G</t>
  </si>
  <si>
    <t>Zebronics CU3100V Fast charging</t>
  </si>
  <si>
    <t>samarth shukla,Sanjeev</t>
  </si>
  <si>
    <t>B08P9RYPLR</t>
  </si>
  <si>
    <t>B0B6F8HHR6</t>
  </si>
  <si>
    <t>MI 108 cm</t>
  </si>
  <si>
    <t>B084MZXJN6</t>
  </si>
  <si>
    <t>VM,Dilip,The Mango</t>
  </si>
  <si>
    <t>B08XMG618K</t>
  </si>
  <si>
    <t>Time Office Scanner Replacement</t>
  </si>
  <si>
    <t>Raja Vankadara,velidandi</t>
  </si>
  <si>
    <t>B0BCKWZ884</t>
  </si>
  <si>
    <t>Caldipree Silicone Case Cover</t>
  </si>
  <si>
    <t>padmaprasaad,rahul kumria,dharmesh</t>
  </si>
  <si>
    <t>B00GGGOYEK</t>
  </si>
  <si>
    <t>Storite USB 2.0 A</t>
  </si>
  <si>
    <t>Angsuman DUtta,Amjath</t>
  </si>
  <si>
    <t>B07ZR4S1G4</t>
  </si>
  <si>
    <t>Universal Remote Control for</t>
  </si>
  <si>
    <t>Srinivas Pasumarthi,AM,Khushboo,Geetanjali</t>
  </si>
  <si>
    <t>B09C635BMM</t>
  </si>
  <si>
    <t>Cotbolt Silicone Case Cover</t>
  </si>
  <si>
    <t>Surya Praveen,Suraj</t>
  </si>
  <si>
    <t>B00GG59HU2</t>
  </si>
  <si>
    <t>BlueRigger High Speed HDMI</t>
  </si>
  <si>
    <t>Kakulie,Amjath sp,Saj</t>
  </si>
  <si>
    <t>B00RGLI0ZS</t>
  </si>
  <si>
    <t>Amkette 30 Pin to</t>
  </si>
  <si>
    <t>R Ramesh,Virender,Hemkant</t>
  </si>
  <si>
    <t>B09ZPJT8B2</t>
  </si>
  <si>
    <t>Seyadhu Hussain,Vikky,BG,Sreejith,Thakor</t>
  </si>
  <si>
    <t>B07HZ2QCGR</t>
  </si>
  <si>
    <t>POPIO Type C Dash</t>
  </si>
  <si>
    <t>Digvijay Kharbas,D,Vibhor,Asha,RoRo,tanya,Sai</t>
  </si>
  <si>
    <t>B095244Q22</t>
  </si>
  <si>
    <t>MYVN LTG to USB</t>
  </si>
  <si>
    <t>jagadish,Rishabh,Sakshi,Amazon Customer,Boina</t>
  </si>
  <si>
    <t>B08CKW1KH9</t>
  </si>
  <si>
    <t>Amazon Customer,JKSingh,Aryan,sridhar</t>
  </si>
  <si>
    <t>B0BLV1GNLN</t>
  </si>
  <si>
    <t>WZATCO Pixel | Portable</t>
  </si>
  <si>
    <t>Arul Prakash,rashid,Amazon</t>
  </si>
  <si>
    <t>B08RHPDNVV</t>
  </si>
  <si>
    <t>7SEVENÂ® Compatible Tata Sky</t>
  </si>
  <si>
    <t>Amazon Customer,Soniya</t>
  </si>
  <si>
    <t>B00NH13Q8W</t>
  </si>
  <si>
    <t>AmazonBasics USB 2.0 Extension</t>
  </si>
  <si>
    <t>B0B8SSZ76F</t>
  </si>
  <si>
    <t>Amazon Basics USB C</t>
  </si>
  <si>
    <t>That Crazy</t>
  </si>
  <si>
    <t>B0841KQR1Z</t>
  </si>
  <si>
    <t>Crypoâ„¢ Universal Remote Compatible</t>
  </si>
  <si>
    <t>Sangita,Radha Senthilkumar,Deepak</t>
  </si>
  <si>
    <t>B0B467CCB9</t>
  </si>
  <si>
    <t>Ajay kumar,Ishan</t>
  </si>
  <si>
    <t>B095JQVC7N</t>
  </si>
  <si>
    <t>OnePlus 138.7 cm</t>
  </si>
  <si>
    <t>Rashmi,Raghvendra,Hari Prasad</t>
  </si>
  <si>
    <t>B08PPHFXG3</t>
  </si>
  <si>
    <t>Posh 1.5 Meter High</t>
  </si>
  <si>
    <t>Amjith' S,Zakir</t>
  </si>
  <si>
    <t>B06XR9PR5X</t>
  </si>
  <si>
    <t>Amazon Basics HDMI Coupler,Black</t>
  </si>
  <si>
    <t>Bharanidharan,Roshan k</t>
  </si>
  <si>
    <t>B09JSW16QD</t>
  </si>
  <si>
    <t>boAt LTG 550v3 Lightning</t>
  </si>
  <si>
    <t>Ajay,Jeswin,Amazon Customer,Sudeerreddy</t>
  </si>
  <si>
    <t>B07JH1CBGW</t>
  </si>
  <si>
    <t>Wayona Nylon Braided Usb</t>
  </si>
  <si>
    <t>B09127FZCK</t>
  </si>
  <si>
    <t>Astigo Compatible Remote for</t>
  </si>
  <si>
    <t>Yamini Negi,Sandhya,Placeholder,Rajeev</t>
  </si>
  <si>
    <t>B083GQGT3Z</t>
  </si>
  <si>
    <t>Caprigo Heavy Duty TV</t>
  </si>
  <si>
    <t>SNR,Aditya Digambar</t>
  </si>
  <si>
    <t>B09Q8WQ5QJ</t>
  </si>
  <si>
    <t>Portronics Konnect L 60W</t>
  </si>
  <si>
    <t>chandra,Dark Lord,Amazon</t>
  </si>
  <si>
    <t>B07YZG8PPY</t>
  </si>
  <si>
    <t>TATA SKY HD Connection</t>
  </si>
  <si>
    <t>Lokesh bhandari,Ajit</t>
  </si>
  <si>
    <t>B09H39KTTB</t>
  </si>
  <si>
    <t>Remote Compatible for Samsung</t>
  </si>
  <si>
    <t>Amazon Customer,Harish</t>
  </si>
  <si>
    <t>B08DCVRW98</t>
  </si>
  <si>
    <t>SoniVision SA-D10 SA-D100 SA-D40</t>
  </si>
  <si>
    <t>ravindra,Thrinath,PD,Prashant,Amazon Customer,Amazon</t>
  </si>
  <si>
    <t>B0718ZN31Q</t>
  </si>
  <si>
    <t>Rtsâ„¢ High Speed 3D</t>
  </si>
  <si>
    <t>Rohit aggarwal,anbu,Vijay,Nagoju</t>
  </si>
  <si>
    <t>B0162LYSFS</t>
  </si>
  <si>
    <t>Harihara,Manish Singh,parmar</t>
  </si>
  <si>
    <t>B07PFJ5VQD</t>
  </si>
  <si>
    <t>Agaro Blaze USBA to</t>
  </si>
  <si>
    <t>Anubhab,Himanshu Yogi,Amit,Chandra</t>
  </si>
  <si>
    <t>B01J8S6X2I</t>
  </si>
  <si>
    <t>AmazonBasics 6 Feet DisplayPort</t>
  </si>
  <si>
    <t>sanjay,Hari R.,rohit,Samrat</t>
  </si>
  <si>
    <t>B09MJ77786</t>
  </si>
  <si>
    <t>Amazon Customer,Rampratap</t>
  </si>
  <si>
    <t>B09NNGHG22</t>
  </si>
  <si>
    <t>Sansui 140cm</t>
  </si>
  <si>
    <t>Prat JD,vishnu,Ankur</t>
  </si>
  <si>
    <t>B07V5YF4ND</t>
  </si>
  <si>
    <t>LOHAYA LCD/LED Remote Compatible</t>
  </si>
  <si>
    <t>Rakesh Reddy,Gururaj</t>
  </si>
  <si>
    <t>B0B65P827P</t>
  </si>
  <si>
    <t>B084MZYBTV</t>
  </si>
  <si>
    <t>Manoj kumar,johnny</t>
  </si>
  <si>
    <t>B097ZQTDVZ</t>
  </si>
  <si>
    <t>7SEVENÂ® TCL Remote Control</t>
  </si>
  <si>
    <t>umakanth,Sagar Ranpise,Martin</t>
  </si>
  <si>
    <t>B0B5F3YZY4</t>
  </si>
  <si>
    <t>Wayona 3in1 Nylon Braided</t>
  </si>
  <si>
    <t>saidheeraj ravipati,Ayyappareddy,Tirtha</t>
  </si>
  <si>
    <t>B09G5TSGXV</t>
  </si>
  <si>
    <t>Hi-Mobiler iPhone Charger Lightning</t>
  </si>
  <si>
    <t>Ankita Thakur,Customer,Priyanka,varun</t>
  </si>
  <si>
    <t>B006LW0WDQ</t>
  </si>
  <si>
    <t>Amazon Basics 16-Gauge Speaker</t>
  </si>
  <si>
    <t>HaRshal Kapote,Chaitanya,Prachi</t>
  </si>
  <si>
    <t>B09YLX91QR</t>
  </si>
  <si>
    <t>B081FJWN52</t>
  </si>
  <si>
    <t>B0758F7KK7</t>
  </si>
  <si>
    <t>Jayraj Datta,sachin</t>
  </si>
  <si>
    <t>B09L835C3V</t>
  </si>
  <si>
    <t>SmashtronicsÂ® - Case for</t>
  </si>
  <si>
    <t>Princey,Subodh Gupta,Amazon</t>
  </si>
  <si>
    <t>B098TV3L96</t>
  </si>
  <si>
    <t>Electvision Remote Control for</t>
  </si>
  <si>
    <t>Chandu,Satyaganesh,Srihari,Amazon Customer,Krish,Venkat</t>
  </si>
  <si>
    <t>B08NCKT9FG</t>
  </si>
  <si>
    <t>Boat A 350 Type</t>
  </si>
  <si>
    <t>B0B4T6MR8N</t>
  </si>
  <si>
    <t>pTron Solero M241 2.4A</t>
  </si>
  <si>
    <t>B01GGKZ4NU</t>
  </si>
  <si>
    <t>B09BW2GP18</t>
  </si>
  <si>
    <t>Croma 3A Fast charge</t>
  </si>
  <si>
    <t>Aneesh See</t>
  </si>
  <si>
    <t>B09WN3SRC7</t>
  </si>
  <si>
    <t>Sony Bravia 164 cm</t>
  </si>
  <si>
    <t>David P.,Dr.</t>
  </si>
  <si>
    <t>B09B125CFJ</t>
  </si>
  <si>
    <t>7SEVENÂ® Compatible for Mi</t>
  </si>
  <si>
    <t>Rakesh Roshan</t>
  </si>
  <si>
    <t>B09RQRZW2X</t>
  </si>
  <si>
    <t>7SEVENÂ® Compatible Vu Smart</t>
  </si>
  <si>
    <t>hema,Lalsangpuia masanga,Mudang</t>
  </si>
  <si>
    <t>B07924P3C5</t>
  </si>
  <si>
    <t>Storite High Speed Micro</t>
  </si>
  <si>
    <t>Tarun Gupta,Ann</t>
  </si>
  <si>
    <t>B08N1WL9XW</t>
  </si>
  <si>
    <t>B07VVXJ2P5</t>
  </si>
  <si>
    <t>SVM Products Unbreakable Set</t>
  </si>
  <si>
    <t>Samadhan patil,ARUN,govind,kishor</t>
  </si>
  <si>
    <t>B0BC8BQ432</t>
  </si>
  <si>
    <t>VU 164 cm</t>
  </si>
  <si>
    <t>B06XFTHCNY</t>
  </si>
  <si>
    <t>CableCreation RCA to 3.5mm</t>
  </si>
  <si>
    <t>Arun Rajappa,Ashish</t>
  </si>
  <si>
    <t>B08CT62BM1</t>
  </si>
  <si>
    <t>B07CRL2GY6</t>
  </si>
  <si>
    <t>boAt Rugged V3 Braided</t>
  </si>
  <si>
    <t>B07DWFX9YS</t>
  </si>
  <si>
    <t>DINESHWAR,rubhaganth,Gurinder Singh,Nathan,Clyde,shadkhans,K.S.Tanwar,Manish</t>
  </si>
  <si>
    <t>B01D5H90L4</t>
  </si>
  <si>
    <t>AmazonBasics - High-Speed Male</t>
  </si>
  <si>
    <t>Vikas,Salil P.,PESI</t>
  </si>
  <si>
    <t>B07F1P8KNV</t>
  </si>
  <si>
    <t>B084N1BM9L</t>
  </si>
  <si>
    <t>B09F6D21BY</t>
  </si>
  <si>
    <t>7SEVEN Compatible LG TV</t>
  </si>
  <si>
    <t>Jarlina Nath,Sona,Ranjit</t>
  </si>
  <si>
    <t>B09LQQYNZQ</t>
  </si>
  <si>
    <t>Realme Smart TV Stick</t>
  </si>
  <si>
    <t>Sayan Dutta,Harish,Saurabh</t>
  </si>
  <si>
    <t>B0BC9BW512</t>
  </si>
  <si>
    <t>Acer 100 cm</t>
  </si>
  <si>
    <t>B0B61HYR92</t>
  </si>
  <si>
    <t>Lapster usb 2.0 mantra</t>
  </si>
  <si>
    <t>Amit Singh,mahaboob</t>
  </si>
  <si>
    <t>B075ZTJ9XR</t>
  </si>
  <si>
    <t>AmazonBasics High-Speed Braided HDMI</t>
  </si>
  <si>
    <t>SUSHANT,SANJEEV,R. chatterjee,P.Krishna,Avi</t>
  </si>
  <si>
    <t>B0978V2CP6</t>
  </si>
  <si>
    <t>Cubetek 3 in 1</t>
  </si>
  <si>
    <t>meen rajan.,AV,Sreejith,SANDESH</t>
  </si>
  <si>
    <t>B09LRZYBH1</t>
  </si>
  <si>
    <t>KRISONS Thunder Speaker, Multimedia</t>
  </si>
  <si>
    <t>Ajay Singh,sanahanrajkumar,Andy,Perfect</t>
  </si>
  <si>
    <t>B0B997FBZT</t>
  </si>
  <si>
    <t>B098LCVYPW</t>
  </si>
  <si>
    <t>Dealfreez Case Compatible for</t>
  </si>
  <si>
    <t>Rohit Bhatnagar,GLEN</t>
  </si>
  <si>
    <t>B09HV71RL1</t>
  </si>
  <si>
    <t>B08PZ6HZLT</t>
  </si>
  <si>
    <t>Ahmad,punnoose wilson,Manoj</t>
  </si>
  <si>
    <t>B075TJHWVC</t>
  </si>
  <si>
    <t>Airtel Digital TV HD</t>
  </si>
  <si>
    <t>Praburaj,Dipen Giri,Santhosh</t>
  </si>
  <si>
    <t>B09LV13JFB</t>
  </si>
  <si>
    <t>LOHAYA Voice Assistant Remote</t>
  </si>
  <si>
    <t>Amazon Customer,Amazon</t>
  </si>
  <si>
    <t>B092BL5DCX</t>
  </si>
  <si>
    <t>B09VH568H7</t>
  </si>
  <si>
    <t>Amazon Brand - Solimo</t>
  </si>
  <si>
    <t>Sachin Dsouza,Ashrith</t>
  </si>
  <si>
    <t>B09HQSV46W</t>
  </si>
  <si>
    <t>Mi 100 cm</t>
  </si>
  <si>
    <t>B08TZD7FQN</t>
  </si>
  <si>
    <t>Astigo Compatible Remote Control</t>
  </si>
  <si>
    <t>Amazon Customer,Rahul</t>
  </si>
  <si>
    <t>B0B21XL94T</t>
  </si>
  <si>
    <t>Toshiba 108 cm</t>
  </si>
  <si>
    <t>Mahesh Janardhanan,Prakash,Mohammed</t>
  </si>
  <si>
    <t>B09PTT8DZF</t>
  </si>
  <si>
    <t>Lenovo USB A to</t>
  </si>
  <si>
    <t>Mohd Arshad,Yogesh</t>
  </si>
  <si>
    <t>B0B94JPY2N</t>
  </si>
  <si>
    <t>Pranav</t>
  </si>
  <si>
    <t>B0B3XXSB1K</t>
  </si>
  <si>
    <t>LG 139 cm</t>
  </si>
  <si>
    <t>B08RZ12GKR</t>
  </si>
  <si>
    <t>Tata Sky Digital TV</t>
  </si>
  <si>
    <t>Rajni Gupta,Lakshmipati</t>
  </si>
  <si>
    <t>B0B4T8RSJ1</t>
  </si>
  <si>
    <t>pTron Solero T241 2.4A</t>
  </si>
  <si>
    <t>B0B7B9V9QP</t>
  </si>
  <si>
    <t>VU 108 cm</t>
  </si>
  <si>
    <t>Logaraj m,KIRAN</t>
  </si>
  <si>
    <t>B08XXVXP3J</t>
  </si>
  <si>
    <t>Storite Super Speed USB</t>
  </si>
  <si>
    <t>Shilpa M,Akash,Aman.MD,Manoj</t>
  </si>
  <si>
    <t>B06XGWRKYT</t>
  </si>
  <si>
    <t>Sandip Shingrakhia,Abhishek</t>
  </si>
  <si>
    <t>B07CWDX49D</t>
  </si>
  <si>
    <t>B09TY4MSH3</t>
  </si>
  <si>
    <t>Harish Thirunahari,Gajanan</t>
  </si>
  <si>
    <t>B07RY2X9MP</t>
  </si>
  <si>
    <t>AmazonBasics 10.2 Gbps High-Speed</t>
  </si>
  <si>
    <t>saatwik,Mubashir,Arup Datta,Amrut</t>
  </si>
  <si>
    <t>B0B2C5MJN6</t>
  </si>
  <si>
    <t>Hisense 126 cm</t>
  </si>
  <si>
    <t>yash,Amazon Customer,Nagababu,Krunal</t>
  </si>
  <si>
    <t>B0BBMGLQDW</t>
  </si>
  <si>
    <t>Tuarso 8K HDMI 2.1</t>
  </si>
  <si>
    <t>Jitu,Shan Raj,Brajmohan</t>
  </si>
  <si>
    <t>B01LONQBDG</t>
  </si>
  <si>
    <t>SOURAV DAS,GISHU,Bikkee</t>
  </si>
  <si>
    <t>B08XXF5V6G</t>
  </si>
  <si>
    <t>Kodak 139 cm</t>
  </si>
  <si>
    <t>Abhijit Mukherjee,Swetha</t>
  </si>
  <si>
    <t>B09HK9JH4F</t>
  </si>
  <si>
    <t>B09MMD1FDN</t>
  </si>
  <si>
    <t>7SEVENÂ® Suitable Sony Tv</t>
  </si>
  <si>
    <t>Kalyan Matamarugu,Amazon</t>
  </si>
  <si>
    <t>B09HN7LD5L</t>
  </si>
  <si>
    <t>PROLEGENDÂ® PL-T002 Universal TV</t>
  </si>
  <si>
    <t>Geeta,Amazon Customer,Melwin</t>
  </si>
  <si>
    <t>B0BNDD9TN6</t>
  </si>
  <si>
    <t>WANBO X1 Pro</t>
  </si>
  <si>
    <t>Chandrabose C,parveen,Sid,*</t>
  </si>
  <si>
    <t>B0941392C8</t>
  </si>
  <si>
    <t>Lava Charging Adapter Elements</t>
  </si>
  <si>
    <t>Love,Jaidev singh</t>
  </si>
  <si>
    <t>B01M5967SY</t>
  </si>
  <si>
    <t>TIZUM High Speed HDMI</t>
  </si>
  <si>
    <t>B016MDK4F4</t>
  </si>
  <si>
    <t>Technotech High Speed HDMI</t>
  </si>
  <si>
    <t>Bapuni,RAJESH SINGH,venkatesh,Rahim</t>
  </si>
  <si>
    <t>B08G43CCLC</t>
  </si>
  <si>
    <t>NK STAR 950 Mbps</t>
  </si>
  <si>
    <t>Shivakumar,Bijoy Debnath,Pallav</t>
  </si>
  <si>
    <t>B0B61GCHC1</t>
  </si>
  <si>
    <t>LS LAPSTER Quality Assured</t>
  </si>
  <si>
    <t>Suvaraj d.,Rai</t>
  </si>
  <si>
    <t>B07RX14W1Q</t>
  </si>
  <si>
    <t>Amazon Basics 10.2 Gbps</t>
  </si>
  <si>
    <t>Willgo Green,chittibabu,Deepak</t>
  </si>
  <si>
    <t>B09PLD9TCD</t>
  </si>
  <si>
    <t>Kodak 126 cm</t>
  </si>
  <si>
    <t>Mahesh savale,Sameer</t>
  </si>
  <si>
    <t>B0B8ZKWGKD</t>
  </si>
  <si>
    <t>ZORBESÂ® Wall Adapter Holder</t>
  </si>
  <si>
    <t>Pranjal,MAHAVIR,Aiyappa Nayaka,Bharat</t>
  </si>
  <si>
    <t>B09NNJ9WYM</t>
  </si>
  <si>
    <t>Sansui 80cm</t>
  </si>
  <si>
    <t>Ajay Kumar,Chetan</t>
  </si>
  <si>
    <t>B08H5L8V1L</t>
  </si>
  <si>
    <t>Synqe USB Type C</t>
  </si>
  <si>
    <t>Sparrsh Sharrma,Pradeep,Sandeep</t>
  </si>
  <si>
    <t>B0B8CXTTG3</t>
  </si>
  <si>
    <t>B09HCH3JZG</t>
  </si>
  <si>
    <t>Bestor Â® 8K Hdmi</t>
  </si>
  <si>
    <t>Aakaash Ramchandani,ashok</t>
  </si>
  <si>
    <t>B097JVLW3L</t>
  </si>
  <si>
    <t>Irusu Play VR Plus</t>
  </si>
  <si>
    <t>Wasim Mulla,PrItHvI</t>
  </si>
  <si>
    <t>B09SB6SJB4</t>
  </si>
  <si>
    <t>jegadheesan,Ajay Kumar</t>
  </si>
  <si>
    <t>B08NW8GHCJ</t>
  </si>
  <si>
    <t>Synqe USB C to</t>
  </si>
  <si>
    <t>Uzair Drabu,Ravindra</t>
  </si>
  <si>
    <t>B09YHLPQYT</t>
  </si>
  <si>
    <t>Shopoflux Silicone Remote Cover</t>
  </si>
  <si>
    <t>Hemal Jani,NITIN</t>
  </si>
  <si>
    <t>B08G1RW2Q3</t>
  </si>
  <si>
    <t>EYNK Extra Long Micro</t>
  </si>
  <si>
    <t>Baiju.MS,Preetirawat,Ajit,Ramakant Bairagi,Amazon</t>
  </si>
  <si>
    <t>B08YXJJW8H</t>
  </si>
  <si>
    <t>LUNAGARIYAÂ®, Protective Case Compatible</t>
  </si>
  <si>
    <t>BRG Goud,Vignesh,Venkureddy</t>
  </si>
  <si>
    <t>B09P8M18QM</t>
  </si>
  <si>
    <t>7SEVENÂ® Compatible with Fire</t>
  </si>
  <si>
    <t>Manikantan V,Murali</t>
  </si>
  <si>
    <t>B08BG4M4N7</t>
  </si>
  <si>
    <t>PRUSHTI COVER AND BAGS,</t>
  </si>
  <si>
    <t>MATHEW JOSE,Ks,KARTHIK,Kr</t>
  </si>
  <si>
    <t>B07VJ9ZTXS</t>
  </si>
  <si>
    <t>Aine HDMI Male to</t>
  </si>
  <si>
    <t>Naveen..navee,Tenzing Nawang,Anu,Harie,dena,Anant</t>
  </si>
  <si>
    <t>B084872DQY</t>
  </si>
  <si>
    <t>Mi 80 cm</t>
  </si>
  <si>
    <t>MUNIYANDI. D,Rathod</t>
  </si>
  <si>
    <t>B00GGGOYEU</t>
  </si>
  <si>
    <t>Partha S.,Arvind,Blueraytech,Syed</t>
  </si>
  <si>
    <t>B08FD2VSD9</t>
  </si>
  <si>
    <t>TCL 108 cm</t>
  </si>
  <si>
    <t>ESAMPALLI ANUDEEP,Pooja</t>
  </si>
  <si>
    <t>B0BQRJ3C47</t>
  </si>
  <si>
    <t>REDTECH USB-C to Lightning</t>
  </si>
  <si>
    <t>Abdul Gafur</t>
  </si>
  <si>
    <t>B095JPKPH3</t>
  </si>
  <si>
    <t>OnePlus 163.8 cm</t>
  </si>
  <si>
    <t>B087JWLZ2K</t>
  </si>
  <si>
    <t>AmazonBasics 108 cm</t>
  </si>
  <si>
    <t>Shankar Raman,Johnnie</t>
  </si>
  <si>
    <t>B09DSXK8JX</t>
  </si>
  <si>
    <t>B08V9C4B1J</t>
  </si>
  <si>
    <t>Synqe Type C to</t>
  </si>
  <si>
    <t>B08PKBMJKS</t>
  </si>
  <si>
    <t>Airtel DigitalTV HD Setup</t>
  </si>
  <si>
    <t>Sony Soniyal,Anshul</t>
  </si>
  <si>
    <t>B0B8VQ7KDS</t>
  </si>
  <si>
    <t>Amazon Customer,Chhaya</t>
  </si>
  <si>
    <t>B086JTMRYL</t>
  </si>
  <si>
    <t>ESR USB C to</t>
  </si>
  <si>
    <t>Mohammed Auquib</t>
  </si>
  <si>
    <t>B09RWQ7YR6</t>
  </si>
  <si>
    <t>MI 138.8 cm</t>
  </si>
  <si>
    <t>B00OFM6PEO</t>
  </si>
  <si>
    <t>Storite USB Extension Cable</t>
  </si>
  <si>
    <t>Manoj S.,Placeholder,Vanchinathan</t>
  </si>
  <si>
    <t>B0BF57RN3K</t>
  </si>
  <si>
    <t>Fire-Boltt Ninja Call Pro</t>
  </si>
  <si>
    <t>venkatesh kg,Raghuram,YOGESH,Manan</t>
  </si>
  <si>
    <t>B0B3RRWSF6</t>
  </si>
  <si>
    <t>Fire-Boltt Phoenix Smart Watch</t>
  </si>
  <si>
    <t>yogita ratre,Arun</t>
  </si>
  <si>
    <t>B0B5B6PQCT</t>
  </si>
  <si>
    <t>boAt Wave Call Smart</t>
  </si>
  <si>
    <t>AV,Mathan kumar,Amol</t>
  </si>
  <si>
    <t>B08HV83HL3</t>
  </si>
  <si>
    <t>MI Power Bank 3i</t>
  </si>
  <si>
    <t>Mahesh Paryani,Tejas</t>
  </si>
  <si>
    <t>B0BBN4DZBD</t>
  </si>
  <si>
    <t>Redmi A1</t>
  </si>
  <si>
    <t>Vaishnavi,Rahul meja,Talo</t>
  </si>
  <si>
    <t>B0B3CPQ5PF</t>
  </si>
  <si>
    <t>OnePlus Nord 2T 5G</t>
  </si>
  <si>
    <t>ASR,Amazon user,Rama</t>
  </si>
  <si>
    <t>B0B3CQBRB4</t>
  </si>
  <si>
    <t>B0BBN56J5H</t>
  </si>
  <si>
    <t>B0BBN3WF7V</t>
  </si>
  <si>
    <t>B0BDRVFDKP</t>
  </si>
  <si>
    <t>SanDisk UltraÂ® microSDXCâ„¢ UHS-I</t>
  </si>
  <si>
    <t>Prashant,Sumesh Sundararajan,Vijay</t>
  </si>
  <si>
    <t>B0B5LVS732</t>
  </si>
  <si>
    <t>Noise Pulse Go Buzz</t>
  </si>
  <si>
    <t>Sumit Nath,Aneesh</t>
  </si>
  <si>
    <t>B09V2Q4QVQ</t>
  </si>
  <si>
    <t>Nokia 105 Single SIM,</t>
  </si>
  <si>
    <t>virender malhotra,Vikas</t>
  </si>
  <si>
    <t>B09V12K8NT</t>
  </si>
  <si>
    <t>boAt Wave Lite Smartwatch</t>
  </si>
  <si>
    <t>Prasad Pavithran,Mahesh</t>
  </si>
  <si>
    <t>B01DEWVZ2C</t>
  </si>
  <si>
    <t>JBL C100SI Wired In</t>
  </si>
  <si>
    <t>Sunny J.,Praveen</t>
  </si>
  <si>
    <t>B0BMGB3CH9</t>
  </si>
  <si>
    <t>Samsung Galaxy M04 Dark</t>
  </si>
  <si>
    <t>Vishnu VP,P</t>
  </si>
  <si>
    <t>B08D77XZX5</t>
  </si>
  <si>
    <t>PTron Tangentbeat in-Ear Bluetooth</t>
  </si>
  <si>
    <t>Suleman saifi,Nidhin</t>
  </si>
  <si>
    <t>B09XB8GFBQ</t>
  </si>
  <si>
    <t>Redmi 10A</t>
  </si>
  <si>
    <t>Mahantesh,Gaurav Chaubey,uma</t>
  </si>
  <si>
    <t>B07WG8PDCW</t>
  </si>
  <si>
    <t>pTron Bullet Pro 36W</t>
  </si>
  <si>
    <t>Rakesh Roshan,Kani,Amazon</t>
  </si>
  <si>
    <t>B07GPXXNNG</t>
  </si>
  <si>
    <t>boAt Bassheads 100 in</t>
  </si>
  <si>
    <t>tarun kumar,mahesh</t>
  </si>
  <si>
    <t>B0BDYVC5TD</t>
  </si>
  <si>
    <t>B0BMGB2TPR</t>
  </si>
  <si>
    <t>Samsung Galaxy M04 Light</t>
  </si>
  <si>
    <t>B08MC57J31</t>
  </si>
  <si>
    <t>MI 10000mAh Lithium Ion,</t>
  </si>
  <si>
    <t>Topchi,Laiju,Taral,R.vijay kumar,Madhurima</t>
  </si>
  <si>
    <t>B08HVL8QN3</t>
  </si>
  <si>
    <t>Mi 10000mAH Li-Polymer, Micro-USB</t>
  </si>
  <si>
    <t>B0746JGVDS</t>
  </si>
  <si>
    <t>ELV Car Mount Adjustable</t>
  </si>
  <si>
    <t>Debanshu Saha,Dhineshkumar,Amazon</t>
  </si>
  <si>
    <t>B08VFF6JQ8</t>
  </si>
  <si>
    <t>Samsung 25W USB Travel</t>
  </si>
  <si>
    <t>Harsh Saxena,Rishi</t>
  </si>
  <si>
    <t>B09NVPSCQT</t>
  </si>
  <si>
    <t>Noise ColorFit Pulse Grand</t>
  </si>
  <si>
    <t>Ranjitha Parida,Shubham</t>
  </si>
  <si>
    <t>B09YV4RG4D</t>
  </si>
  <si>
    <t>Fire-Boltt Ninja 3 Smartwatch</t>
  </si>
  <si>
    <t>Rahul Singh</t>
  </si>
  <si>
    <t>B09TWHTBKQ</t>
  </si>
  <si>
    <t>Samsung Galaxy M33 5G</t>
  </si>
  <si>
    <t>Atulya Sinha,SujayZâ„¢ï¸â˜‘ï¸</t>
  </si>
  <si>
    <t>B08L5HMJVW</t>
  </si>
  <si>
    <t>SanDisk Ultra microSD UHS-I</t>
  </si>
  <si>
    <t>B0B4F2XCK3</t>
  </si>
  <si>
    <t>Samsung Galaxy M13</t>
  </si>
  <si>
    <t>Satheesh Kadiam,Pritom</t>
  </si>
  <si>
    <t>B0BF54972T</t>
  </si>
  <si>
    <t>B09YV4MW2T</t>
  </si>
  <si>
    <t>Fire-Boltt India's No 1</t>
  </si>
  <si>
    <t>Deepankar G.,Babu</t>
  </si>
  <si>
    <t>B09TWH8YHM</t>
  </si>
  <si>
    <t>B07WGMMQGP</t>
  </si>
  <si>
    <t>iQOO vivo Z6 5G</t>
  </si>
  <si>
    <t>Amazon Customer,Soham</t>
  </si>
  <si>
    <t>B0BF563HB4</t>
  </si>
  <si>
    <t>B09GFPVD9Y</t>
  </si>
  <si>
    <t>Redmi 9 Activ</t>
  </si>
  <si>
    <t>Roshan Renji</t>
  </si>
  <si>
    <t>B09GFLXVH9</t>
  </si>
  <si>
    <t>Redmi 9A Sport</t>
  </si>
  <si>
    <t>B0BF4YBLPX</t>
  </si>
  <si>
    <t>B09XB7DPW1</t>
  </si>
  <si>
    <t>B07PFJ5W31</t>
  </si>
  <si>
    <t>AGARO Blaze USB 3.0</t>
  </si>
  <si>
    <t>B0B3N7LR6K</t>
  </si>
  <si>
    <t>Fire-Boltt Visionary 1.78" AMOLED</t>
  </si>
  <si>
    <t>Vineet,shreyas,Amazon Customer,shaurya,Kartik</t>
  </si>
  <si>
    <t>B09ZQK9X8G</t>
  </si>
  <si>
    <t>Noise ColorFit Pro 4</t>
  </si>
  <si>
    <t>Sanjay G.,Vinay</t>
  </si>
  <si>
    <t>B07WJV6P1R</t>
  </si>
  <si>
    <t>iQOO Z6 Lite 5G</t>
  </si>
  <si>
    <t>siddharth patnaik,Dr</t>
  </si>
  <si>
    <t>B0BF54LXW6</t>
  </si>
  <si>
    <t>B09XB7SRQ5</t>
  </si>
  <si>
    <t>B09FFK1PQG</t>
  </si>
  <si>
    <t>Duracell 38W Fast Car</t>
  </si>
  <si>
    <t>Amit Kumar</t>
  </si>
  <si>
    <t>B09RMQYHLH</t>
  </si>
  <si>
    <t>realme narzo 50</t>
  </si>
  <si>
    <t>ANURAG,RAVINDER RACHERLA,Tamojit</t>
  </si>
  <si>
    <t>B08ZN4B121</t>
  </si>
  <si>
    <t>WeCool Bluetooth Extendable Selfie</t>
  </si>
  <si>
    <t>Shyam,Tushar,vahida,Kapil Chaudhary,Kritish</t>
  </si>
  <si>
    <t>B0B3RSDSZ3</t>
  </si>
  <si>
    <t>B08VB34KJ1</t>
  </si>
  <si>
    <t>OPPO A74 5G</t>
  </si>
  <si>
    <t>Chandra.g,Shan Mohd,Suvajit</t>
  </si>
  <si>
    <t>B09T39K9YL</t>
  </si>
  <si>
    <t>Redmi Note 11 Pro</t>
  </si>
  <si>
    <t>Indro,Bhavesh Bodat,Amazon</t>
  </si>
  <si>
    <t>B08VF8V79P</t>
  </si>
  <si>
    <t>Samsung Original 25W USB</t>
  </si>
  <si>
    <t>Akash V.,Sanket</t>
  </si>
  <si>
    <t>B08G28Z33M</t>
  </si>
  <si>
    <t>realme Buds Classic Wired</t>
  </si>
  <si>
    <t>Sankalpa Chakma,Prachi</t>
  </si>
  <si>
    <t>B09PNKXSKF</t>
  </si>
  <si>
    <t>B0B5DDJNH4</t>
  </si>
  <si>
    <t>B07WDKLDRX</t>
  </si>
  <si>
    <t>iQOO Neo 6 5G</t>
  </si>
  <si>
    <t>Goutham Giridhar</t>
  </si>
  <si>
    <t>B09MQSCJQ1</t>
  </si>
  <si>
    <t>boAt Xtend Smartwatch with</t>
  </si>
  <si>
    <t>Andy,Deepak Karki,B</t>
  </si>
  <si>
    <t>B094YFFSMY</t>
  </si>
  <si>
    <t>Tygot Bluetooth Extendable Selfie</t>
  </si>
  <si>
    <t>Shekhar Badola,Pravin,Kishor,Ananta</t>
  </si>
  <si>
    <t>B09MT84WV5</t>
  </si>
  <si>
    <t>Samsung EVO Plus 128GB</t>
  </si>
  <si>
    <t>Soumendra Pattanayak,Kumar.katukuri,RAJULAPATI</t>
  </si>
  <si>
    <t>B08VS3YLRK</t>
  </si>
  <si>
    <t>Portronics Adapto 20 Type</t>
  </si>
  <si>
    <t>pawhnai,Santosh Kumar,Dhruv</t>
  </si>
  <si>
    <t>B0B4F3QNDM</t>
  </si>
  <si>
    <t>Samsung Galaxy M13 5G</t>
  </si>
  <si>
    <t>B07GQD4K6L</t>
  </si>
  <si>
    <t>B07WDKLRM4</t>
  </si>
  <si>
    <t>iQOO Z6 44W by</t>
  </si>
  <si>
    <t>B0BP18W8TM</t>
  </si>
  <si>
    <t>Fire-Boltt Gladiator 1.96" Biggest</t>
  </si>
  <si>
    <t>Bhathresh,Rohit Bhambhani,Amazon</t>
  </si>
  <si>
    <t>B07GXHC691</t>
  </si>
  <si>
    <t>STRIFF PS2_01 Multi Angle</t>
  </si>
  <si>
    <t>Syed Musaddiq</t>
  </si>
  <si>
    <t>B08FN6WGDQ</t>
  </si>
  <si>
    <t>Samsung Galaxy Buds Live</t>
  </si>
  <si>
    <t>Chinmoy Saikia,Zuber</t>
  </si>
  <si>
    <t>B0B3D39RKV</t>
  </si>
  <si>
    <t>B085HY1DGR</t>
  </si>
  <si>
    <t>Sounce Spiral Charger Cable</t>
  </si>
  <si>
    <t>Diamond heart,Amazon</t>
  </si>
  <si>
    <t>B08D75R3Z1</t>
  </si>
  <si>
    <t>PTron Boom Ultima 4D</t>
  </si>
  <si>
    <t>Isfahan A,Anurag,Bhushan,Siddhesh</t>
  </si>
  <si>
    <t>B0B4F2TTTS</t>
  </si>
  <si>
    <t>B09WRMNJ9G</t>
  </si>
  <si>
    <t>OnePlus 10R 5G</t>
  </si>
  <si>
    <t>Dinesh Kumar,Saurabh,BIDESH</t>
  </si>
  <si>
    <t>B0B14MR9L1</t>
  </si>
  <si>
    <t>B09ZPL5VYM</t>
  </si>
  <si>
    <t>Ambrane Mobile Holding Stand,</t>
  </si>
  <si>
    <t>Rohan Kumar</t>
  </si>
  <si>
    <t>B0993BB11X</t>
  </si>
  <si>
    <t>Ambrane 10000mAh Slim Power</t>
  </si>
  <si>
    <t>RAMKISAN,Pawan Kumar</t>
  </si>
  <si>
    <t>B09V2PZDX8</t>
  </si>
  <si>
    <t>B085W8CFLH</t>
  </si>
  <si>
    <t>PTron Tangent Lite Bluetooth</t>
  </si>
  <si>
    <t>Chyanika,Suprit Sagar,Jindal,Kiran</t>
  </si>
  <si>
    <t>B09MT6XSFW</t>
  </si>
  <si>
    <t>Samsung EVO Plus 64GB</t>
  </si>
  <si>
    <t>B07RD611Z8</t>
  </si>
  <si>
    <t>Ambrane 20000mAh Power Bank</t>
  </si>
  <si>
    <t>Vikrant,Ganesh Gholap,âš¡</t>
  </si>
  <si>
    <t>B0B4F52B5X</t>
  </si>
  <si>
    <t>B096VF5YYF</t>
  </si>
  <si>
    <t>archit,Arjun Sen,Divya</t>
  </si>
  <si>
    <t>B0B5D39BCD</t>
  </si>
  <si>
    <t>B09XBJ1CTN</t>
  </si>
  <si>
    <t>MI Xiaomi 22.5W Fast</t>
  </si>
  <si>
    <t>Dongay Rajasekhar</t>
  </si>
  <si>
    <t>B0B4F5L738</t>
  </si>
  <si>
    <t>B08MTCKDYN</t>
  </si>
  <si>
    <t>Gizga Essentials Spiral Cable</t>
  </si>
  <si>
    <t>Velir,Dileep Venigalla,chakrapani</t>
  </si>
  <si>
    <t>B09QS8V5N8</t>
  </si>
  <si>
    <t>Redmi Note 11</t>
  </si>
  <si>
    <t>Meghnad,Partha Dey,JAIDEV</t>
  </si>
  <si>
    <t>B09T2WRLJJ</t>
  </si>
  <si>
    <t>B089WB69Y1</t>
  </si>
  <si>
    <t>USB Charger, Oraimo Elite</t>
  </si>
  <si>
    <t>Samar Kumar</t>
  </si>
  <si>
    <t>B0116MIKKC</t>
  </si>
  <si>
    <t>Goldmedal Curve Plus 202042</t>
  </si>
  <si>
    <t>paul,Amazon Customer,Atif,Amazon</t>
  </si>
  <si>
    <t>B09P858DK8</t>
  </si>
  <si>
    <t>WeCool C1 Car Mobile</t>
  </si>
  <si>
    <t>Santosh Verma,Saravanan,Dr</t>
  </si>
  <si>
    <t>B07DJLFMPS</t>
  </si>
  <si>
    <t>HP 32GB Class 10</t>
  </si>
  <si>
    <t>Ajit Kumar</t>
  </si>
  <si>
    <t>B07WHQWXL7</t>
  </si>
  <si>
    <t>B07WDK3ZS6</t>
  </si>
  <si>
    <t>B09T2S8X9C</t>
  </si>
  <si>
    <t>B07S9S86BF</t>
  </si>
  <si>
    <t>boAt Bassheads 242 in</t>
  </si>
  <si>
    <t>Tanu,THENNARASU,Gatij saini,uday,Rohit,Akshat</t>
  </si>
  <si>
    <t>B07N8RQ6W7</t>
  </si>
  <si>
    <t>Portronics MODESK POR-122 Universal</t>
  </si>
  <si>
    <t>Sethu madhav,Prajwala,Amazon</t>
  </si>
  <si>
    <t>B09FKDH6FS</t>
  </si>
  <si>
    <t>realme narzo 50i</t>
  </si>
  <si>
    <t>Aditya Jha,Aman</t>
  </si>
  <si>
    <t>B08HVJCW95</t>
  </si>
  <si>
    <t>MI 10000mAh 3i Lithium</t>
  </si>
  <si>
    <t>B09YDFDVNS</t>
  </si>
  <si>
    <t>Nokia 105 Plus Single</t>
  </si>
  <si>
    <t>B07WGPKTS4</t>
  </si>
  <si>
    <t>B09MZCQYHZ</t>
  </si>
  <si>
    <t>B0B4F2ZWL3</t>
  </si>
  <si>
    <t>B08VB2CMR3</t>
  </si>
  <si>
    <t>B095RTJH1M</t>
  </si>
  <si>
    <t>Spigen EZ Fit Tempered</t>
  </si>
  <si>
    <t>Abdul Moiz,Rupesh</t>
  </si>
  <si>
    <t>B097R25DP7</t>
  </si>
  <si>
    <t>Noise ColorFit Pulse Smartwatch</t>
  </si>
  <si>
    <t>Ankita Dwivedi,Malathi</t>
  </si>
  <si>
    <t>B09YDFKJF8</t>
  </si>
  <si>
    <t>B07WDK3ZS2</t>
  </si>
  <si>
    <t>iQOO Z6 Pro 5G</t>
  </si>
  <si>
    <t>Thukkaram,Vishnu,Vyshnav g</t>
  </si>
  <si>
    <t>B08RZ5K9YH</t>
  </si>
  <si>
    <t>MI 33W SonicCharge 2.0</t>
  </si>
  <si>
    <t>sarangam guru</t>
  </si>
  <si>
    <t>B08444S68L</t>
  </si>
  <si>
    <t>OPPO A31</t>
  </si>
  <si>
    <t>Suhail Kazmi,Shivam</t>
  </si>
  <si>
    <t>B07WHQBZLS</t>
  </si>
  <si>
    <t>B09JS562TP</t>
  </si>
  <si>
    <t>Motorola a10 Dual Sim</t>
  </si>
  <si>
    <t>Rajasekhar,Dimpal,rajat kumar,akanksha,Noone,Hemavaraprasad,Sachin</t>
  </si>
  <si>
    <t>B09V17S2BG</t>
  </si>
  <si>
    <t>B0B5CGTBKV</t>
  </si>
  <si>
    <t>B0B23LW7NV</t>
  </si>
  <si>
    <t>VK,Siddhi Prabhudesai,Prashant</t>
  </si>
  <si>
    <t>B09KGV7WSV</t>
  </si>
  <si>
    <t>KINGONE Upgraded Stylus Pen,</t>
  </si>
  <si>
    <t>Ishwar Singh</t>
  </si>
  <si>
    <t>B0971DWFDT</t>
  </si>
  <si>
    <t>Portronics CarPower Mini Car</t>
  </si>
  <si>
    <t>Jeeshan,Siddhant,Amaan Shaikh,Nishant</t>
  </si>
  <si>
    <t>B0BNV7JM5Y</t>
  </si>
  <si>
    <t>boAt Newly Launched Wave</t>
  </si>
  <si>
    <t>App,Dr. Rinchin,Priyanka</t>
  </si>
  <si>
    <t>B0B53QFZPY</t>
  </si>
  <si>
    <t>PTron Newly Launched Force</t>
  </si>
  <si>
    <t>anurag,Nirmal Singh,Vikas</t>
  </si>
  <si>
    <t>B07WJWRNVK</t>
  </si>
  <si>
    <t>B01F25X6RQ</t>
  </si>
  <si>
    <t>Samsung Ehs64 Ehs64Avfwecinu Hands-Free</t>
  </si>
  <si>
    <t>Ranit Barman,Ravi</t>
  </si>
  <si>
    <t>B0B244R4KB</t>
  </si>
  <si>
    <t>Prabhat Chaudhary,Anil</t>
  </si>
  <si>
    <t>B0BMGG6NKT</t>
  </si>
  <si>
    <t>B092JHPL72</t>
  </si>
  <si>
    <t>SWAPKART Flexible Mobile Tabletop</t>
  </si>
  <si>
    <t>Sweta B.,YUGANTIKA,Amazon</t>
  </si>
  <si>
    <t>B09GFM8CGS</t>
  </si>
  <si>
    <t>B0B3MWYCHQ</t>
  </si>
  <si>
    <t>Fire-Boltt Ring 3 Smart</t>
  </si>
  <si>
    <t>Anirban,Abhi Khaire,Sachin,Tanisha</t>
  </si>
  <si>
    <t>B09J2MM5C6</t>
  </si>
  <si>
    <t>Amozo Ultra Hybrid Camera</t>
  </si>
  <si>
    <t>Deepak Rathod,Yash</t>
  </si>
  <si>
    <t>B07Q4QV1DL</t>
  </si>
  <si>
    <t>ELV Aluminum Adjustable Mobile</t>
  </si>
  <si>
    <t>Shaik John</t>
  </si>
  <si>
    <t>B0B56YRBNT</t>
  </si>
  <si>
    <t>Tecno Spark 9</t>
  </si>
  <si>
    <t>jagdish,Gore Sampat,Amazon</t>
  </si>
  <si>
    <t>B01DF26V7A</t>
  </si>
  <si>
    <t>B08K4PSZ3V</t>
  </si>
  <si>
    <t>Tukzer Capacitive Stylus Pen</t>
  </si>
  <si>
    <t>Sneha Suyal,Maheswaran,Vamsi</t>
  </si>
  <si>
    <t>B0B4F1YC3J</t>
  </si>
  <si>
    <t>B08K4RDQ71</t>
  </si>
  <si>
    <t>B085CZ3SR1</t>
  </si>
  <si>
    <t>Mi 10W Wall Charger</t>
  </si>
  <si>
    <t>Rajan Raju,Ajay</t>
  </si>
  <si>
    <t>B09YV3K34W</t>
  </si>
  <si>
    <t>B09Z6WH2N1</t>
  </si>
  <si>
    <t>STRIFF 12 Pieces Highly</t>
  </si>
  <si>
    <t>Santosh Kumar,Prateek</t>
  </si>
  <si>
    <t>B09NL4DJ2Z</t>
  </si>
  <si>
    <t>B0BGSV43WY</t>
  </si>
  <si>
    <t>ANUSAYA KAR,Sathish,Sohrab</t>
  </si>
  <si>
    <t>B0926V9CTV</t>
  </si>
  <si>
    <t>Elv Mobile Phone Mount</t>
  </si>
  <si>
    <t>Unknown,KRISHNA PRASAD</t>
  </si>
  <si>
    <t>B07WGPKMP5</t>
  </si>
  <si>
    <t>B0BBFJ9M3X</t>
  </si>
  <si>
    <t>Redmi 11 Prime 5G</t>
  </si>
  <si>
    <t>dhruvi,Sujal Negi,NAGARAJAN,Sreenath,Placeholder,Waseemakram,Shivi,Adnan</t>
  </si>
  <si>
    <t>B09PLFJ7ZW</t>
  </si>
  <si>
    <t>Noise Pulse Buzz 1.69"</t>
  </si>
  <si>
    <t>Kindle Customer,Arun</t>
  </si>
  <si>
    <t>B0B53NXFFR</t>
  </si>
  <si>
    <t>B07GNC2592</t>
  </si>
  <si>
    <t>Portronics CLAMP X Car-Vent</t>
  </si>
  <si>
    <t>PTS,Jitesh Patil,Manoj,Ab,Badri</t>
  </si>
  <si>
    <t>B09TP5KBN7</t>
  </si>
  <si>
    <t>pTron Volta Dual Port</t>
  </si>
  <si>
    <t>Ajit Srivastava,praosv,Rushab,Madhurima</t>
  </si>
  <si>
    <t>B0949SBKMP</t>
  </si>
  <si>
    <t>boAt Flash Edition Smart</t>
  </si>
  <si>
    <t>Gojo Satoru,NOORUL</t>
  </si>
  <si>
    <t>B09V175NP7</t>
  </si>
  <si>
    <t>B07WHSJXLF</t>
  </si>
  <si>
    <t>B0BD3T6Z1D</t>
  </si>
  <si>
    <t>Samsung Galaxy M32 Prime</t>
  </si>
  <si>
    <t>Kranti Telgote,Sandeep</t>
  </si>
  <si>
    <t>B09LHYZ3GJ</t>
  </si>
  <si>
    <t>Redmi Note 11T 5G</t>
  </si>
  <si>
    <t>Kapil kumar,Rajendra</t>
  </si>
  <si>
    <t>B07WFPMGQQ</t>
  </si>
  <si>
    <t>B09QS9X9L8</t>
  </si>
  <si>
    <t>B0B6BLTGTT</t>
  </si>
  <si>
    <t>Noise Pulse 2 Max</t>
  </si>
  <si>
    <t>Amazon Customer,Abhinay</t>
  </si>
  <si>
    <t>Amazon Customer,GHOST,A</t>
  </si>
  <si>
    <t>B084DTMYWK</t>
  </si>
  <si>
    <t>Myvn 30W Warp/20W Dash</t>
  </si>
  <si>
    <t>Mukul Ghosalkar,R.</t>
  </si>
  <si>
    <t>B0B53QLB9H</t>
  </si>
  <si>
    <t>B0BDYW3RN3</t>
  </si>
  <si>
    <t>B0B3RS9DNF</t>
  </si>
  <si>
    <t>B09QS9X16F</t>
  </si>
  <si>
    <t>B08HV25BBQ</t>
  </si>
  <si>
    <t>Noise ColorFit Pro 2</t>
  </si>
  <si>
    <t>Vishal shah,Sameer,Joshilla</t>
  </si>
  <si>
    <t>B09LJ116B5</t>
  </si>
  <si>
    <t>B0BMVWKZ8G</t>
  </si>
  <si>
    <t>Newly Launched Boult Dive+</t>
  </si>
  <si>
    <t>Amazon Customer,Dheeraj,SMD</t>
  </si>
  <si>
    <t>B0BD92GDQH</t>
  </si>
  <si>
    <t>OnePlus Nord Watch with</t>
  </si>
  <si>
    <t>SYED SHABEENA,Faizalmalek,Varun</t>
  </si>
  <si>
    <t>B0B5GF6DQD</t>
  </si>
  <si>
    <t>Noise Agile 2 Buzz</t>
  </si>
  <si>
    <t>Amazon Customer,Harshil</t>
  </si>
  <si>
    <t>B09JS94MBV</t>
  </si>
  <si>
    <t>B09YV463SW</t>
  </si>
  <si>
    <t>B09NL4DCXK</t>
  </si>
  <si>
    <t>Bristidev Burman,P</t>
  </si>
  <si>
    <t>B0B8CHJLWJ</t>
  </si>
  <si>
    <t>Kyosei Advanced Tempered Glass</t>
  </si>
  <si>
    <t>Kirti Sardana,Daactr,Shubh,Mayank</t>
  </si>
  <si>
    <t>B0B8ZWNR5T</t>
  </si>
  <si>
    <t>B0BBFJLP21</t>
  </si>
  <si>
    <t>dhruvi,Sujal Negi,hussain</t>
  </si>
  <si>
    <t>B01F262EUU</t>
  </si>
  <si>
    <t>Samsung Original EHS64 Wired</t>
  </si>
  <si>
    <t>B09VZBGL1N</t>
  </si>
  <si>
    <t>STRIFF Multi Angle Tablet/Mobile</t>
  </si>
  <si>
    <t>Sean m.,Medha</t>
  </si>
  <si>
    <t>B0BNVBJW2S</t>
  </si>
  <si>
    <t>B0B2DJ5RVQ</t>
  </si>
  <si>
    <t>WeCool B1 Mobile Holder</t>
  </si>
  <si>
    <t>Arijit Mishra,MOHAMMED</t>
  </si>
  <si>
    <t>B096TWZRJC</t>
  </si>
  <si>
    <t>Sounce 360 Adjustable Mobile</t>
  </si>
  <si>
    <t>Amazon Customer,GopiKrishnan,S.md</t>
  </si>
  <si>
    <t>B09GP6FBZT</t>
  </si>
  <si>
    <t>OpenTechÂ® Military-Grade Tempered Glass</t>
  </si>
  <si>
    <t>Prashant,Ranjan S.,Trx,Misika,sourabh</t>
  </si>
  <si>
    <t>B0B3DV7S9B</t>
  </si>
  <si>
    <t>EN LIGNE Adjustable Cell</t>
  </si>
  <si>
    <t>Sheetal,DADA,Tanmay,Bala chalapathi,hamid,MOHAMED</t>
  </si>
  <si>
    <t>B09MKP344P</t>
  </si>
  <si>
    <t>Tecno Spark 8T</t>
  </si>
  <si>
    <t>Bipul s.,Nigen</t>
  </si>
  <si>
    <t>B08JW1GVS7</t>
  </si>
  <si>
    <t>URBN 20000 mAh Lithium_Polymer</t>
  </si>
  <si>
    <t>Saunak,RAJA PANDIAN,Shanky,Bhabagrahi</t>
  </si>
  <si>
    <t>B09LHZSMRR</t>
  </si>
  <si>
    <t>B0B5V47VK4</t>
  </si>
  <si>
    <t>OnePlus 10T 5G</t>
  </si>
  <si>
    <t>Subhra S.,Omkar,Varun</t>
  </si>
  <si>
    <t>B08H21B6V7</t>
  </si>
  <si>
    <t>Nokia 150</t>
  </si>
  <si>
    <t>Rajkumar,Amazon Customer,kamal,Nishan</t>
  </si>
  <si>
    <t>B09BNXQ6BR</t>
  </si>
  <si>
    <t>Noise ColorFit Ultra SE</t>
  </si>
  <si>
    <t>shiv,Pankaj Bhatt,Dipanshu</t>
  </si>
  <si>
    <t>B01FSYQ2A4</t>
  </si>
  <si>
    <t>boAt Rockerz 400 Bluetooth</t>
  </si>
  <si>
    <t>Sagar,Shreyas,Arjun Thomas,Sachin</t>
  </si>
  <si>
    <t>B08L5FM4JC</t>
  </si>
  <si>
    <t>B0B54Y2SNX</t>
  </si>
  <si>
    <t>iPhone Original 20W C</t>
  </si>
  <si>
    <t>Manoj Nagabhairu,Mohammed</t>
  </si>
  <si>
    <t>B08BQ947H3</t>
  </si>
  <si>
    <t>LIRAMARK Webcam Cover Slide,</t>
  </si>
  <si>
    <t>Vishal Bhardwaj,Parvathi</t>
  </si>
  <si>
    <t>B0B7DHSKS7</t>
  </si>
  <si>
    <t>Nokia 8210 4G Volte</t>
  </si>
  <si>
    <t>Shyam,Tom,Rajneesh Kumar,Bhagaban</t>
  </si>
  <si>
    <t>B09SJ1FTYV</t>
  </si>
  <si>
    <t>Sounce Protective Case Cover</t>
  </si>
  <si>
    <t>Gourab Kumar</t>
  </si>
  <si>
    <t>B09XJ5LD6L</t>
  </si>
  <si>
    <t>Samsung Galaxy M53 5G</t>
  </si>
  <si>
    <t>Krishna S</t>
  </si>
  <si>
    <t>B07WHS7MZ1</t>
  </si>
  <si>
    <t>iQOO 9 SE 5G</t>
  </si>
  <si>
    <t>Ashish kumar,SAFEER</t>
  </si>
  <si>
    <t>B0BBVKRP7B</t>
  </si>
  <si>
    <t>SHREENOVA ID116 Plus Bluetooth</t>
  </si>
  <si>
    <t>dk yadav,MUKESH</t>
  </si>
  <si>
    <t>B09NY7W8YD</t>
  </si>
  <si>
    <t>POCO C31</t>
  </si>
  <si>
    <t>Jigar panchal,NOOR</t>
  </si>
  <si>
    <t>B0BMM7R92G</t>
  </si>
  <si>
    <t>Noise_Colorfit Smart Watch Charger</t>
  </si>
  <si>
    <t>Placeholder,Qazi a.,Kriinaa,Manivannan,Santosh</t>
  </si>
  <si>
    <t>B08M66K48D</t>
  </si>
  <si>
    <t>POPIO Tempered Glass Screen</t>
  </si>
  <si>
    <t>Ram K,Ankush,Viswanathan,Sanchita</t>
  </si>
  <si>
    <t>B09RFB2SJQ</t>
  </si>
  <si>
    <t>10WeRun Id-116 Bluetooth Smartwatch</t>
  </si>
  <si>
    <t>Richard,Venkatesan,shakeel ahmad,Mohd</t>
  </si>
  <si>
    <t>B0B82YGCF6</t>
  </si>
  <si>
    <t>Tokdis MX-1 Pro Bluetooth</t>
  </si>
  <si>
    <t>Gourav Choudhrani,Mustak</t>
  </si>
  <si>
    <t>B08HF4W2CT</t>
  </si>
  <si>
    <t>URBN 20000 mAh lithium_polymer</t>
  </si>
  <si>
    <t>Rajesh Martis,priyanka</t>
  </si>
  <si>
    <t>B08BCKN299</t>
  </si>
  <si>
    <t>Sounce Gold Plated 3.5</t>
  </si>
  <si>
    <t>shaan bishwas,Anirvan</t>
  </si>
  <si>
    <t>B0B2X35B1K</t>
  </si>
  <si>
    <t>Noise ColorFit Ultra 2</t>
  </si>
  <si>
    <t>Shanti Devi,Amol</t>
  </si>
  <si>
    <t>B09QS9CWLV</t>
  </si>
  <si>
    <t>B0B1NX6JTN</t>
  </si>
  <si>
    <t>Spigen Ultra Hybrid Back</t>
  </si>
  <si>
    <t>Rajat,Ashray Tyagi,Ritesh,RAMESH</t>
  </si>
  <si>
    <t>B078G6ZF5Z</t>
  </si>
  <si>
    <t>Oraimo 18W USB &amp;</t>
  </si>
  <si>
    <t>B0BBW521YC</t>
  </si>
  <si>
    <t>LAPSTER 12pcs Spiral Cable</t>
  </si>
  <si>
    <t>Mihir Deshpande,sejal</t>
  </si>
  <si>
    <t>B09HSKYMB3</t>
  </si>
  <si>
    <t>MI REDMI 9i Sport</t>
  </si>
  <si>
    <t>N. Lalhunchhungi,Ramakhilavan,Narender,Kotteeswaran</t>
  </si>
  <si>
    <t>B09YV42QHZ</t>
  </si>
  <si>
    <t>B09BF8JBWX</t>
  </si>
  <si>
    <t>Lava A1 Josh 21</t>
  </si>
  <si>
    <t>Sudhir Kumar</t>
  </si>
  <si>
    <t>B0B5YBGCKD</t>
  </si>
  <si>
    <t>POPIO Tempered Glass Compatible</t>
  </si>
  <si>
    <t>vivek vinod,robin</t>
  </si>
  <si>
    <t>B09MY4W73Q</t>
  </si>
  <si>
    <t>Dileep,Amazon Customer,Sharath</t>
  </si>
  <si>
    <t>B09T37CKQ5</t>
  </si>
  <si>
    <t>FLiX Usb Charger,Flix</t>
  </si>
  <si>
    <t>B09GFPN6TP</t>
  </si>
  <si>
    <t>B0B298D54H</t>
  </si>
  <si>
    <t>Prolet Classic Bumper Case</t>
  </si>
  <si>
    <t>Debasish Bhukta,Swastik</t>
  </si>
  <si>
    <t>B08VB57558</t>
  </si>
  <si>
    <t>Samsung Galaxy S20 FE</t>
  </si>
  <si>
    <t>Mohammed Suhail,GVR</t>
  </si>
  <si>
    <t>B0B9BXKBC7</t>
  </si>
  <si>
    <t>WeCool S5 Long Selfie</t>
  </si>
  <si>
    <t>Sujili v,Paras</t>
  </si>
  <si>
    <t>B09NY6TRXG</t>
  </si>
  <si>
    <t>PREMAL H.</t>
  </si>
  <si>
    <t>B09NVPJ3P4</t>
  </si>
  <si>
    <t>B0B3NDPCS9</t>
  </si>
  <si>
    <t>B09VGKFM7Y</t>
  </si>
  <si>
    <t>Amazon Basics 2 Amp</t>
  </si>
  <si>
    <t>Prabhanjan,Chittiprolu Ramya,Litu</t>
  </si>
  <si>
    <t>B07QCWY5XV</t>
  </si>
  <si>
    <t>Mobilife Bluetooth Extendable Selfie</t>
  </si>
  <si>
    <t>Harshwardhan shinde,Amit,aamtech2,Apurv</t>
  </si>
  <si>
    <t>B098QXR9X2</t>
  </si>
  <si>
    <t>Ambrane 27000mAh Power Bank,</t>
  </si>
  <si>
    <t>Neeraj Kumar,Deergha</t>
  </si>
  <si>
    <t>B07H1S7XW8</t>
  </si>
  <si>
    <t>STRIFF Wall Mount Phone</t>
  </si>
  <si>
    <t>Suresh jaat,Mahesh</t>
  </si>
  <si>
    <t>B0BNXFDTZ2</t>
  </si>
  <si>
    <t>Fire-Boltt Tank 1.85" Bluetooth</t>
  </si>
  <si>
    <t>Adwait Kulkarni,Sarvdeo</t>
  </si>
  <si>
    <t>B088ZFJY82</t>
  </si>
  <si>
    <t>Elv Aluminium Adjustable Mobile</t>
  </si>
  <si>
    <t>B0B4F4QZ1H</t>
  </si>
  <si>
    <t>B09BCNQ9R2</t>
  </si>
  <si>
    <t>DYAZO USB 3.0 Type</t>
  </si>
  <si>
    <t>narsatya,Jose Amicattu,Amazon</t>
  </si>
  <si>
    <t>B0B9BD2YL4</t>
  </si>
  <si>
    <t>KINGONE Wireless Charging Pencil</t>
  </si>
  <si>
    <t>Ak,Jitesh,anil,Umpo,G'DAS ENTERPRISES,Neetu,Vaibhav</t>
  </si>
  <si>
    <t>B071Z8M4KX</t>
  </si>
  <si>
    <t>boAt BassHeads 100 in-Ear</t>
  </si>
  <si>
    <t>B09N3ZNHTY</t>
  </si>
  <si>
    <t>boAt Airdopes 141 Bluetooth</t>
  </si>
  <si>
    <t>Anindya,Jacob angami,Dillip</t>
  </si>
  <si>
    <t>B005FYNT3G</t>
  </si>
  <si>
    <t>SanDisk Cruzer Blade 32GB</t>
  </si>
  <si>
    <t>RAJIV D.,Antony</t>
  </si>
  <si>
    <t>B01J0XWYKQ</t>
  </si>
  <si>
    <t>Logitech B170 Wireless Mouse,</t>
  </si>
  <si>
    <t>Anand,Aditya,Shiva,Saleem Kumar,A</t>
  </si>
  <si>
    <t>B09CTRPSJR</t>
  </si>
  <si>
    <t>Storio Kids Toys LCD</t>
  </si>
  <si>
    <t>Udayakumar R.,Samson</t>
  </si>
  <si>
    <t>B08JQN8DGZ</t>
  </si>
  <si>
    <t>boAt Airdopes 121v2 in-Ear</t>
  </si>
  <si>
    <t>Anindya,Aditya Mondkar,Pawan</t>
  </si>
  <si>
    <t>B0B72BSW7K</t>
  </si>
  <si>
    <t>SKE Bed Study Table</t>
  </si>
  <si>
    <t>Amazon Customer,Tamanna</t>
  </si>
  <si>
    <t>B08TV2P1N8</t>
  </si>
  <si>
    <t>boAt Rockerz 255 Pro+</t>
  </si>
  <si>
    <t>Punyabrata Mondal,ruma</t>
  </si>
  <si>
    <t>B07XCM6T4N</t>
  </si>
  <si>
    <t>STRIFF Adjustable Laptop Tabletop</t>
  </si>
  <si>
    <t>G D</t>
  </si>
  <si>
    <t>B07T5DKR5D</t>
  </si>
  <si>
    <t>ZEBRONICS Zeb-Bro in Ear</t>
  </si>
  <si>
    <t>LAKSHMI NARAYANA</t>
  </si>
  <si>
    <t>B07PR1CL3S</t>
  </si>
  <si>
    <t>boAt Rockerz 450 Bluetooth</t>
  </si>
  <si>
    <t>Deepanshu saini,Sunil</t>
  </si>
  <si>
    <t>Aby Jimson,Prasad</t>
  </si>
  <si>
    <t>B07JQKQ91F</t>
  </si>
  <si>
    <t>JBL C50HI, Wired in</t>
  </si>
  <si>
    <t>Pooja,Prashant,Kartikey Singh,Sailendra</t>
  </si>
  <si>
    <t>B08W56G1K9</t>
  </si>
  <si>
    <t>LAPSTER Spiral Charger Spiral</t>
  </si>
  <si>
    <t>Happy customer,Screcko,Alka</t>
  </si>
  <si>
    <t>B01L8ZNWN2</t>
  </si>
  <si>
    <t>HP v236w USB 2.0</t>
  </si>
  <si>
    <t>Varun,Ankit maurya,GANESH</t>
  </si>
  <si>
    <t>B009VCGPSY</t>
  </si>
  <si>
    <t>HP X1000 Wired USB</t>
  </si>
  <si>
    <t>Shridhan Varadkar,Mahalingam,Rajender</t>
  </si>
  <si>
    <t>B0B296NTFV</t>
  </si>
  <si>
    <t>Portronics Toad 23 Wireless</t>
  </si>
  <si>
    <t>Sandip Roy,Neelakantam</t>
  </si>
  <si>
    <t>B07TCN5VR9</t>
  </si>
  <si>
    <t>Boult Audio BassBuds X1</t>
  </si>
  <si>
    <t>ArdKn,An Interested</t>
  </si>
  <si>
    <t>B00ZYLMQH0</t>
  </si>
  <si>
    <t>Dell KB216 Wired Multimedia</t>
  </si>
  <si>
    <t>Minhaj Mohd,Amazon</t>
  </si>
  <si>
    <t>B01HJI0FS2</t>
  </si>
  <si>
    <t>Dell MS116 1000Dpi USB</t>
  </si>
  <si>
    <t>Mohammad Noushad,Ramkumar.R,Sreeram,Gs7,Dongay</t>
  </si>
  <si>
    <t>B076B8G5D8</t>
  </si>
  <si>
    <t>Boya ByM1 Auxiliary Omnidirectional</t>
  </si>
  <si>
    <t>Sameer Patil,Ashish</t>
  </si>
  <si>
    <t>B014SZO90Y</t>
  </si>
  <si>
    <t>Duracell Ultra Alkaline AA</t>
  </si>
  <si>
    <t>Gopinathan,Punaram Chutia,Amazon</t>
  </si>
  <si>
    <t>B07KCMR8D6</t>
  </si>
  <si>
    <t>Classmate Octane Neon- Blue</t>
  </si>
  <si>
    <t>Gatij saini,Biswajit</t>
  </si>
  <si>
    <t>B00N1U9AJS</t>
  </si>
  <si>
    <t>3M Scotch Double Sided</t>
  </si>
  <si>
    <t>Amit Shrivastava,Sikandar</t>
  </si>
  <si>
    <t>B07KY3FNQP</t>
  </si>
  <si>
    <t>boAt Bassheads 152 in</t>
  </si>
  <si>
    <t>Sameer,Dwarakesh Arshu,Arjun</t>
  </si>
  <si>
    <t>B07QZ3CZ48</t>
  </si>
  <si>
    <t>boAt BassHeads 122 Wired</t>
  </si>
  <si>
    <t>Clifford Francis,Paras</t>
  </si>
  <si>
    <t>B09T3H12GV</t>
  </si>
  <si>
    <t>Dell USB Wireless Keyboard</t>
  </si>
  <si>
    <t>Harsh Kumar,Arv,Debayan,Sidharrtha</t>
  </si>
  <si>
    <t>B08ZJDWTJ1</t>
  </si>
  <si>
    <t>Seagate Expansion 1TB External</t>
  </si>
  <si>
    <t>Pallavi Varur,Amitasap,PRADEEP,Karma,JASWANTSINGH,Suhasini</t>
  </si>
  <si>
    <t>B08FTFXNNB</t>
  </si>
  <si>
    <t>HP w100 480P 30</t>
  </si>
  <si>
    <t>IC,neetu singh,Prasenjit</t>
  </si>
  <si>
    <t>B08YDFX7Y1</t>
  </si>
  <si>
    <t>ZEBRONICS Zeb-Dash Plus 2.4GHz</t>
  </si>
  <si>
    <t>Wilson Patel,Sneha</t>
  </si>
  <si>
    <t>B087FXHB6J</t>
  </si>
  <si>
    <t>Zebronics Zeb-Companion 107 USB</t>
  </si>
  <si>
    <t>HARDIK A.,JAYANTH,Huq</t>
  </si>
  <si>
    <t>B07N42JB4S</t>
  </si>
  <si>
    <t>SYVO WT 3130 Aluminum</t>
  </si>
  <si>
    <t>Mananveer singh,Lavanya.G,Ananta</t>
  </si>
  <si>
    <t>B0B31BYXQQ</t>
  </si>
  <si>
    <t>Boult Audio Airbass Z20</t>
  </si>
  <si>
    <t>Ruman,deep,Jatin Sawhney,Nehru,P</t>
  </si>
  <si>
    <t>B07SLMR1K6</t>
  </si>
  <si>
    <t>SanDisk Ultra Flair 64GB</t>
  </si>
  <si>
    <t>Akash Kumar,Anil</t>
  </si>
  <si>
    <t>B092X94QNQ</t>
  </si>
  <si>
    <t>boAt Rockerz 330 in-Ear</t>
  </si>
  <si>
    <t>Srikar Kandikonda,Alden</t>
  </si>
  <si>
    <t>B0846D5CBP</t>
  </si>
  <si>
    <t>Casio FX-991ES Plus-2nd Edition</t>
  </si>
  <si>
    <t>Vajrala s.,Goutham.G.A.,Abhishek</t>
  </si>
  <si>
    <t>B00KXULGJQ</t>
  </si>
  <si>
    <t>TP-Link AC750 Wifi Range</t>
  </si>
  <si>
    <t>Amazon Customer,Sanu</t>
  </si>
  <si>
    <t>B08H9Z3XQW</t>
  </si>
  <si>
    <t>Tanu,THENNARASU,uday,Rohit,Akshat Sharma,pramod</t>
  </si>
  <si>
    <t>B08LPJZSSW</t>
  </si>
  <si>
    <t>DIGITEKÂ®</t>
  </si>
  <si>
    <t>A. Dubey,anandmohan,PREM,Daanish</t>
  </si>
  <si>
    <t>Rashmi Joshi,Soumendra</t>
  </si>
  <si>
    <t>B08CYPB15D</t>
  </si>
  <si>
    <t>HP 805 Black Original</t>
  </si>
  <si>
    <t>Devendra,TILAK C.,krishnakanth,Nisha,Amazon</t>
  </si>
  <si>
    <t>B00MFPCY5C</t>
  </si>
  <si>
    <t>GIZGA essentials Universal Silicone</t>
  </si>
  <si>
    <t>Selva sibi,Apparao</t>
  </si>
  <si>
    <t>B07JJFSG2B</t>
  </si>
  <si>
    <t>SanDisk Ultra 128 GB</t>
  </si>
  <si>
    <t>Brijesh Kamani,venkatesh.R,Saidur</t>
  </si>
  <si>
    <t>B09NR6G588</t>
  </si>
  <si>
    <t>Boult Audio ZCharge Bluetooth</t>
  </si>
  <si>
    <t>Kevin Nathan</t>
  </si>
  <si>
    <t>B07JPX9CR7</t>
  </si>
  <si>
    <t>Dell WM118 Wireless Mouse,</t>
  </si>
  <si>
    <t>Gopinadh.P,BANDARU SAIDULU,S.Sankaranarayana</t>
  </si>
  <si>
    <t>B08D11DZ2W</t>
  </si>
  <si>
    <t>Boult Audio AirBass PowerBuds</t>
  </si>
  <si>
    <t>Vivek,Anas CA,trivendram</t>
  </si>
  <si>
    <t>B07Q7561HD</t>
  </si>
  <si>
    <t>Eveready 1015 Carbon Zinc</t>
  </si>
  <si>
    <t>Manish,Tanveer Sayed,Sadhan</t>
  </si>
  <si>
    <t>B0819HZPXL</t>
  </si>
  <si>
    <t>Zebronics Zeb-Transformer-M Optical USB</t>
  </si>
  <si>
    <t>Dhiraj Bansal,Shaikh</t>
  </si>
  <si>
    <t>B00LXTFMRS</t>
  </si>
  <si>
    <t>PIDILITE Fevicryl Acrylic Colours</t>
  </si>
  <si>
    <t>Safiya,Archana,S. Yates,Shwetha</t>
  </si>
  <si>
    <t>B0B9LDCX89</t>
  </si>
  <si>
    <t>STRIFF Mpad Mouse Mat</t>
  </si>
  <si>
    <t>muhamad s.,Aruna</t>
  </si>
  <si>
    <t>B0765B3TH7</t>
  </si>
  <si>
    <t>Gizga Essentials Hard Drive</t>
  </si>
  <si>
    <t>Dhirendar,Chris Fernandes,DHRITIMAN</t>
  </si>
  <si>
    <t>B0B1F6GQPS</t>
  </si>
  <si>
    <t>Boult Audio FXCharge with</t>
  </si>
  <si>
    <t>V.W.,Nitin desai,Amazon</t>
  </si>
  <si>
    <t>B07LG59NPV</t>
  </si>
  <si>
    <t>Boult Audio Probass Curve</t>
  </si>
  <si>
    <t>Mukesh Maurya,Gyan</t>
  </si>
  <si>
    <t>B00AXHBBXU</t>
  </si>
  <si>
    <t>Casio FX-82MS 2nd Gen</t>
  </si>
  <si>
    <t>Jojo Dominic,Anshi</t>
  </si>
  <si>
    <t>B08MCD9JFY</t>
  </si>
  <si>
    <t>Tygot 10 Inches Big</t>
  </si>
  <si>
    <t>Avnish Kshirsagar,Vivek</t>
  </si>
  <si>
    <t>B083RCTXLL</t>
  </si>
  <si>
    <t>HP X200 Wireless Mouse</t>
  </si>
  <si>
    <t>Reetu Solanki,Amazon_user,AniS,karun,Chandrajit</t>
  </si>
  <si>
    <t>B08HLZ28QC</t>
  </si>
  <si>
    <t>Oakter Mini UPS for</t>
  </si>
  <si>
    <t>Shraddha,Ravibaskar,Pramod,Amazon Customer,Amazon</t>
  </si>
  <si>
    <t>B07GVR9TG7</t>
  </si>
  <si>
    <t>TP-Link Archer AC1200 Archer</t>
  </si>
  <si>
    <t>Pratyush,Karan G.,Aditya</t>
  </si>
  <si>
    <t>B0856HY85J</t>
  </si>
  <si>
    <t>boAt Rockerz 550 Over</t>
  </si>
  <si>
    <t>Ananthu,Dheeraj Krishnan,Rani</t>
  </si>
  <si>
    <t>B07CD2BN46</t>
  </si>
  <si>
    <t>Xiaomi Mi Wired in</t>
  </si>
  <si>
    <t>Kishor Patro,NOORUL</t>
  </si>
  <si>
    <t>B07PLHTTB4</t>
  </si>
  <si>
    <t>Zodo 8. 5 inch</t>
  </si>
  <si>
    <t>vasanth,Hemant Ghengat,Gopal,ANUKUMAR</t>
  </si>
  <si>
    <t>B077T3BG5L</t>
  </si>
  <si>
    <t>Zebronics ZEB-KM2100 Multimedia USB</t>
  </si>
  <si>
    <t>Sagarjit,balvant ghanekar,rohit,NATESA</t>
  </si>
  <si>
    <t>B079Y6JZC8</t>
  </si>
  <si>
    <t>ZEBRONICS Zeb-Comfort Wired USB</t>
  </si>
  <si>
    <t>Saikat Chakravorty,Rajasekar</t>
  </si>
  <si>
    <t>B0856HNMR7</t>
  </si>
  <si>
    <t>boAt Rockerz 370 On</t>
  </si>
  <si>
    <t>Sandeep K.,Prabha</t>
  </si>
  <si>
    <t>B0B12K5BPM</t>
  </si>
  <si>
    <t>ZEBRONICS Zeb-Astra 20 Wireless</t>
  </si>
  <si>
    <t>Pranav Pacholee,Divakar,ANUDEEP</t>
  </si>
  <si>
    <t>B00LVMTA2A</t>
  </si>
  <si>
    <t>Panasonic CR-2032/5BE Lithium Coin</t>
  </si>
  <si>
    <t>Malik,Anil reddy,Sunil,Swamy,Athish,Vasanth</t>
  </si>
  <si>
    <t>B07TR5HSR9</t>
  </si>
  <si>
    <t>MemeHoÂ® Smart Standard Multi-Purpose</t>
  </si>
  <si>
    <t>soma sekhar,Shreeg91,Jagadish,Zinal</t>
  </si>
  <si>
    <t>B0819ZZK5K</t>
  </si>
  <si>
    <t>SanDisk Ultra Dual Drive</t>
  </si>
  <si>
    <t>Amita,Ganesh,zhiv,Sarasij Pal,à¤œà¥à¤žà¤¾à¤¨à¥‡à¤‚à¤¦à¥à¤°</t>
  </si>
  <si>
    <t>B08QJJCY2Q</t>
  </si>
  <si>
    <t>Tizum Mouse Pad/ Computer</t>
  </si>
  <si>
    <t>Divya Nancy,Jay</t>
  </si>
  <si>
    <t>B07L5L4GTB</t>
  </si>
  <si>
    <t>Epson 003 65 ml</t>
  </si>
  <si>
    <t>Genuine Reviewer,Rajib</t>
  </si>
  <si>
    <t>B07L8KNP5F</t>
  </si>
  <si>
    <t>ZEBRONICS Zeb-Thunder Bluetooth Wireless</t>
  </si>
  <si>
    <t>ram,Abhishek kumar,Syeeda</t>
  </si>
  <si>
    <t>B08CF4SCNP</t>
  </si>
  <si>
    <t>Quantum QHM-7406 Full-Sized Keyboard</t>
  </si>
  <si>
    <t>Hariom Mishra,Vikas</t>
  </si>
  <si>
    <t>B09XX51X2G</t>
  </si>
  <si>
    <t>STRIFF Laptop Tabletop Stand,</t>
  </si>
  <si>
    <t>Rahil,Swapnil s.,HIREN</t>
  </si>
  <si>
    <t>B01M72LILF</t>
  </si>
  <si>
    <t>Logitech M221 Wireless Mouse,</t>
  </si>
  <si>
    <t>Kshitij,UMAKANTA SASMAL,Deepak</t>
  </si>
  <si>
    <t>B00LZLQ624</t>
  </si>
  <si>
    <t>Classmate Soft Cover 6</t>
  </si>
  <si>
    <t>Anirban B.,Amita,Ayushi</t>
  </si>
  <si>
    <t>B09GB5B4BK</t>
  </si>
  <si>
    <t>HP 150 Wireless USB</t>
  </si>
  <si>
    <t>Wajiha,Gaurav Choudhary,Kenil,Indrajeet</t>
  </si>
  <si>
    <t>B015ZXUDD0</t>
  </si>
  <si>
    <t>Duracell Rechargeable AA 1300mAh</t>
  </si>
  <si>
    <t>Rameez Khan,Sidhdharth,Daljeet</t>
  </si>
  <si>
    <t>B09PL79D2X</t>
  </si>
  <si>
    <t>boAt Airdopes 181 in-Ear</t>
  </si>
  <si>
    <t>Alif Rahaman,Mahesh</t>
  </si>
  <si>
    <t>B098K3H92Z</t>
  </si>
  <si>
    <t>TP-Link USB Bluetooth Adapter</t>
  </si>
  <si>
    <t>Noble P</t>
  </si>
  <si>
    <t>B084PJSSQ1</t>
  </si>
  <si>
    <t>Arun,Muneeb,Jatin,Gangadhar,Rohael saifi,Amazon</t>
  </si>
  <si>
    <t>B097C564GC</t>
  </si>
  <si>
    <t>rts [2 Pack] Mini</t>
  </si>
  <si>
    <t>Naga Sai</t>
  </si>
  <si>
    <t>B08CYNJ5KY</t>
  </si>
  <si>
    <t>HP 682 Black Original</t>
  </si>
  <si>
    <t>Hrishikesh,Mir Manzoor,Hanumathkumar,Amazon</t>
  </si>
  <si>
    <t>B00Y4ORQ46</t>
  </si>
  <si>
    <t>Logitech H111 Wired On</t>
  </si>
  <si>
    <t>kishorekr,Anil.c,Abhishek B.,Ashutosh</t>
  </si>
  <si>
    <t>B074CWD7MS</t>
  </si>
  <si>
    <t>Digitek DTR 550 LW</t>
  </si>
  <si>
    <t>Joel Thomas,Joy</t>
  </si>
  <si>
    <t>B00A0VCJPI</t>
  </si>
  <si>
    <t>TP-Link TL-WA850RE Single_Band 300Mbps</t>
  </si>
  <si>
    <t>Satya Sai</t>
  </si>
  <si>
    <t>B00UGZWM2I</t>
  </si>
  <si>
    <t>COI Note Pad/Memo Book</t>
  </si>
  <si>
    <t>Ghazal,Vishwajeet,PREETI RAWAT,Karthi,Punjal</t>
  </si>
  <si>
    <t>B00R1P3B4O</t>
  </si>
  <si>
    <t>Fujifilm Instax Mini Single</t>
  </si>
  <si>
    <t>Nidhi,Nilanko Halder,Seenu,Daring</t>
  </si>
  <si>
    <t>B09DG9VNWB</t>
  </si>
  <si>
    <t>Samsung Galaxy Watch4 Bluetooth</t>
  </si>
  <si>
    <t>Kshitij D.,gaurav</t>
  </si>
  <si>
    <t>B09Y5MP7C4</t>
  </si>
  <si>
    <t>Noise Buds Vs104 Bluetooth</t>
  </si>
  <si>
    <t>Achint,Anish,bhomick bhaskar,Sumit,Des</t>
  </si>
  <si>
    <t>B01DJJVFPC</t>
  </si>
  <si>
    <t>Duracell Ultra Alkaline AAA</t>
  </si>
  <si>
    <t>Aadi Injal,A</t>
  </si>
  <si>
    <t>B07DFYJRQV</t>
  </si>
  <si>
    <t>JBL C200SI, Premium in</t>
  </si>
  <si>
    <t>Amazon Customer,Viswas</t>
  </si>
  <si>
    <t>B08L879JSN</t>
  </si>
  <si>
    <t>Acer EK220Q 21.5 Inch</t>
  </si>
  <si>
    <t>Mr. NÃ¸bÃ¸dy,Muzammil</t>
  </si>
  <si>
    <t>B08TDJNM3G</t>
  </si>
  <si>
    <t>E-COSMOS 5V 1.2W Portable</t>
  </si>
  <si>
    <t>Ravi Kumar</t>
  </si>
  <si>
    <t>B06XSK3XL6</t>
  </si>
  <si>
    <t>boAt Dual Port Rapid</t>
  </si>
  <si>
    <t>suraj,Bharanidhar,S.B.Vignesh,Srikanth GR,Hari,Shashi,Palanivel</t>
  </si>
  <si>
    <t>B07YNTJ8ZM</t>
  </si>
  <si>
    <t>Zebronics ZEB-COUNTY 3W Wireless</t>
  </si>
  <si>
    <t>Bhuwaneshwar kathlane,Jainit</t>
  </si>
  <si>
    <t>B07KR5P3YD</t>
  </si>
  <si>
    <t>Zebronics Wired Keyboard and</t>
  </si>
  <si>
    <t>lucky,SALMAN S,Rahul</t>
  </si>
  <si>
    <t>B08FB2LNSZ</t>
  </si>
  <si>
    <t>JBL Tune 215BT, 16</t>
  </si>
  <si>
    <t>Amazonnig,Anurag,p_v_,Anil Kumar,Ignatius</t>
  </si>
  <si>
    <t>B01IBRHE3E</t>
  </si>
  <si>
    <t>Gizga Essentials Professional 3-in-1</t>
  </si>
  <si>
    <t>Siddharth suman,Soumayan</t>
  </si>
  <si>
    <t>B01N6LU1VF</t>
  </si>
  <si>
    <t>SanDisk Ultra Dual 64</t>
  </si>
  <si>
    <t>Neeraj Vishwakarma,UD,M.Sathish</t>
  </si>
  <si>
    <t>B07XLML2YS</t>
  </si>
  <si>
    <t>TP-Link Tapo 360Â° 2MP</t>
  </si>
  <si>
    <t>Maxrock89,Ayush negi,Rakesh,prasanth,Suraj,Sudhi/Deeps,Vigneshraja,KONDOJU</t>
  </si>
  <si>
    <t>B086WMSCN3</t>
  </si>
  <si>
    <t>boAt Airdopes 171 in</t>
  </si>
  <si>
    <t>Narasimha Rao,Anitha</t>
  </si>
  <si>
    <t>B003B00484</t>
  </si>
  <si>
    <t>Duracell Plus AAA Rechargeable</t>
  </si>
  <si>
    <t>T N</t>
  </si>
  <si>
    <t>B003L62T7W</t>
  </si>
  <si>
    <t>Logitech B100 Wired USB</t>
  </si>
  <si>
    <t>Uday Joglekar,Simi</t>
  </si>
  <si>
    <t>B09P18XVW6</t>
  </si>
  <si>
    <t>B00LZLPYHW</t>
  </si>
  <si>
    <t>Classmate 2100117 Soft Cover</t>
  </si>
  <si>
    <t>Hamsavarthini,Samir Shukla,Shahbaz,Shar,Akshay,armaan,Alok</t>
  </si>
  <si>
    <t>B00NNQMYNE</t>
  </si>
  <si>
    <t>AirCase Rugged Hard Drive</t>
  </si>
  <si>
    <t>Souradip,Narendran D,Mandar</t>
  </si>
  <si>
    <t>B0B217Z5VK</t>
  </si>
  <si>
    <t>Noise Buds VS402 Truly</t>
  </si>
  <si>
    <t>RAHUL GOUD,Nitesh,Lokesh</t>
  </si>
  <si>
    <t>B07B88KQZ8</t>
  </si>
  <si>
    <t>JBL Go 2, Wireless</t>
  </si>
  <si>
    <t>Murali am,Mithul</t>
  </si>
  <si>
    <t>B07Z3K96FR</t>
  </si>
  <si>
    <t>Robustrion Tempered Glass Screen</t>
  </si>
  <si>
    <t>Dakshvir Singh,Palash</t>
  </si>
  <si>
    <t>B0756CLQWL</t>
  </si>
  <si>
    <t>Redgear Pro Wireless Gamepad</t>
  </si>
  <si>
    <t>Shafeer Pn,Sudhanshu</t>
  </si>
  <si>
    <t>B004IO5BMQ</t>
  </si>
  <si>
    <t>Logitech M235 Wireless Mouse,</t>
  </si>
  <si>
    <t>Chandrashekar SK,Mohammed</t>
  </si>
  <si>
    <t>B01HGCLUH6</t>
  </si>
  <si>
    <t>TP-link N300 WiFi Wireless</t>
  </si>
  <si>
    <t>Vaishnavi Khedekar,Sandeep</t>
  </si>
  <si>
    <t>B01N4EV2TL</t>
  </si>
  <si>
    <t>Logitech MK240 Nano Wireless</t>
  </si>
  <si>
    <t>Abhishek,Kindle Customer,Raghu</t>
  </si>
  <si>
    <t>B08MZQBFLN</t>
  </si>
  <si>
    <t>Callas Multipurpose Foldable Laptop</t>
  </si>
  <si>
    <t>Jasmeen,Santam paul,Deepak,Perabathula</t>
  </si>
  <si>
    <t>B0752LL57V</t>
  </si>
  <si>
    <t>Casio MJ-12D 150 Steps</t>
  </si>
  <si>
    <t>Dipu,Kayumuddin,Ankit salunke</t>
  </si>
  <si>
    <t>B09Z28BQZT</t>
  </si>
  <si>
    <t>Amazon Basics Multipurpose Foldable</t>
  </si>
  <si>
    <t>Arun J,Sebonti</t>
  </si>
  <si>
    <t>B094DQWV9B</t>
  </si>
  <si>
    <t>Kanget [2 Pack] Type</t>
  </si>
  <si>
    <t>Abhi_K,Amazon Customer,Swap,shivam,Abhinav</t>
  </si>
  <si>
    <t>B0BBMPH39N</t>
  </si>
  <si>
    <t>Amazon Basics Magic Slate</t>
  </si>
  <si>
    <t>Amazon Customer,Prince</t>
  </si>
  <si>
    <t>B097JQ1J5G</t>
  </si>
  <si>
    <t>Zebronics ZEB-90HB USB Hub,</t>
  </si>
  <si>
    <t>Dilip Kumar,Aakash</t>
  </si>
  <si>
    <t>B07YY1BY5B</t>
  </si>
  <si>
    <t>B08VRMK55F</t>
  </si>
  <si>
    <t>Zebronics Zeb Buds C2</t>
  </si>
  <si>
    <t>aravind,AbdulKhader Mohammed,Mehul</t>
  </si>
  <si>
    <t>B08CHZ3ZQ7</t>
  </si>
  <si>
    <t>Redgear A-15 Wired Gaming</t>
  </si>
  <si>
    <t>Suraj Singh,Shashi</t>
  </si>
  <si>
    <t>B08SCCG9D4</t>
  </si>
  <si>
    <t>JBL Commercial CSLM20B Auxiliary</t>
  </si>
  <si>
    <t>Ansh KaTariA,Saqlain</t>
  </si>
  <si>
    <t>B0972BQ2RS</t>
  </si>
  <si>
    <t>Rajesh Panchanathan,Ravikumar_Mani_INDIA,SATYAM</t>
  </si>
  <si>
    <t>B00ZRBWPA0</t>
  </si>
  <si>
    <t>Eveready Red 1012 AAA</t>
  </si>
  <si>
    <t>Amazon Customer,Cijo</t>
  </si>
  <si>
    <t>B0B2DD66GS</t>
  </si>
  <si>
    <t>SanDisk Extreme microSD UHS</t>
  </si>
  <si>
    <t>Prasad,Prajwal Shetty,Venkataraam,Zubair</t>
  </si>
  <si>
    <t>B09M869Z5V</t>
  </si>
  <si>
    <t>Portronics MPORT 31C 4-in-1</t>
  </si>
  <si>
    <t>A K</t>
  </si>
  <si>
    <t>B07W6VWZ8C</t>
  </si>
  <si>
    <t>Infinity</t>
  </si>
  <si>
    <t>Vaibhav kumar,Raju</t>
  </si>
  <si>
    <t>B07Z1X6VFC</t>
  </si>
  <si>
    <t>AirCase Protective Laptop Bag</t>
  </si>
  <si>
    <t>Yesha Bhatt,Vedanth</t>
  </si>
  <si>
    <t>B07YL54NVJ</t>
  </si>
  <si>
    <t>Brand Conquer 6 in</t>
  </si>
  <si>
    <t>SRI RAGAV,Sachin</t>
  </si>
  <si>
    <t>B0759QMF85</t>
  </si>
  <si>
    <t>TP-Link AC750 Dual Band</t>
  </si>
  <si>
    <t>Jagrat,Prince kumar,Uma</t>
  </si>
  <si>
    <t>B00LM4X0KU</t>
  </si>
  <si>
    <t>Parker Quink Ink Bottle,</t>
  </si>
  <si>
    <t>Kindle Customer,Aryan,pooja</t>
  </si>
  <si>
    <t>B08PFSZ7FH</t>
  </si>
  <si>
    <t>STRIFF Laptop Stand Adjustable</t>
  </si>
  <si>
    <t>Omar,Devesh,PsyShaank,Amazon Customer,logananil,Amazon</t>
  </si>
  <si>
    <t>B012MQS060</t>
  </si>
  <si>
    <t>Logitech MK215 Wireless Keyboard</t>
  </si>
  <si>
    <t>Anirban Mukherjee,Arbaj</t>
  </si>
  <si>
    <t>B01MF8MB65</t>
  </si>
  <si>
    <t>boAt Bassheads 225 in</t>
  </si>
  <si>
    <t>Arnav,Bharjil Deka,suraj.s,Shubham</t>
  </si>
  <si>
    <t>B00LHZWD0C</t>
  </si>
  <si>
    <t>Luxor 5 Subject Single</t>
  </si>
  <si>
    <t>Aksa akhila,Subhadip,Kanna</t>
  </si>
  <si>
    <t>B08QDPB1SL</t>
  </si>
  <si>
    <t>Duracell Chhota Power AA</t>
  </si>
  <si>
    <t>Annan,Sushmita Ghosh,Ananya,Jsivasankarreddy,Rohan</t>
  </si>
  <si>
    <t>B07BRKK9JQ</t>
  </si>
  <si>
    <t>Zebronics Zeb-Transformer Gaming Keyboard</t>
  </si>
  <si>
    <t>Kshanik Rajak,Gajanan,Tester,Shiva</t>
  </si>
  <si>
    <t>B01EZ0X3L8</t>
  </si>
  <si>
    <t>SanDisk Ultra 64 GB</t>
  </si>
  <si>
    <t>Sanjeev Prasad,Sivanagasai,Karthikeyan,shruti,Harshada</t>
  </si>
  <si>
    <t>B00LM4W1N2</t>
  </si>
  <si>
    <t>Parker Classic Gold Gold</t>
  </si>
  <si>
    <t>Diksha Wankhede,Sam,Shafi</t>
  </si>
  <si>
    <t>B08YD264ZS</t>
  </si>
  <si>
    <t>Tarkan Portable Folding Laptop</t>
  </si>
  <si>
    <t>Divya Sood,Athar,RINO,Purvesh,R</t>
  </si>
  <si>
    <t>B00GZLB57U</t>
  </si>
  <si>
    <t>Quantum RJ45 Ethernet Patch</t>
  </si>
  <si>
    <t>Parenky Amaresha</t>
  </si>
  <si>
    <t>B07V82W5CN</t>
  </si>
  <si>
    <t>HP USB Wireless Spill</t>
  </si>
  <si>
    <t>Pranjall Kumar,tapas</t>
  </si>
  <si>
    <t>B08HD7JQHX</t>
  </si>
  <si>
    <t>HUMBLE Dynamic Lapel Collar</t>
  </si>
  <si>
    <t>Afrina Hasnat,BKBasu,Ayush</t>
  </si>
  <si>
    <t>B0B31FR4Y2</t>
  </si>
  <si>
    <t>Boult Audio Omega with</t>
  </si>
  <si>
    <t>Anand Kadu,Toney</t>
  </si>
  <si>
    <t>B09Y14JLP3</t>
  </si>
  <si>
    <t>STRIFF UPH2W Multi Angle</t>
  </si>
  <si>
    <t>B09ZHCJDP1</t>
  </si>
  <si>
    <t>Amazon Basics Wireless Mouse</t>
  </si>
  <si>
    <t>Rambeer kumar,Ramesh,Digambar</t>
  </si>
  <si>
    <t>B08C4Z69LN</t>
  </si>
  <si>
    <t>Crucial RAM 8GB DDR4</t>
  </si>
  <si>
    <t>Riz,Akshat Nehra,Kishan</t>
  </si>
  <si>
    <t>B016XVRKZM</t>
  </si>
  <si>
    <t>APC Back-UPS BX600C-IN 600VA</t>
  </si>
  <si>
    <t>KNReddy,Shashank Reddy,sid,Bharat</t>
  </si>
  <si>
    <t>B00LHZW3XY</t>
  </si>
  <si>
    <t>Ankita,AR,A Rohini</t>
  </si>
  <si>
    <t>B098JYT4SY</t>
  </si>
  <si>
    <t>Zebronics Zeb-Jaguar Wireless Mouse,</t>
  </si>
  <si>
    <t>Deepak,Dhara singh,Shravan</t>
  </si>
  <si>
    <t>B08CFCK6CW</t>
  </si>
  <si>
    <t>Boult Audio Truebuds with</t>
  </si>
  <si>
    <t>Guhan V,Kailas</t>
  </si>
  <si>
    <t>B09P564ZTJ</t>
  </si>
  <si>
    <t>Wembley LCD Writing Pad/Tab</t>
  </si>
  <si>
    <t>Yogeshwaran P</t>
  </si>
  <si>
    <t>B07MSLTW8Z</t>
  </si>
  <si>
    <t>Gizga Essentials Multi-Purpose Portable</t>
  </si>
  <si>
    <t>Swapnil,Kunalb,SATISH MALVIYA,Manisha</t>
  </si>
  <si>
    <t>B09N6TTHT6</t>
  </si>
  <si>
    <t>E-COSMOS Plug in LED</t>
  </si>
  <si>
    <t>ABHISHEK SAXENA,C.M.</t>
  </si>
  <si>
    <t>B098R25TGC</t>
  </si>
  <si>
    <t>Noise Buds VS201 V2</t>
  </si>
  <si>
    <t>Karthik,akshay,Prosper Paul,Raksha</t>
  </si>
  <si>
    <t>B0B2PQL5N3</t>
  </si>
  <si>
    <t>Lapster Gel Mouse pad</t>
  </si>
  <si>
    <t>shree,Sandeep Reddy,Raj,Rhythm</t>
  </si>
  <si>
    <t>B07DKZCZ89</t>
  </si>
  <si>
    <t>Gizga Essentials Earphone Carrying</t>
  </si>
  <si>
    <t>shiv pratap</t>
  </si>
  <si>
    <t>B08GYG6T12</t>
  </si>
  <si>
    <t>SanDisk Ultra SDHC UHS-I</t>
  </si>
  <si>
    <t>Bikki Chowdhury,mÌ¶aÌ¶nÌ¶nÌ¶uÌ¶</t>
  </si>
  <si>
    <t>B09BN2NPBD</t>
  </si>
  <si>
    <t>Surendra,Mahalingam,Anindita Rout,Priyanka,Nikhil</t>
  </si>
  <si>
    <t>B00J4YG0PC</t>
  </si>
  <si>
    <t>Classmate Long Notebook -</t>
  </si>
  <si>
    <t>MOHD NASIM,Shab,Aniket</t>
  </si>
  <si>
    <t>B073BRXPZX</t>
  </si>
  <si>
    <t>Lenovo 300 Wired Plug</t>
  </si>
  <si>
    <t>Harsha,TUSHAR BANSAL,Harmanpreet</t>
  </si>
  <si>
    <t>B08LHTJTBB</t>
  </si>
  <si>
    <t>Dyazo 6 Angles Adjustable</t>
  </si>
  <si>
    <t>Sharon Murmoo,Kuldeep</t>
  </si>
  <si>
    <t>B07VTFN6HM</t>
  </si>
  <si>
    <t>Western Digital WD 2TB</t>
  </si>
  <si>
    <t>Dr. Mujtaba</t>
  </si>
  <si>
    <t>B008QS9J6Y</t>
  </si>
  <si>
    <t>Logitech C270 Digital HD</t>
  </si>
  <si>
    <t>Ariz Siddique,RAMKESH</t>
  </si>
  <si>
    <t>B09M8888DM</t>
  </si>
  <si>
    <t>Portronics MPORT 31 4</t>
  </si>
  <si>
    <t>Aniket Raj,SA,Anonymous,Gaurav,Amit</t>
  </si>
  <si>
    <t>B07Z1YVP72</t>
  </si>
  <si>
    <t>Kalpesh Panchal,Raviranjan</t>
  </si>
  <si>
    <t>B082FTPRSK</t>
  </si>
  <si>
    <t>Zinq Five Fan Cooling</t>
  </si>
  <si>
    <t>Abraham M.,Varun,Sandeep</t>
  </si>
  <si>
    <t>B09RF2QXGX</t>
  </si>
  <si>
    <t>Gizga Essentials Webcam Cover,</t>
  </si>
  <si>
    <t>Jrs,Jayakrishna Shenoy,SNR,ank_bangalore,GSN,Debabrata</t>
  </si>
  <si>
    <t>B01KK0HU3Y</t>
  </si>
  <si>
    <t>HP Z3700 Wireless Optical</t>
  </si>
  <si>
    <t>Ayan Chakraborty,Amazon</t>
  </si>
  <si>
    <t>B07JF9B592</t>
  </si>
  <si>
    <t>MAONO AU-400 Lavalier Auxiliary</t>
  </si>
  <si>
    <t>Ë¢á´°82Ë¢á¶œ âœ”ï¸,Manish</t>
  </si>
  <si>
    <t>B086394NY5</t>
  </si>
  <si>
    <t>TABLE MAGIC Multipurpose Laptop</t>
  </si>
  <si>
    <t>Parul Walkey,Kirthivasan,Ashok.,Deepika,kavan,Mohan,Saikumar,Hari</t>
  </si>
  <si>
    <t>B017PDR9N0</t>
  </si>
  <si>
    <t>GIZGA Essentials Portable Tabletop</t>
  </si>
  <si>
    <t>Atul Modi,Akash</t>
  </si>
  <si>
    <t>B07NC12T2R</t>
  </si>
  <si>
    <t>boAt Stone 650 10W</t>
  </si>
  <si>
    <t>VSMS,karthik,Latheesh Reddy,Mayank</t>
  </si>
  <si>
    <t>B07WKBD37W</t>
  </si>
  <si>
    <t>ESnipe Mart Worldwide Travel</t>
  </si>
  <si>
    <t>Ehsan Ul</t>
  </si>
  <si>
    <t>B08JMC1988</t>
  </si>
  <si>
    <t>boAt Stone 180 5W</t>
  </si>
  <si>
    <t>Meghana,Udit narayan</t>
  </si>
  <si>
    <t>B09GFN8WZL</t>
  </si>
  <si>
    <t>Portronics Ruffpad 8.5M Multicolor</t>
  </si>
  <si>
    <t>HIREN PARMAR,Yateesh</t>
  </si>
  <si>
    <t>B095X38CJS</t>
  </si>
  <si>
    <t>BRUSTRO Copytinta Coloured Craft</t>
  </si>
  <si>
    <t>kashif,sezhian,Dinesh K.,Jenifer,Harsh,suresh,Madhu,Amazon</t>
  </si>
  <si>
    <t>B07ZKD8T1Q</t>
  </si>
  <si>
    <t>Cuzor 12V Mini ups</t>
  </si>
  <si>
    <t>Subramanian M,krupasindhu,Amazon</t>
  </si>
  <si>
    <t>B07G3YNLJB</t>
  </si>
  <si>
    <t>Crucial BX500 240GB 3D</t>
  </si>
  <si>
    <t>Shaikh Faisal,SISODIYA</t>
  </si>
  <si>
    <t>B00P93X2H6</t>
  </si>
  <si>
    <t>Classmate Pulse Spiral Notebook</t>
  </si>
  <si>
    <t>Nafisa Nehar,Narinder</t>
  </si>
  <si>
    <t>B0798PJPCL</t>
  </si>
  <si>
    <t>Portronics My buddy plus</t>
  </si>
  <si>
    <t>Nayeem ur</t>
  </si>
  <si>
    <t>B09GFWJDY1</t>
  </si>
  <si>
    <t>ZEBRONICS Zeb-Evolve Wireless in</t>
  </si>
  <si>
    <t>Vibhor sharma,Eshaan</t>
  </si>
  <si>
    <t>B09MZ6WZ6V</t>
  </si>
  <si>
    <t>INOVERA World Map Extended</t>
  </si>
  <si>
    <t>f1rstmehul,Kalyani Ramasubbu,sourin</t>
  </si>
  <si>
    <t>B094QZLJQ6</t>
  </si>
  <si>
    <t>Seagate One Touch 2TB</t>
  </si>
  <si>
    <t>Amazon Customer,Jayesh</t>
  </si>
  <si>
    <t>B07L3NDN24</t>
  </si>
  <si>
    <t>ZEBRONICS Zeb-Fame 5watts 2.0</t>
  </si>
  <si>
    <t>Asraful,Sagar prajapati,Mahesh</t>
  </si>
  <si>
    <t>B08WD18LJZ</t>
  </si>
  <si>
    <t>TVARA LCD Writing Tablet</t>
  </si>
  <si>
    <t>Uthiranathan,Scuba_3d,Amazon Customer,archana,Nithin,Annie</t>
  </si>
  <si>
    <t>B06XDKWLJH</t>
  </si>
  <si>
    <t>Western Digital WD 1.5TB</t>
  </si>
  <si>
    <t>Mastercard,Krupal Gajjar,Sanket,lional,Atteng</t>
  </si>
  <si>
    <t>B01J1CFO5I</t>
  </si>
  <si>
    <t>Redgear MP35 Speed-Type Gaming</t>
  </si>
  <si>
    <t>Jayaprakash,Keshav Rana,Mohit</t>
  </si>
  <si>
    <t>B07J2NGB69</t>
  </si>
  <si>
    <t>Lenovo 400 Wireless Mouse,</t>
  </si>
  <si>
    <t>abhilash n.,Tk,Mayur,Ajay,himanshu</t>
  </si>
  <si>
    <t>B00MUTWLW4</t>
  </si>
  <si>
    <t>Logitech K480 Wireless Multi-Device</t>
  </si>
  <si>
    <t>Nikhil M.,Quader,Amith</t>
  </si>
  <si>
    <t>B017NC2IPM</t>
  </si>
  <si>
    <t>RESONATE RouterUPS CRU12V2A |</t>
  </si>
  <si>
    <t>JAYASHANKAR VB,SHAHABAAZ</t>
  </si>
  <si>
    <t>B00N1U7JXM</t>
  </si>
  <si>
    <t>3M Post-it Sticky Note</t>
  </si>
  <si>
    <t>Deepak kumar,Ahsan</t>
  </si>
  <si>
    <t>B08HQL67D6</t>
  </si>
  <si>
    <t>OFIXO Multi-Purpose Laptop Table/Study</t>
  </si>
  <si>
    <t>Sonubhai,Sujili v,Mohammad</t>
  </si>
  <si>
    <t>B09RKFBCV7</t>
  </si>
  <si>
    <t>Fire-Boltt Ninja Calling 1.69"</t>
  </si>
  <si>
    <t>siddhi kamat,Reshma</t>
  </si>
  <si>
    <t>B08KHM9VBJ</t>
  </si>
  <si>
    <t>Airtel AMF-311WW Data Card</t>
  </si>
  <si>
    <t>Sancha Bir</t>
  </si>
  <si>
    <t>B01IOZUHRS</t>
  </si>
  <si>
    <t>Gizga Essentials Laptop Power</t>
  </si>
  <si>
    <t>Chetan C.,Bhasker,Heet</t>
  </si>
  <si>
    <t>B00CEQEGPI</t>
  </si>
  <si>
    <t>Logitech MK270r USB Wireless</t>
  </si>
  <si>
    <t>Jaldeep,karan,Kalyanchakravarti Nemana,Swapnil</t>
  </si>
  <si>
    <t>B08B6XWQ1C</t>
  </si>
  <si>
    <t>Rajesh singha,Bhavesh,Sivanath,Akanksha</t>
  </si>
  <si>
    <t>B01DGVKBC6</t>
  </si>
  <si>
    <t>FEDUS Cat6 Ethernet Cable,</t>
  </si>
  <si>
    <t>K. Vijay</t>
  </si>
  <si>
    <t>B08JD36C6H</t>
  </si>
  <si>
    <t>Kingston DataTraveler Exodia DTX/32</t>
  </si>
  <si>
    <t>Dip J</t>
  </si>
  <si>
    <t>B00E3DVQFS</t>
  </si>
  <si>
    <t>Duracell Rechargeable AA 2500mAh</t>
  </si>
  <si>
    <t>Rajendra Singh,SUBRATA</t>
  </si>
  <si>
    <t>B00BN5SNF0</t>
  </si>
  <si>
    <t>ENVIEÂ®</t>
  </si>
  <si>
    <t>à¤…à¤¶à¥‹à¤• à¤µà¥ˆà¤·à¥à¤£à¤µ,Satish,KBK,rajendra,BuyerOfProducts,Manjush</t>
  </si>
  <si>
    <t>B09SGGRKV8</t>
  </si>
  <si>
    <t>ZEBRONICS Zeb-Buds 30 3.5Mm</t>
  </si>
  <si>
    <t>Kohana,Sameer,Rishabh singh,Sourav</t>
  </si>
  <si>
    <t>B084BR3QX8</t>
  </si>
  <si>
    <t>LAPSTER Accessories Power Cable</t>
  </si>
  <si>
    <t>vinu,Goutam Banerjee,Rajeesh</t>
  </si>
  <si>
    <t>B09VC2D2WG</t>
  </si>
  <si>
    <t>Portronics Ruffpad 12E Re-Writable</t>
  </si>
  <si>
    <t>Manish Kumar</t>
  </si>
  <si>
    <t>B09163Q5CD</t>
  </si>
  <si>
    <t>VeriluxÂ® USB C Hub</t>
  </si>
  <si>
    <t>Vignesh,Aniket,Nitish Kumar,Amazon</t>
  </si>
  <si>
    <t>B08K9PX15C</t>
  </si>
  <si>
    <t>Zebronics Zeb Wonderbar 10</t>
  </si>
  <si>
    <t>Balamurugan Trivandrum,prathmesh</t>
  </si>
  <si>
    <t>B083RD1J99</t>
  </si>
  <si>
    <t>HP Wired Mouse 100</t>
  </si>
  <si>
    <t>B09Z7YGV3R</t>
  </si>
  <si>
    <t>Anjaney Enterprise Smart Multipurpose</t>
  </si>
  <si>
    <t>varshini Mani,giri</t>
  </si>
  <si>
    <t>B00N3XLDW0</t>
  </si>
  <si>
    <t>ENVIE ECR-20 Charger for</t>
  </si>
  <si>
    <t>Satish,Anonymous,AJIT SHRIPAD</t>
  </si>
  <si>
    <t>B07Z53L5QL</t>
  </si>
  <si>
    <t>ProElite Faux Leather Smart</t>
  </si>
  <si>
    <t>Neha,Amazon Customer,Rajat</t>
  </si>
  <si>
    <t>B00P93X0VO</t>
  </si>
  <si>
    <t>Classmate Pulse 6 Subject</t>
  </si>
  <si>
    <t>Aditya Chatterjee,Raksha,shubham</t>
  </si>
  <si>
    <t>B07SBGFDX9</t>
  </si>
  <si>
    <t>Pentonic Multicolor Ball Point</t>
  </si>
  <si>
    <t>Parul S.,Prateek</t>
  </si>
  <si>
    <t>B07X2L5Z8C</t>
  </si>
  <si>
    <t>Logitech Pebble M350 Wireless</t>
  </si>
  <si>
    <t>Ravi,Shrey,Deepthi,sreeraj,Priyadarshini P,Abdul</t>
  </si>
  <si>
    <t>B00VA7YYUO</t>
  </si>
  <si>
    <t>Apsara Platinum Pencils Value</t>
  </si>
  <si>
    <t>Shahul Hameed</t>
  </si>
  <si>
    <t>B07L9FW9GF</t>
  </si>
  <si>
    <t>Zebronics Zeb-Power Wired USB</t>
  </si>
  <si>
    <t>zain,Deepak,VIMAL,Shiv Sagar,Tamil</t>
  </si>
  <si>
    <t>B08D64C9FN</t>
  </si>
  <si>
    <t>Ant Esports GM320 RGB</t>
  </si>
  <si>
    <t>Sthith,Bhagwan Patil,Abhisekh,Murtaza</t>
  </si>
  <si>
    <t>B00LOD70SC</t>
  </si>
  <si>
    <t>Pilot V7 Liquid Ink</t>
  </si>
  <si>
    <t>Madhusmita singh,Sandeep</t>
  </si>
  <si>
    <t>B09X76VL5L</t>
  </si>
  <si>
    <t>boAt Airdopes 191G True</t>
  </si>
  <si>
    <t>Miki,Nikhil,Nidheesh V,Patel</t>
  </si>
  <si>
    <t>B091JF2TFD</t>
  </si>
  <si>
    <t>Boult Audio BassBuds Oak</t>
  </si>
  <si>
    <t>Kulasekaranslrk,Amazon Customer,Sampada,Rudraksh,Narayan,Vivek</t>
  </si>
  <si>
    <t>B07S7DCJKS</t>
  </si>
  <si>
    <t>IT2M Designer Mouse Pad</t>
  </si>
  <si>
    <t>TASAVUR,Manoj Kumar</t>
  </si>
  <si>
    <t>B09NC2TY11</t>
  </si>
  <si>
    <t>Noise ColorFit Ultra Buzz</t>
  </si>
  <si>
    <t>Sasmita Chopdar,Manas</t>
  </si>
  <si>
    <t>B0BDS8MY8J</t>
  </si>
  <si>
    <t>Lapster Caddy for ssd</t>
  </si>
  <si>
    <t>Digvijay,Vismay,Yogesh,Rajesh K.,Yogesh</t>
  </si>
  <si>
    <t>B09X7DY7Q4</t>
  </si>
  <si>
    <t>SanDisk Extreme SD UHS</t>
  </si>
  <si>
    <t>Aadil Fayaz</t>
  </si>
  <si>
    <t>B09YV575RK</t>
  </si>
  <si>
    <t>Fire-Boltt Ring Pro Bluetooth</t>
  </si>
  <si>
    <t>Saksham Gaba,Shivam</t>
  </si>
  <si>
    <t>B08LW31NQ6</t>
  </si>
  <si>
    <t>Lenovo 600 Bluetooth 5.0</t>
  </si>
  <si>
    <t>Manas,harikrishna,Vinit,Subrat patel,Varun</t>
  </si>
  <si>
    <t>B09ND94ZRG</t>
  </si>
  <si>
    <t>Boult Audio Airbass Propods</t>
  </si>
  <si>
    <t>Satish,Siddhant,Dibyendu,Utkarsh Verma,Akashneel</t>
  </si>
  <si>
    <t>B00P93X6EK</t>
  </si>
  <si>
    <t>Somya Meena,Poojitha</t>
  </si>
  <si>
    <t>B0994GP1CX</t>
  </si>
  <si>
    <t>Dinesh jumani,HIREN</t>
  </si>
  <si>
    <t>B07H8W9PB6</t>
  </si>
  <si>
    <t>KLAM LCD Writing Tablet</t>
  </si>
  <si>
    <t>ðŸ¤˜ðŸ»ðŸ¤˜ðŸ»,Kabi,Manoj kumar</t>
  </si>
  <si>
    <t>B09NNHFSSF</t>
  </si>
  <si>
    <t>CP PLUS 2MP Full</t>
  </si>
  <si>
    <t>Anshula Jain,J</t>
  </si>
  <si>
    <t>B08D9NDZ1Y</t>
  </si>
  <si>
    <t>HP Deskjet 2331 Colour</t>
  </si>
  <si>
    <t>Nikhil M.,Sonic,MUTHURAMA</t>
  </si>
  <si>
    <t>B0085IATT6</t>
  </si>
  <si>
    <t>D-Link DIR-615 Wi-fi Ethernet-N300</t>
  </si>
  <si>
    <t>Omm....,Cyril George,Chandana</t>
  </si>
  <si>
    <t>B08WJ86PV2</t>
  </si>
  <si>
    <t>RPM Euro Games Gaming</t>
  </si>
  <si>
    <t>Aparna,Anshuman,CMA Awdhesh</t>
  </si>
  <si>
    <t>B078HRR1XV</t>
  </si>
  <si>
    <t>Wacom One by CTL-472/K0-CX</t>
  </si>
  <si>
    <t>Chandrajeet rav,AMAL</t>
  </si>
  <si>
    <t>B09P22HXH6</t>
  </si>
  <si>
    <t>Lenovo 300 FHD Webcam</t>
  </si>
  <si>
    <t>Sheikh Asif</t>
  </si>
  <si>
    <t>B00LM4X3XE</t>
  </si>
  <si>
    <t>Parker Quink Ink Bottle</t>
  </si>
  <si>
    <t>ghost parris,Zeeshan</t>
  </si>
  <si>
    <t>B09YLFHFDW</t>
  </si>
  <si>
    <t>Sony WI-C100 Wireless Headphones</t>
  </si>
  <si>
    <t>Nikhil M.,Manoj</t>
  </si>
  <si>
    <t>B07YWS9SP9</t>
  </si>
  <si>
    <t>Zebronics, ZEB-NC3300 USB Powered</t>
  </si>
  <si>
    <t>BhavenW,satish,Jayakrishnan R,Amazon</t>
  </si>
  <si>
    <t>B08WLY8V9S</t>
  </si>
  <si>
    <t>Tukzer Gel Mouse Pad</t>
  </si>
  <si>
    <t>Manish,Harish,Amazon Customer,Uday</t>
  </si>
  <si>
    <t>B0873L7J6X</t>
  </si>
  <si>
    <t>(sic),Harshit,Bharath N,Pulkit</t>
  </si>
  <si>
    <t>B07YNHCW6N</t>
  </si>
  <si>
    <t>Robustrion Smart Trifold Hard</t>
  </si>
  <si>
    <t>Vigi,Sathish,sandep,Tharun Balaji,Aditi</t>
  </si>
  <si>
    <t>B01MQ2A86A</t>
  </si>
  <si>
    <t>Logitech M331 Silent Plus</t>
  </si>
  <si>
    <t>Awesome Shopper,Suresh</t>
  </si>
  <si>
    <t>B00KIE28X0</t>
  </si>
  <si>
    <t>Camel Artist Acrylic Color</t>
  </si>
  <si>
    <t>Daisy daniel,POONAM</t>
  </si>
  <si>
    <t>B0BHYJ8CVF</t>
  </si>
  <si>
    <t>Portronics Key2 Combo Multimedia</t>
  </si>
  <si>
    <t>Navdeep,Tanu,APOORV BHATIA,manohar,bendi</t>
  </si>
  <si>
    <t>B0BCVJ3PVP</t>
  </si>
  <si>
    <t>SupCares Laptop Stand 7</t>
  </si>
  <si>
    <t>Devarajan N,S.B.Vignesh,Likhith,Bipin</t>
  </si>
  <si>
    <t>B0B2931FCV</t>
  </si>
  <si>
    <t>ZEBRONICS Zeb-Sound Bomb N1</t>
  </si>
  <si>
    <t>Amos b.,Srimanth,JATIN</t>
  </si>
  <si>
    <t>B09TMZ1MF8</t>
  </si>
  <si>
    <t>Western Digital WD Green</t>
  </si>
  <si>
    <t>SHAHID SHAIKH,Amazon</t>
  </si>
  <si>
    <t>B07VV37FT4</t>
  </si>
  <si>
    <t>Classmate Octane Neon- 25</t>
  </si>
  <si>
    <t>Karthick KJV,Ruchi,Amazon</t>
  </si>
  <si>
    <t>B07JB2Y4SR</t>
  </si>
  <si>
    <t>Classmate Octane Colour Burst-Multicolour</t>
  </si>
  <si>
    <t>Vijaya,Kumkum Kumari,Amazon</t>
  </si>
  <si>
    <t>B08KRMK9LZ</t>
  </si>
  <si>
    <t>Tukzer Stylus Pen, iPad</t>
  </si>
  <si>
    <t>muntasir kayal,Rohan,Dr.Aasif,Jason,ShreeKrishna</t>
  </si>
  <si>
    <t>B08LT9BMPP</t>
  </si>
  <si>
    <t>Logitech G102 USB Light</t>
  </si>
  <si>
    <t>Hitesh,Deepak,dv,Abhishek Nigam,RAJ</t>
  </si>
  <si>
    <t>B0814ZY6FP</t>
  </si>
  <si>
    <t>Zebronics ZEB-VITA Wireless Bluetooth</t>
  </si>
  <si>
    <t>Amazon Customer,Ramveer</t>
  </si>
  <si>
    <t>B09F3PDDRF</t>
  </si>
  <si>
    <t>Lapster USB 3.0 sata</t>
  </si>
  <si>
    <t>Vignesh Prabu</t>
  </si>
  <si>
    <t>B07X963JNS</t>
  </si>
  <si>
    <t>URBN 10000 mAh Lithium</t>
  </si>
  <si>
    <t>B09LD3116F</t>
  </si>
  <si>
    <t>Qubo Smart Cam 360</t>
  </si>
  <si>
    <t>Ramana KV,akshay</t>
  </si>
  <si>
    <t>B08Y5QJTVK</t>
  </si>
  <si>
    <t>Duracell CR2025 3V Lithium</t>
  </si>
  <si>
    <t>Dr Ajay</t>
  </si>
  <si>
    <t>B00LY1FN1K</t>
  </si>
  <si>
    <t>Camel Fabrica Acrylic Ultra</t>
  </si>
  <si>
    <t>Abhilasha,G4N,Dr. Gandharav</t>
  </si>
  <si>
    <t>B07DJ5KYDZ</t>
  </si>
  <si>
    <t>Lenovo GX20L29764 65W Laptop</t>
  </si>
  <si>
    <t>T.Sharanvelan,Devendra Singh</t>
  </si>
  <si>
    <t>B009LJ2BXA</t>
  </si>
  <si>
    <t>Hp Wired On Ear</t>
  </si>
  <si>
    <t>Deepthi,Nitin Mishra,Raju</t>
  </si>
  <si>
    <t>B09BVCVTBC</t>
  </si>
  <si>
    <t>Redragon K617 Fizz 60%</t>
  </si>
  <si>
    <t>Bazil,Shoaib,Devis,PK,Unboxing video</t>
  </si>
  <si>
    <t>B07SY4C3TD</t>
  </si>
  <si>
    <t>HP GT 53 XL</t>
  </si>
  <si>
    <t>Koustav Gayen,Nagesh</t>
  </si>
  <si>
    <t>B094JB13XL</t>
  </si>
  <si>
    <t>Noise ColorFit Ultra Smart</t>
  </si>
  <si>
    <t>B08CRRQK6Z</t>
  </si>
  <si>
    <t>Zebronics Zeb-JUKEBAR 3900, 80W</t>
  </si>
  <si>
    <t>Amol G.,Avani</t>
  </si>
  <si>
    <t>B08MTLLSL8</t>
  </si>
  <si>
    <t>boAt Bassheads 102 Wired</t>
  </si>
  <si>
    <t>SUPER HEAT,Vicky</t>
  </si>
  <si>
    <t>B08Y57TPDM</t>
  </si>
  <si>
    <t>Duracell CR2016 3V Lithium</t>
  </si>
  <si>
    <t>Suraj,nilesh,Pawan,Deepak Singh,nikhil</t>
  </si>
  <si>
    <t>B09CYTJV3N</t>
  </si>
  <si>
    <t>MI 360Â° Home Security</t>
  </si>
  <si>
    <t>Amaan Ahmad,Subhani</t>
  </si>
  <si>
    <t>B07GLNJC25</t>
  </si>
  <si>
    <t>ZEBRONICS Zeb-100HB 4 Ports</t>
  </si>
  <si>
    <t>RajendraK Tiwari,A</t>
  </si>
  <si>
    <t>B08FY4FG5X</t>
  </si>
  <si>
    <t>Boult Audio Bass Buds</t>
  </si>
  <si>
    <t>Vijay,Asad,Mohan,siddhraj,Nayan Ambhore,achoibam</t>
  </si>
  <si>
    <t>B07TMCXRFV</t>
  </si>
  <si>
    <t>ESR Screen Protector Compatible</t>
  </si>
  <si>
    <t>Aditya Kumar,Awesh,Amazon</t>
  </si>
  <si>
    <t>B00LZPQVMK</t>
  </si>
  <si>
    <t>Parker Vector Standard Chrome</t>
  </si>
  <si>
    <t>Fardeen mujawar,Pavan,Danny,Siddhartha</t>
  </si>
  <si>
    <t>B08X77LM8C</t>
  </si>
  <si>
    <t>Silicone Rubber Earbuds Tips,</t>
  </si>
  <si>
    <t>AmazonCustomermh7790,Akkuu Akshay,Zahid</t>
  </si>
  <si>
    <t>B01EJ5MM5M</t>
  </si>
  <si>
    <t>Canon PIXMA MG2577s All-in-One</t>
  </si>
  <si>
    <t>Prasad,M. Satyanarayana,Sarthak</t>
  </si>
  <si>
    <t>B08J82K4GX</t>
  </si>
  <si>
    <t>Samsung 24-inch</t>
  </si>
  <si>
    <t>Srikkanth,Sameer,Alexander,Siddhant Pawar,Deepak</t>
  </si>
  <si>
    <t>B07Z1Z77ZZ</t>
  </si>
  <si>
    <t>Ashraf Akhter,Faizan,Axay</t>
  </si>
  <si>
    <t>B00DJ5N9VK</t>
  </si>
  <si>
    <t>Faber-Castell Connector Pen Set</t>
  </si>
  <si>
    <t>Aradhna Aadhya,sonali</t>
  </si>
  <si>
    <t>B08FGNPQ9X</t>
  </si>
  <si>
    <t>Zinq UPS for Router,</t>
  </si>
  <si>
    <t>Akhil Raj</t>
  </si>
  <si>
    <t>B07NTKGW45</t>
  </si>
  <si>
    <t>SaleOnâ„¢ Portable Storage Organizer</t>
  </si>
  <si>
    <t>Amazon Customer,Santos,CVN,anonymous,Sacchidanand</t>
  </si>
  <si>
    <t>B08J4PL1Z3</t>
  </si>
  <si>
    <t>RPM Euro Games Laptop/PC</t>
  </si>
  <si>
    <t>Rajesh sharma,Akhil</t>
  </si>
  <si>
    <t>B07XJWTYM2</t>
  </si>
  <si>
    <t>realme Buds Wireless in</t>
  </si>
  <si>
    <t>Tech boy,Deepak,8445025922,Ashok</t>
  </si>
  <si>
    <t>B09939XJX8</t>
  </si>
  <si>
    <t>TVARA LCD Writing Tablet,</t>
  </si>
  <si>
    <t>Kanta Khaksa,SKK,Subramanian</t>
  </si>
  <si>
    <t>B09MDCZJXS</t>
  </si>
  <si>
    <t>Wings Phantom Pro Earphones</t>
  </si>
  <si>
    <t>Prince rabha,Aditya</t>
  </si>
  <si>
    <t>B08CTQP51L</t>
  </si>
  <si>
    <t>Robustrion [Anti-Scratch] &amp; [Smudge</t>
  </si>
  <si>
    <t>Aditya Chauhan,Student,MAHENDRA</t>
  </si>
  <si>
    <t>B0BG62HMDJ</t>
  </si>
  <si>
    <t>Cablet 2.5 Inch SATA</t>
  </si>
  <si>
    <t>Santosh,Ravindra r.m,Shubham</t>
  </si>
  <si>
    <t>B08GTYFC37</t>
  </si>
  <si>
    <t>SanDisk 1TB Extreme Portable</t>
  </si>
  <si>
    <t>Naresh R.,Pawan</t>
  </si>
  <si>
    <t>B08SBH499M</t>
  </si>
  <si>
    <t>ZEBRONICS Zeb-Warrior II 10</t>
  </si>
  <si>
    <t>Pranav,D Joardar,Roy,Puneet,Gokul,Nachiket,Prashant</t>
  </si>
  <si>
    <t>B08FYB5HHK</t>
  </si>
  <si>
    <t>TP-Link UE300C USB Type-C</t>
  </si>
  <si>
    <t>B0B5GJRTHB</t>
  </si>
  <si>
    <t>Wecool Moonwalk M1 ENC</t>
  </si>
  <si>
    <t>Siddhesh s.,Karthik,Vikram</t>
  </si>
  <si>
    <t>B09GBBJV72</t>
  </si>
  <si>
    <t>HP 330 Wireless Black</t>
  </si>
  <si>
    <t>Selva sibi,TZ,c</t>
  </si>
  <si>
    <t>B07P434WJY</t>
  </si>
  <si>
    <t>RC PRINT GI 790</t>
  </si>
  <si>
    <t>madhu AR,Pawan,Mohamed</t>
  </si>
  <si>
    <t>B07T9FV9YP</t>
  </si>
  <si>
    <t>Redgear Cloak Wired RGB</t>
  </si>
  <si>
    <t>RUPESH BISHT,Sinoj</t>
  </si>
  <si>
    <t>B08WKFSN84</t>
  </si>
  <si>
    <t>B09TBCVJS3</t>
  </si>
  <si>
    <t>Amazfit GTS2 Mini</t>
  </si>
  <si>
    <t>Nagarjuna Pavan</t>
  </si>
  <si>
    <t>B08TR61BVK</t>
  </si>
  <si>
    <t>TabelitoÂ® Polyester Foam, Nylon</t>
  </si>
  <si>
    <t>Naveenkumar.K,Jenny,Flora.bebo.vidyarthi,Kimmi Chopra,shivendra</t>
  </si>
  <si>
    <t>B0B2CPVXHX</t>
  </si>
  <si>
    <t>Robustrion Anti-Scratch &amp; Smudge</t>
  </si>
  <si>
    <t>Javid Nisar,Dr.</t>
  </si>
  <si>
    <t>B08XNL93PL</t>
  </si>
  <si>
    <t>Portronics Ruffpad 15 Re-Writable</t>
  </si>
  <si>
    <t>Shibendra,Rajesh,Hemang verma,Sj</t>
  </si>
  <si>
    <t>B088GXTJM3</t>
  </si>
  <si>
    <t>KS,Shubham gupta,Suman,Sishir</t>
  </si>
  <si>
    <t>B099S26HWG</t>
  </si>
  <si>
    <t>Classmate Pulse 1 Subject</t>
  </si>
  <si>
    <t>Ayush pandey,Puneet</t>
  </si>
  <si>
    <t>B08461VC1Z</t>
  </si>
  <si>
    <t>Scarters Mouse Pad, Desk</t>
  </si>
  <si>
    <t>Abhay N.,Karan</t>
  </si>
  <si>
    <t>B00K32PEW4</t>
  </si>
  <si>
    <t>Casio MJ-120D 150 Steps</t>
  </si>
  <si>
    <t>Certified customer,deepak,Sanjiv</t>
  </si>
  <si>
    <t>B07LFWP97N</t>
  </si>
  <si>
    <t>Gizga Essentials Laptop Bag</t>
  </si>
  <si>
    <t>Amazon Customer,Prakasha,Indramani</t>
  </si>
  <si>
    <t>B0746N6WML</t>
  </si>
  <si>
    <t>Parker Vector Camouflage Gift</t>
  </si>
  <si>
    <t>Good,Aayush,Nupur Gupta,Gunjan</t>
  </si>
  <si>
    <t>B07W9KYT62</t>
  </si>
  <si>
    <t>TP-Link AC1200 Archer A6</t>
  </si>
  <si>
    <t>Josh Crooner,ADITYA</t>
  </si>
  <si>
    <t>B08D9MNH4B</t>
  </si>
  <si>
    <t>HP Deskjet 2723 AIO</t>
  </si>
  <si>
    <t>S.mohan,Ashish Raj,Dr.Nirmal</t>
  </si>
  <si>
    <t>B09MKG4ZCM</t>
  </si>
  <si>
    <t>Xiaomi Mi 4A Dual_Band</t>
  </si>
  <si>
    <t>Saurabh nath</t>
  </si>
  <si>
    <t>B07RZZ1QSW</t>
  </si>
  <si>
    <t>SLOVICÂ® Tripod Mount Adapter|</t>
  </si>
  <si>
    <t>Joel Thomas,YMNY,sachin</t>
  </si>
  <si>
    <t>B07222HQKP</t>
  </si>
  <si>
    <t>Orico 2.5"</t>
  </si>
  <si>
    <t>pushpendra kumar,Avanish,Rajet</t>
  </si>
  <si>
    <t>B00NFD0ETQ</t>
  </si>
  <si>
    <t>Logitech G402 Hyperion Fury</t>
  </si>
  <si>
    <t>Madhav Ashokan,parin</t>
  </si>
  <si>
    <t>B075DB1F13</t>
  </si>
  <si>
    <t>Panasonic Eneloop BQ-CC55N Advanced,</t>
  </si>
  <si>
    <t>Sreelal S,Abe</t>
  </si>
  <si>
    <t>B0148NPH9I</t>
  </si>
  <si>
    <t>Logitech K380 Wireless Multi-Device</t>
  </si>
  <si>
    <t>Padmanabhan R,Balasanjay,Tripadh,Philip,Abhishek</t>
  </si>
  <si>
    <t>B01JOFKL0A</t>
  </si>
  <si>
    <t>Canon PIXMA E477 All-in-One</t>
  </si>
  <si>
    <t>Evangelyssa,Harendra Nath</t>
  </si>
  <si>
    <t>B079S811J3</t>
  </si>
  <si>
    <t>Redgear Cosmo 7,1 Usb</t>
  </si>
  <si>
    <t>Rudra patra,Amazon</t>
  </si>
  <si>
    <t>B0083T231O</t>
  </si>
  <si>
    <t>Belkin Essential Series 4-Socket</t>
  </si>
  <si>
    <t>Hayat Ansari,Basanti</t>
  </si>
  <si>
    <t>B086PXQ2R4</t>
  </si>
  <si>
    <t>Classmate Long Book -</t>
  </si>
  <si>
    <t>Anwesh Gudepu,Senorita,JK,Kalyana</t>
  </si>
  <si>
    <t>B07L1N3TJX</t>
  </si>
  <si>
    <t>Artis AR-45W-MG2 45 Watts</t>
  </si>
  <si>
    <t>p a</t>
  </si>
  <si>
    <t>B07YFWVRCM</t>
  </si>
  <si>
    <t>Imou 360Â° 1080P Full</t>
  </si>
  <si>
    <t>Ashish Pyasi,SAGAR</t>
  </si>
  <si>
    <t>B08TDJ5BVF</t>
  </si>
  <si>
    <t>Yugandhar Menda,Sonia,Amazon</t>
  </si>
  <si>
    <t>B09XXZXQC1</t>
  </si>
  <si>
    <t>Xiaomi Pad 5| Qualcomm</t>
  </si>
  <si>
    <t>&amp; I</t>
  </si>
  <si>
    <t>B083T5G5PM</t>
  </si>
  <si>
    <t>Sennheiser CX 80S in-Ear</t>
  </si>
  <si>
    <t>Neeraj Vishwakarma,Sameer</t>
  </si>
  <si>
    <t>B0BHVPTM2C</t>
  </si>
  <si>
    <t>HB Plus Folding Height</t>
  </si>
  <si>
    <t>RISHABH K.,Anish</t>
  </si>
  <si>
    <t>B01NBX5RSB</t>
  </si>
  <si>
    <t>HP 65W AC Laptops</t>
  </si>
  <si>
    <t>Abhiram Ganesh,Amazon</t>
  </si>
  <si>
    <t>B08MWJTST6</t>
  </si>
  <si>
    <t>Tukzer Fully Foldable Tabletop</t>
  </si>
  <si>
    <t>rajiv,Anil Mishra,Pandri</t>
  </si>
  <si>
    <t>B07R99NBVB</t>
  </si>
  <si>
    <t>Gizga Essentials Cable Organiser,</t>
  </si>
  <si>
    <t>Dhineshkumar,Amazon Customer,Ankit</t>
  </si>
  <si>
    <t>B00LY12TH6</t>
  </si>
  <si>
    <t>Camel Oil Pastel with</t>
  </si>
  <si>
    <t>Jayanta,Himanshu kumar,Saima,Vivek</t>
  </si>
  <si>
    <t>B08497Z1MQ</t>
  </si>
  <si>
    <t>HP M270 Backlit USB</t>
  </si>
  <si>
    <t>IAMSRK,Tirath T.Trivedi,Damodaran,Ashish</t>
  </si>
  <si>
    <t>B07KNM95JK</t>
  </si>
  <si>
    <t>Foxin FTC 12A /</t>
  </si>
  <si>
    <t>Dilip Panchal,balu</t>
  </si>
  <si>
    <t>B09Q3M3WLJ</t>
  </si>
  <si>
    <t>Indrani B.,Amazon</t>
  </si>
  <si>
    <t>B09B9SPC7F</t>
  </si>
  <si>
    <t>PC SQUARE Laptop Tabletop</t>
  </si>
  <si>
    <t>Amol W.,Rohit</t>
  </si>
  <si>
    <t>B099SD8PRP</t>
  </si>
  <si>
    <t>Lenovo 130 Wireless Compact</t>
  </si>
  <si>
    <t>Geetanshu Dev,Akshay</t>
  </si>
  <si>
    <t>B00S2SEV7K</t>
  </si>
  <si>
    <t>Pilot Frixion Clicker Roller</t>
  </si>
  <si>
    <t>Abhay Gupta,vimal</t>
  </si>
  <si>
    <t>B08WKCTFF3</t>
  </si>
  <si>
    <t>ZEBRONICS Aluminium Alloy Laptop</t>
  </si>
  <si>
    <t>Kamaldeep Singh,Jaskaran,Ravikiran</t>
  </si>
  <si>
    <t>B08498D67S</t>
  </si>
  <si>
    <t>HP K500F Backlit Membrane</t>
  </si>
  <si>
    <t>Mohammad Shadab</t>
  </si>
  <si>
    <t>B00C3GBCIS</t>
  </si>
  <si>
    <t>GIZGA Club-laptop Neoprene Reversible</t>
  </si>
  <si>
    <t>hrithik,CHANDRASHEKHAR,Amazon Customer,mukul,Saumitra</t>
  </si>
  <si>
    <t>B00URH5E34</t>
  </si>
  <si>
    <t>Inventis 5V 1.2W Portable</t>
  </si>
  <si>
    <t>Dhruv Sharma,Durairaj</t>
  </si>
  <si>
    <t>B00EYW1U68</t>
  </si>
  <si>
    <t>TP-Link TL-WA855RE 300 Mbps</t>
  </si>
  <si>
    <t>Basim,Vicky M.,Neeraj</t>
  </si>
  <si>
    <t>B08SMJT55F</t>
  </si>
  <si>
    <t>boAt Stone 250 Portable</t>
  </si>
  <si>
    <t>Devashish Gautam,Vishakha,Sunny</t>
  </si>
  <si>
    <t>B08Y7MXFMK</t>
  </si>
  <si>
    <t>OffbeatÂ® - DASH 2.4GHz</t>
  </si>
  <si>
    <t>Surajit Patra,Dixitkotadiya,Abishek</t>
  </si>
  <si>
    <t>B086Q3QMFS</t>
  </si>
  <si>
    <t>Classmate Drawing Book -</t>
  </si>
  <si>
    <t>a.john,Sonika sharma,Umadevi,tarun,venkatesh</t>
  </si>
  <si>
    <t>B08498H13H</t>
  </si>
  <si>
    <t>HP GK320 Wired Full</t>
  </si>
  <si>
    <t>Lingaraj Naik,Vinod</t>
  </si>
  <si>
    <t>B07LFQLKFZ</t>
  </si>
  <si>
    <t>Parker Moments Vector Timecheck</t>
  </si>
  <si>
    <t>B00LY17RHI</t>
  </si>
  <si>
    <t>Camlin Elegante Fountain Pen</t>
  </si>
  <si>
    <t>Rayees Tigadi,ajay,Tathagata</t>
  </si>
  <si>
    <t>B07W14CHV8</t>
  </si>
  <si>
    <t>CARECASEÂ® Optical Bay 2nd</t>
  </si>
  <si>
    <t>Prabakaran V,Chinmay</t>
  </si>
  <si>
    <t>B09F5Z694W</t>
  </si>
  <si>
    <t>Canon E4570 All-in-One Wi-Fi</t>
  </si>
  <si>
    <t>Sachin Goel,RONI.A.P.P.POONTHOTTAM,ELDO</t>
  </si>
  <si>
    <t>B0B25LQQPC</t>
  </si>
  <si>
    <t>Crucial P3 500GB PCIe</t>
  </si>
  <si>
    <t>Ashwin,Spidey Rage,Placeholder,Shreyas</t>
  </si>
  <si>
    <t>B01LYLJ99X</t>
  </si>
  <si>
    <t>HP v222w 64GB USB</t>
  </si>
  <si>
    <t>jatin.,sushil Kumar,Darunte</t>
  </si>
  <si>
    <t>B014SZPBM4</t>
  </si>
  <si>
    <t>Duracell Ultra Alkaline D</t>
  </si>
  <si>
    <t>Md asif</t>
  </si>
  <si>
    <t>B08CZHGHKH</t>
  </si>
  <si>
    <t>BESTORÂ® LCD Writing Tablet/pad</t>
  </si>
  <si>
    <t>SUBODH RAJ</t>
  </si>
  <si>
    <t>B0B2RBP83P</t>
  </si>
  <si>
    <t>Lenovo IdeaPad 3 11th</t>
  </si>
  <si>
    <t>Mb,Amazon Customer,Adnan</t>
  </si>
  <si>
    <t>B078W65FJ7</t>
  </si>
  <si>
    <t>boAt BassHeads 900 On-Ear</t>
  </si>
  <si>
    <t>Sayan,Lucky,Anish Kadivar,Surjit</t>
  </si>
  <si>
    <t>B08S74GTBT</t>
  </si>
  <si>
    <t>Zebronics Astra 10 Portable</t>
  </si>
  <si>
    <t>ESWARAN,Amal Gopinath,DODDI</t>
  </si>
  <si>
    <t>B07QMRHWJD</t>
  </si>
  <si>
    <t>SWAPKART Portable Flexible Adjustable</t>
  </si>
  <si>
    <t>Bhawna,Abhishek C,Richard</t>
  </si>
  <si>
    <t>B07W7Z6DVL</t>
  </si>
  <si>
    <t>Sreekumar KURUMALIKKAL,Mukund,ADITYA</t>
  </si>
  <si>
    <t>B07WMS7TWB</t>
  </si>
  <si>
    <t>Pigeon by Stovekraft Amaze</t>
  </si>
  <si>
    <t>ba_doh,Asim Kumar</t>
  </si>
  <si>
    <t>B00H47GVGY</t>
  </si>
  <si>
    <t>USHA Quartz Room Heater</t>
  </si>
  <si>
    <t>Sudesh,sayan mukherjee,SS,Ritu</t>
  </si>
  <si>
    <t>B07VX71FZP</t>
  </si>
  <si>
    <t>B07NCKMXVZ</t>
  </si>
  <si>
    <t>StyleHouse Lint Remover for</t>
  </si>
  <si>
    <t>vipul agnihotri,Banshul</t>
  </si>
  <si>
    <t>B0B61DSF17</t>
  </si>
  <si>
    <t>beatXP Kitchen Scale Multipurpose</t>
  </si>
  <si>
    <t>Anurag a.,Shivam</t>
  </si>
  <si>
    <t>B07VQGVL68</t>
  </si>
  <si>
    <t>Glun Multipurpose Portable Electronic</t>
  </si>
  <si>
    <t>Akil,Sravann,Arun,Priyanka Bhura,Aniket</t>
  </si>
  <si>
    <t>B01LWYDEQ7</t>
  </si>
  <si>
    <t>Pigeon Polypropylene Mini Handy</t>
  </si>
  <si>
    <t>Harshit,Fazeela,Chiranjiv Singh,Joseph</t>
  </si>
  <si>
    <t>B07VNFP3C2</t>
  </si>
  <si>
    <t>Prestige 1.5 Litre Kettle</t>
  </si>
  <si>
    <t>Sib,Deepak Kumar,Amazon</t>
  </si>
  <si>
    <t>B00LUGTJGO</t>
  </si>
  <si>
    <t>Bajaj RHX-2 800-Watt Room</t>
  </si>
  <si>
    <t>Shanu SwamiKohar,susheel,Shubham</t>
  </si>
  <si>
    <t>B01MQZ7J8K</t>
  </si>
  <si>
    <t>Prestige Electric Kettle PKOSS</t>
  </si>
  <si>
    <t>dgp raju,Amazon</t>
  </si>
  <si>
    <t>B01GFTEV5Y</t>
  </si>
  <si>
    <t>Pigeon by Stovekraft Cruise</t>
  </si>
  <si>
    <t>Amazon P.,Snt,Rajesh,Soniya</t>
  </si>
  <si>
    <t>B00NW4UWN6</t>
  </si>
  <si>
    <t>Prestige PKGSS 1.7L 1500W</t>
  </si>
  <si>
    <t>Vikash Kumar,PD,ASHISH</t>
  </si>
  <si>
    <t>B01NCVJMKX</t>
  </si>
  <si>
    <t>SHOPTOSHOP Electric Lint Remover,</t>
  </si>
  <si>
    <t>Jagroop Singh,abhilash</t>
  </si>
  <si>
    <t>B00O24PUO6</t>
  </si>
  <si>
    <t>Orpat OEH-1260 2000-Watt Fan</t>
  </si>
  <si>
    <t>Sandeep,Rajiv,Adarsh Patel,Devansh</t>
  </si>
  <si>
    <t>B07GXPDLYQ</t>
  </si>
  <si>
    <t>PRO365 Indo Mocktails/Coffee Foamer/Cappuccino/Lemonade/Milk</t>
  </si>
  <si>
    <t>iVan,Priyanka Das,DC,Shivnandan</t>
  </si>
  <si>
    <t>B01C8P29N0</t>
  </si>
  <si>
    <t>Bajaj DX-6 1000W Dry</t>
  </si>
  <si>
    <t>Chittibabu M,Sagarjit,Samiran</t>
  </si>
  <si>
    <t>B08KDBLMQP</t>
  </si>
  <si>
    <t>Croma 500W Mixer Grinder</t>
  </si>
  <si>
    <t>Om Shankar,Praburaj,keertika</t>
  </si>
  <si>
    <t>B078JDNZJ8</t>
  </si>
  <si>
    <t>Havells Instanio 3-Litre Instant</t>
  </si>
  <si>
    <t>Amazon Customer,Lucky,Pranav</t>
  </si>
  <si>
    <t>B01M5F614J</t>
  </si>
  <si>
    <t>Morphy Richards OFR Room</t>
  </si>
  <si>
    <t>S Y,Budhi</t>
  </si>
  <si>
    <t>B083GKDRKR</t>
  </si>
  <si>
    <t>Havells Aqua Plus 1.2</t>
  </si>
  <si>
    <t>neeraj vashisht,Krunal</t>
  </si>
  <si>
    <t>B097R2V1W8</t>
  </si>
  <si>
    <t>Bajaj Splendora 3 Litre</t>
  </si>
  <si>
    <t>Pranesh, Chennai,Pushp</t>
  </si>
  <si>
    <t>B07YR26BJ3</t>
  </si>
  <si>
    <t>KENT 16052 Elegant Electric</t>
  </si>
  <si>
    <t>manoj tanwar,Ravi</t>
  </si>
  <si>
    <t>B097R45BH8</t>
  </si>
  <si>
    <t>Bajaj New Shakti Neo</t>
  </si>
  <si>
    <t>Arijit,RED DEVIL,Nirab,Ritesh</t>
  </si>
  <si>
    <t>B09X5C9VLK</t>
  </si>
  <si>
    <t>Lifelong LLMG23 Power Pro</t>
  </si>
  <si>
    <t>shardendu dwivedi,JAYDEB</t>
  </si>
  <si>
    <t>B01C8P29T4</t>
  </si>
  <si>
    <t>Bajaj Majesty DX-11 1000W</t>
  </si>
  <si>
    <t>Suri Babu,Sumedha</t>
  </si>
  <si>
    <t>B00HVXS7WC</t>
  </si>
  <si>
    <t>Bajaj Rex 500W Mixer</t>
  </si>
  <si>
    <t>Mithila Saha,Satyam</t>
  </si>
  <si>
    <t>B096YCN3SD</t>
  </si>
  <si>
    <t>Lifelong LLEK15 Electric Kettle</t>
  </si>
  <si>
    <t>Kiran jot,Salman</t>
  </si>
  <si>
    <t>B09LQH3SD9</t>
  </si>
  <si>
    <t>Lifelong LLQH922 Regalia 800</t>
  </si>
  <si>
    <t>divya,priyanka sahi,vivek</t>
  </si>
  <si>
    <t>B09KNMLH4Y</t>
  </si>
  <si>
    <t>R B Nova Lint/Fabric</t>
  </si>
  <si>
    <t>Amazon Customer,Mannat</t>
  </si>
  <si>
    <t>B00ABMASXG</t>
  </si>
  <si>
    <t>Bajaj Immersion Rod Water</t>
  </si>
  <si>
    <t>RAMEN MONDAL,Goutam,Suraj</t>
  </si>
  <si>
    <t>B07QDSN9V6</t>
  </si>
  <si>
    <t>INALSA Electric Kettle 1.5</t>
  </si>
  <si>
    <t>Vikash ranjan,SHIV</t>
  </si>
  <si>
    <t>B00YMJ0OI8</t>
  </si>
  <si>
    <t>Prestige PIC 20 1600</t>
  </si>
  <si>
    <t>Swapnil Mane,vinoth,Saravana</t>
  </si>
  <si>
    <t>B0B8XNPQPN</t>
  </si>
  <si>
    <t>Pigeon Healthifry Digital Air</t>
  </si>
  <si>
    <t>koustav,Vishal Tiwari,Waheeda</t>
  </si>
  <si>
    <t>B0814P4L98</t>
  </si>
  <si>
    <t>PrettyKrafts Laundry Basket for</t>
  </si>
  <si>
    <t>Sachin Ramola,GIRIDHAR,Neha</t>
  </si>
  <si>
    <t>B008QTK47Q</t>
  </si>
  <si>
    <t>Philips GC1905 1440-Watt Steam</t>
  </si>
  <si>
    <t>Neeraj Vishwakarma,âš¡</t>
  </si>
  <si>
    <t>B088ZTJT2R</t>
  </si>
  <si>
    <t>Havells Immersion HB15 1500</t>
  </si>
  <si>
    <t>L B,Ashwin</t>
  </si>
  <si>
    <t>B0BK1K598K</t>
  </si>
  <si>
    <t>AGARO LR2007 Lint Remover,</t>
  </si>
  <si>
    <t>Nirupma Kumari,Abhijeet</t>
  </si>
  <si>
    <t>B09Y5FZK9N</t>
  </si>
  <si>
    <t>Pigeon 1.5 litre Hot</t>
  </si>
  <si>
    <t>Amresh Tiwari,Amazon</t>
  </si>
  <si>
    <t>B09J2SCVQT</t>
  </si>
  <si>
    <t>NutriPro Juicer Mixer Grinder</t>
  </si>
  <si>
    <t>dharshnaselvan,Saiashwanth.M,Dr. Arshi</t>
  </si>
  <si>
    <t>B00TDD0YM4</t>
  </si>
  <si>
    <t>Philips GC026/30 Fabric Shaver,</t>
  </si>
  <si>
    <t>manmeet gupta,Ishrat</t>
  </si>
  <si>
    <t>B078KRFWQB</t>
  </si>
  <si>
    <t>Havells Cista Room Heater,</t>
  </si>
  <si>
    <t>Vipin Arora,TKR</t>
  </si>
  <si>
    <t>B07SRM58TP</t>
  </si>
  <si>
    <t>AGARO Regal 800 Watts</t>
  </si>
  <si>
    <t>Rajesh kumar,Shuchi,Vishal</t>
  </si>
  <si>
    <t>B00EDJJ7FS</t>
  </si>
  <si>
    <t>Philips Viva Collection HD4928/01</t>
  </si>
  <si>
    <t>Icu,Pavish,Krrish kumar,Vit</t>
  </si>
  <si>
    <t>B0832W3B7Q</t>
  </si>
  <si>
    <t>Pigeon By Stovekraft ABS</t>
  </si>
  <si>
    <t>Arun siddharth</t>
  </si>
  <si>
    <t>B07WNK1FFN</t>
  </si>
  <si>
    <t>AGARO Esteem Multi Kettle</t>
  </si>
  <si>
    <t>videv,Vishal Rai,Dawood,arfaat,Mohit</t>
  </si>
  <si>
    <t>B009P2LK08</t>
  </si>
  <si>
    <t>Bajaj Minor 1000 Watts</t>
  </si>
  <si>
    <t>ANIL. KUMAR,Rohit</t>
  </si>
  <si>
    <t>B07DGD4Z4C</t>
  </si>
  <si>
    <t>Butterfly Jet Elite Mixer</t>
  </si>
  <si>
    <t>Lakshminarayana G,bhanu,shah,Pavan</t>
  </si>
  <si>
    <t>B07GMFY9QM</t>
  </si>
  <si>
    <t>SOFLIN Egg Boiler Electric</t>
  </si>
  <si>
    <t>Sivakrishna,Anish kanneboina,Amazon</t>
  </si>
  <si>
    <t>B0BGPN4GGH</t>
  </si>
  <si>
    <t>Lifelong LLQH925 Dyno Quartz</t>
  </si>
  <si>
    <t>Avi kaur,Bhatia,ayonao</t>
  </si>
  <si>
    <t>B0B2DZ5S6R</t>
  </si>
  <si>
    <t>Amazon Basics 1500 W</t>
  </si>
  <si>
    <t>Shaji Kuruvilla,Navin</t>
  </si>
  <si>
    <t>B07S851WX5</t>
  </si>
  <si>
    <t>Prestige Sandwich Maker PGMFD</t>
  </si>
  <si>
    <t>Liz M,Dr.</t>
  </si>
  <si>
    <t>B01MY839VW</t>
  </si>
  <si>
    <t>Orient Electric Fabrijoy DIFJ10BP</t>
  </si>
  <si>
    <t>Hariom,Kali,Ajay Patil,Reddy</t>
  </si>
  <si>
    <t>B09LV1CMGH</t>
  </si>
  <si>
    <t>Lifelong LLFH921 Regalia 2000</t>
  </si>
  <si>
    <t>Usha,CHHATRPAL,Anurag Anand,Sijo</t>
  </si>
  <si>
    <t>B01EY310UM</t>
  </si>
  <si>
    <t>Philips GC181 Heavy Weight</t>
  </si>
  <si>
    <t>BISHAL,khizer,Sowmya N</t>
  </si>
  <si>
    <t>B09NL7LBWT</t>
  </si>
  <si>
    <t>Bulfyss USB Rechargeable Lint</t>
  </si>
  <si>
    <t>Ishan,Andrew Watson,Harvinder</t>
  </si>
  <si>
    <t>B008YW8M0G</t>
  </si>
  <si>
    <t>Bajaj DX-7 1000W Dry</t>
  </si>
  <si>
    <t>Phani Prasad</t>
  </si>
  <si>
    <t>B097R3XH9R</t>
  </si>
  <si>
    <t>Ram Avtar,Ishani</t>
  </si>
  <si>
    <t>B08TM71L54</t>
  </si>
  <si>
    <t>PHILIPS Handheld Garment Steamer</t>
  </si>
  <si>
    <t>SANDEEP BANNAJJI,Preeti</t>
  </si>
  <si>
    <t>B0BPBXNQQT</t>
  </si>
  <si>
    <t>Room Heater Warmer Wall-Outlet</t>
  </si>
  <si>
    <t>Rajiv Ranjan</t>
  </si>
  <si>
    <t>B00W56GLOQ</t>
  </si>
  <si>
    <t>Wonderchef Nutri-blend Mixer, Grinder</t>
  </si>
  <si>
    <t>Abhilash Sengupta,Shweta</t>
  </si>
  <si>
    <t>B0883KDSXC</t>
  </si>
  <si>
    <t>USHA Armor AR1100WB 1100</t>
  </si>
  <si>
    <t>Aravind,Akshay,Bhola,Shaik Ashif,yudhishtar</t>
  </si>
  <si>
    <t>B078V8R9BS</t>
  </si>
  <si>
    <t>Butterfly EKN 1.5-Litre Electric</t>
  </si>
  <si>
    <t>ll,Vishal,Sheeba jayaraj,Anil,Amazon</t>
  </si>
  <si>
    <t>B08GSQXLJ2</t>
  </si>
  <si>
    <t>Crompton Arno Neo 15-L</t>
  </si>
  <si>
    <t>Ocean,JD,SHIVAM SINGH,Kunal</t>
  </si>
  <si>
    <t>B01M5B0TPW</t>
  </si>
  <si>
    <t>Borosil Chef Delite BCH20DBB21</t>
  </si>
  <si>
    <t>hufriya kavarana,Manjula,Jood</t>
  </si>
  <si>
    <t>B082KVTRW8</t>
  </si>
  <si>
    <t>KENT 16055 Amaze Cool</t>
  </si>
  <si>
    <t>Madhuri Khanolkar,Chandan,Viveka</t>
  </si>
  <si>
    <t>B08CFJBZRK</t>
  </si>
  <si>
    <t>Prestige IRIS Plus 750</t>
  </si>
  <si>
    <t>Amazon Customer,Priyanka</t>
  </si>
  <si>
    <t>B07H3WDC4X</t>
  </si>
  <si>
    <t>Simxen Egg Boiler Electric</t>
  </si>
  <si>
    <t>Atharva kambale,Ashitosh,thegoofyblock,rajan,tej@,Venkat</t>
  </si>
  <si>
    <t>B09ZTZ9N3Q</t>
  </si>
  <si>
    <t>Amazon Basics 2000/1000 Watt</t>
  </si>
  <si>
    <t>Kulsoom Hussain,Hanamant</t>
  </si>
  <si>
    <t>B083P71WKK</t>
  </si>
  <si>
    <t>HealthSense Weight Machine for</t>
  </si>
  <si>
    <t>SELVA velayutham,Mohamed</t>
  </si>
  <si>
    <t>B097R4D42G</t>
  </si>
  <si>
    <t>alok tripathi,Aakash,Pankaj,Debjyoti</t>
  </si>
  <si>
    <t>B07MKMFKPG</t>
  </si>
  <si>
    <t>Bosch Pro 1000W Mixer</t>
  </si>
  <si>
    <t>ZenGirl,Athulya,Shrinivas C.,Sinduja,Bibek</t>
  </si>
  <si>
    <t>B0949FPSFY</t>
  </si>
  <si>
    <t>Bulfyss Stainless Steel Digital</t>
  </si>
  <si>
    <t>Prashant,Shailesh Rege,Robert,Amazon</t>
  </si>
  <si>
    <t>B08F47T4X5</t>
  </si>
  <si>
    <t>VR 18 Pcs -</t>
  </si>
  <si>
    <t>Prathiba R,Aishwarya,Jeevan</t>
  </si>
  <si>
    <t>B01M0505SJ</t>
  </si>
  <si>
    <t>Orient Electric Apex-FX 1200mm</t>
  </si>
  <si>
    <t>Md amzad</t>
  </si>
  <si>
    <t>B08D6RCM3Q</t>
  </si>
  <si>
    <t>PrettyKrafts Folding Laundry Basket</t>
  </si>
  <si>
    <t>Ananya,Pooja Raj</t>
  </si>
  <si>
    <t>B009P2LITG</t>
  </si>
  <si>
    <t>Bajaj Majesty RX11 2000</t>
  </si>
  <si>
    <t>Sathish Kumar,Babu</t>
  </si>
  <si>
    <t>B00V9NHDI4</t>
  </si>
  <si>
    <t>Eureka Forbes Trendy Zip</t>
  </si>
  <si>
    <t>vaneesha,Priyabrata Mallick,Parag</t>
  </si>
  <si>
    <t>B07WGPBXY9</t>
  </si>
  <si>
    <t>Pigeon by Stovekraft Quartz</t>
  </si>
  <si>
    <t>Robin,Manish Kumar</t>
  </si>
  <si>
    <t>B00KRCBA6E</t>
  </si>
  <si>
    <t>Maharaja Whiteline Lava Neo</t>
  </si>
  <si>
    <t>SURAJ VERMA,VRK,Anil</t>
  </si>
  <si>
    <t>B0B3X2BY3M</t>
  </si>
  <si>
    <t>Crompton Gracee 5-L Instant</t>
  </si>
  <si>
    <t>Vicky sahu,Abhay</t>
  </si>
  <si>
    <t>B00F159RIK</t>
  </si>
  <si>
    <t>Bajaj DX-2 600W Dry</t>
  </si>
  <si>
    <t>Deepak Kumar,Abhishesh</t>
  </si>
  <si>
    <t>B08MV82R99</t>
  </si>
  <si>
    <t>Bajaj Waterproof 1500 Watts</t>
  </si>
  <si>
    <t>Vivek Koushik,Dilavar</t>
  </si>
  <si>
    <t>B09VKWGZD7</t>
  </si>
  <si>
    <t>AGARO Supreme High Pressure</t>
  </si>
  <si>
    <t>Vikas Singh,Muhamed</t>
  </si>
  <si>
    <t>B009P2LK80</t>
  </si>
  <si>
    <t>Bajaj Deluxe 2000 Watts</t>
  </si>
  <si>
    <t>Samrat Singh,Raushan</t>
  </si>
  <si>
    <t>B00A7PLVU6</t>
  </si>
  <si>
    <t>Orpat HHB-100E WOB 250-Watt</t>
  </si>
  <si>
    <t>Monika kochhar,Mr.,Amazon</t>
  </si>
  <si>
    <t>B0B25DJ352</t>
  </si>
  <si>
    <t>GILTON Egg Boiler Electric</t>
  </si>
  <si>
    <t>Sneha W.,M</t>
  </si>
  <si>
    <t>B013B2WGT6</t>
  </si>
  <si>
    <t>HealthSense Chef-Mate KS 33</t>
  </si>
  <si>
    <t>Aditi,Minnaz Rehman,Sourabh</t>
  </si>
  <si>
    <t>B097RJ867P</t>
  </si>
  <si>
    <t>PHILIPS Digital Air Fryer</t>
  </si>
  <si>
    <t>Balaji,Parag Parashar,N</t>
  </si>
  <si>
    <t>B091V8HK8Z</t>
  </si>
  <si>
    <t>Milton Go Electro 2.0</t>
  </si>
  <si>
    <t>Raunak Kumar,Shubham</t>
  </si>
  <si>
    <t>B071VNHMX2</t>
  </si>
  <si>
    <t>Philips Daily Collection HD2582/00</t>
  </si>
  <si>
    <t>Joydeep Bhattacharjee,Harsha,Arun,Monotosh</t>
  </si>
  <si>
    <t>B08MVSGXMY</t>
  </si>
  <si>
    <t>Crompton Insta Comfy 800</t>
  </si>
  <si>
    <t>ARCHANA SINGH,Devendra</t>
  </si>
  <si>
    <t>B00H0B29DI</t>
  </si>
  <si>
    <t>USHA Heat Convector 812</t>
  </si>
  <si>
    <t>Bala J,Devasish,PRASAD</t>
  </si>
  <si>
    <t>B01GZSQJPA</t>
  </si>
  <si>
    <t>Philips HL7756/00 Mixer Grinder,</t>
  </si>
  <si>
    <t>TK Saha,Rajappa</t>
  </si>
  <si>
    <t>B08VGFX2B6</t>
  </si>
  <si>
    <t>Kuber Industries Waterproof Round</t>
  </si>
  <si>
    <t>niket,Priyasree,Ashwani Agarwal,utkarsh,rajani</t>
  </si>
  <si>
    <t>B09GYBZPHF</t>
  </si>
  <si>
    <t>Lifelong LLMG93 500 Watt</t>
  </si>
  <si>
    <t>ruhi a.,Kashish</t>
  </si>
  <si>
    <t>B0B4KPCBSH</t>
  </si>
  <si>
    <t>IKEA Frother for Milk</t>
  </si>
  <si>
    <t>Rohit,Panchami Menon,swati</t>
  </si>
  <si>
    <t>B09CGLY5CX</t>
  </si>
  <si>
    <t>Crompton Insta Comfort Heater</t>
  </si>
  <si>
    <t>NARENDRA A.,Utsha</t>
  </si>
  <si>
    <t>B09JN37WBX</t>
  </si>
  <si>
    <t>Lint Remover Woolen Clothes</t>
  </si>
  <si>
    <t>Kewal k.,SANCHIT</t>
  </si>
  <si>
    <t>B01I1LDZGA</t>
  </si>
  <si>
    <t>Pigeon Kessel Multipurpose Kettle</t>
  </si>
  <si>
    <t>Jyoti Dwivedi,Malav,Amazon</t>
  </si>
  <si>
    <t>B0BN2576GQ</t>
  </si>
  <si>
    <t>C</t>
  </si>
  <si>
    <t>Anjali,Zafirah k.</t>
  </si>
  <si>
    <t>B06XPYRWV5</t>
  </si>
  <si>
    <t>Pigeon by Stovekraft 2</t>
  </si>
  <si>
    <t>Partha Sen,Pooja</t>
  </si>
  <si>
    <t>B01N1XVVLC</t>
  </si>
  <si>
    <t>Bajaj OFR Room Heater,</t>
  </si>
  <si>
    <t>Annonymous,Sudhanshu Shekhar,Manish</t>
  </si>
  <si>
    <t>B00O2R38C4</t>
  </si>
  <si>
    <t>Luminous Vento Deluxe 150</t>
  </si>
  <si>
    <t>Aam Adami</t>
  </si>
  <si>
    <t>B0B2CZTCL2</t>
  </si>
  <si>
    <t>Wipro Vesta 1.8 litre</t>
  </si>
  <si>
    <t>Soorya,naveen,lexia Jacob,Nisha</t>
  </si>
  <si>
    <t>B00PVT30YI</t>
  </si>
  <si>
    <t>Kitchen Mart Stainless Steel</t>
  </si>
  <si>
    <t>Amazon Customer,meena</t>
  </si>
  <si>
    <t>B00SH18114</t>
  </si>
  <si>
    <t>Ikea 903.391.72 Polypropylene Plastic</t>
  </si>
  <si>
    <t>Dr. Balasubramanian</t>
  </si>
  <si>
    <t>B00E9G8KOY</t>
  </si>
  <si>
    <t>HUL Pureit Germkill kit</t>
  </si>
  <si>
    <t>Abha Rani,V</t>
  </si>
  <si>
    <t>B00H3H03Q4</t>
  </si>
  <si>
    <t>Suryaranjan S.,Gaurav</t>
  </si>
  <si>
    <t>B0756K5DYZ</t>
  </si>
  <si>
    <t>Prestige Iris 750 Watt</t>
  </si>
  <si>
    <t>Prabhat,Chandrika,Pramesh969,Prity,Amit Kumar,Rao,Sreekanth,SRIKRISHNA</t>
  </si>
  <si>
    <t>B0188KPKB2</t>
  </si>
  <si>
    <t>Preethi Blue Leaf Diamond</t>
  </si>
  <si>
    <t>Tan,Ramesh,Ramkumar,kavithava,Srinivasan Nk,RAMANJANEYULU,Parikshith,ARAVINTH</t>
  </si>
  <si>
    <t>B091KNVNS9</t>
  </si>
  <si>
    <t>Themisto 350 Watts Egg</t>
  </si>
  <si>
    <t>Ekambaram,Gaurav K</t>
  </si>
  <si>
    <t>B075JJ5NQC</t>
  </si>
  <si>
    <t>Butterfly Smart Mixer Grinder,</t>
  </si>
  <si>
    <t>K Ramesh,MCS</t>
  </si>
  <si>
    <t>B0B5KZ3C53</t>
  </si>
  <si>
    <t>KENT Smart Multi Cooker</t>
  </si>
  <si>
    <t>manisha,Suryakant,Uttam Kumar</t>
  </si>
  <si>
    <t>B09NTHQRW3</t>
  </si>
  <si>
    <t>InstaCuppa Portable Blender for</t>
  </si>
  <si>
    <t>MEWT,Amazon Customer,Pratibha</t>
  </si>
  <si>
    <t>B008YW3CYM</t>
  </si>
  <si>
    <t>USHA EI 1602 1000</t>
  </si>
  <si>
    <t>Rohit Dudeja,Md</t>
  </si>
  <si>
    <t>B07QHHCB27</t>
  </si>
  <si>
    <t>KENT 16044 Hand Blender</t>
  </si>
  <si>
    <t>Pooja,Mahaaveer Refrigeration</t>
  </si>
  <si>
    <t>B0BMFD94VD</t>
  </si>
  <si>
    <t>White Feather Portable Heat</t>
  </si>
  <si>
    <t>Raj Patel,Malvika</t>
  </si>
  <si>
    <t>B00HZIOGXW</t>
  </si>
  <si>
    <t>Crompton IHL 152 1500-Watt</t>
  </si>
  <si>
    <t>Ashish,Veni,subbarao,srinivaas kandula,Karthik,venugopal,Swapnil,Dhinesh</t>
  </si>
  <si>
    <t>B09CKSYBLR</t>
  </si>
  <si>
    <t>InstaCuppa Rechargeable Mini Electric</t>
  </si>
  <si>
    <t>Priyanka Das,Rohini,ArunKumar,Jayanth,Sk,Avinash</t>
  </si>
  <si>
    <t>B072J83V9W</t>
  </si>
  <si>
    <t>Philips PowerPro FC9352/01 Compact</t>
  </si>
  <si>
    <t>âš¡ Pushpendra</t>
  </si>
  <si>
    <t>B09MTLG4TP</t>
  </si>
  <si>
    <t>SAIELLIN Electric Lint Remover</t>
  </si>
  <si>
    <t>Shiv Kumar</t>
  </si>
  <si>
    <t>B097XJQZ8H</t>
  </si>
  <si>
    <t>Cookwell Bullet Mixer Grinder</t>
  </si>
  <si>
    <t>gowtham saran,Nanu</t>
  </si>
  <si>
    <t>B00935MD1C</t>
  </si>
  <si>
    <t>Prestige PRWO 1.8-2 700-Watts</t>
  </si>
  <si>
    <t>Rakesh,revathireddy,Pyarasani Sai</t>
  </si>
  <si>
    <t>B0BR4F878Q</t>
  </si>
  <si>
    <t>Swiffer Instant Electric Water</t>
  </si>
  <si>
    <t>Yogita g.,Amazon</t>
  </si>
  <si>
    <t>B0B3G5XZN5</t>
  </si>
  <si>
    <t>santosh,Dhaya sekar,JS</t>
  </si>
  <si>
    <t>B07WKB69RS</t>
  </si>
  <si>
    <t>Lifelong LLWH106 Flash 3</t>
  </si>
  <si>
    <t>Shreya Saxena,Asish</t>
  </si>
  <si>
    <t>B09DL9978Y</t>
  </si>
  <si>
    <t>Hindware Atlantic Compacto 3</t>
  </si>
  <si>
    <t>Vikram Chesetty,SUBHENDU</t>
  </si>
  <si>
    <t>B06XMZV7RH</t>
  </si>
  <si>
    <t>ATOM Selves-MH 200 GM</t>
  </si>
  <si>
    <t>kanwar Singh,Vipul,Bsanju,Chiranjeevi,S,Devang.Gadgil,Nilesh</t>
  </si>
  <si>
    <t>B09WMTJPG7</t>
  </si>
  <si>
    <t>Crompton InstaBliss 3-L Instant</t>
  </si>
  <si>
    <t>Rahul,Calorie HNT</t>
  </si>
  <si>
    <t>B09ZK6THRR</t>
  </si>
  <si>
    <t>Croma 1100 W Dry</t>
  </si>
  <si>
    <t>Rohan Bhosale,Shaileshmhatre,GIRISH</t>
  </si>
  <si>
    <t>B07MP21WJD</t>
  </si>
  <si>
    <t>Lint Roller with 40</t>
  </si>
  <si>
    <t>Durga Prasadu,Anindita,Amazon</t>
  </si>
  <si>
    <t>B09XB1R2F3</t>
  </si>
  <si>
    <t>Portable Lint Remover Pet</t>
  </si>
  <si>
    <t>Priya Tewari,Siddharth,Amazon</t>
  </si>
  <si>
    <t>B08Y5QJXSR</t>
  </si>
  <si>
    <t>atomberg Renesa 1200mm BLDC</t>
  </si>
  <si>
    <t>Vayun,Vidhate Jitendra</t>
  </si>
  <si>
    <t>B07WJXCTG9</t>
  </si>
  <si>
    <t>R.Ravinder,Tejinder,Santosh dixit,Raju</t>
  </si>
  <si>
    <t>B09NBZ36F7</t>
  </si>
  <si>
    <t>Usha CookJoy</t>
  </si>
  <si>
    <t>Smithil,Abhishek,Amit Sharma,Ram</t>
  </si>
  <si>
    <t>B0912WJ87V</t>
  </si>
  <si>
    <t>Reffair AX30 [MAX] Portable</t>
  </si>
  <si>
    <t>Arivazhagan,Ajit,swanand pandit,Venkatesh</t>
  </si>
  <si>
    <t>B0BMTZ4T1D</t>
  </si>
  <si>
    <t>!!1000 Watt/2000-Watt Room Heater!!</t>
  </si>
  <si>
    <t>Neha Gupta,Abhay,sumit</t>
  </si>
  <si>
    <t>B07Z51CGGH</t>
  </si>
  <si>
    <t>Eureka Forbes Wet &amp;</t>
  </si>
  <si>
    <t>Samson,Manish T,SWAROOP,Gaurav</t>
  </si>
  <si>
    <t>B0BDG6QDYD</t>
  </si>
  <si>
    <t>Activa Heat-Max 2000 Watts</t>
  </si>
  <si>
    <t>SARAN,vandana,HEENA Shekhawat,ayush,Sanjoy</t>
  </si>
  <si>
    <t>B00YQLG7GK</t>
  </si>
  <si>
    <t>PHILIPS HL1655/00 Hand Blender,</t>
  </si>
  <si>
    <t>Swathi,Amazon Customer,Chethan</t>
  </si>
  <si>
    <t>B00SMJPA9C</t>
  </si>
  <si>
    <t>Akash,Girish y</t>
  </si>
  <si>
    <t>B0B9RN5X8B</t>
  </si>
  <si>
    <t>V-Guard Zio Instant Water</t>
  </si>
  <si>
    <t>Vivek,Sai hari,Shekhar</t>
  </si>
  <si>
    <t>B08QW937WV</t>
  </si>
  <si>
    <t>Homeistic Applienceâ„¢ Instant Electric</t>
  </si>
  <si>
    <t>tarun,RITUPARNA BANERJEE,Akshay</t>
  </si>
  <si>
    <t>B0B4PPD89B</t>
  </si>
  <si>
    <t>Kitchenwell 18Pc Plastic Food</t>
  </si>
  <si>
    <t>Naitik Parekh,Nerthi,RDP,Anu</t>
  </si>
  <si>
    <t>B08GM5S4CQ</t>
  </si>
  <si>
    <t>Havells Instanio 10 Litre</t>
  </si>
  <si>
    <t>Amazon Customer,Gaurav,khalil</t>
  </si>
  <si>
    <t>B00NM6MO26</t>
  </si>
  <si>
    <t>Prestige PIC 16.0+ 1900W</t>
  </si>
  <si>
    <t>Ulhas,Rabi Dash,p</t>
  </si>
  <si>
    <t>B083M7WPZD</t>
  </si>
  <si>
    <t>AGARO 33398 Rapid 1000-Watt,</t>
  </si>
  <si>
    <t>Amandeep singh,GIREESH</t>
  </si>
  <si>
    <t>B07GLSKXS1</t>
  </si>
  <si>
    <t>KENT 16026 Electric Kettle</t>
  </si>
  <si>
    <t>Rattan Lal</t>
  </si>
  <si>
    <t>B09F6KL23R</t>
  </si>
  <si>
    <t>SKYTONE Stainless Steel Electric</t>
  </si>
  <si>
    <t>Shahnawaz khan,Amazon</t>
  </si>
  <si>
    <t>B094G9L9LT</t>
  </si>
  <si>
    <t>KENT 16088 Vogue Electric</t>
  </si>
  <si>
    <t>Alpana Das,Pj,Seema,Shailendra</t>
  </si>
  <si>
    <t>B09FZ89DK6</t>
  </si>
  <si>
    <t>Eureka Forbes Supervac 1600</t>
  </si>
  <si>
    <t>9848023076,Parimala,ajay kumar</t>
  </si>
  <si>
    <t>B0811VCGL5</t>
  </si>
  <si>
    <t>Mi Air Purifier 3</t>
  </si>
  <si>
    <t>Anon,KNReddy,sooraj m</t>
  </si>
  <si>
    <t>B07FXLC2G2</t>
  </si>
  <si>
    <t>Tata Swach Bulb 6000-Litre</t>
  </si>
  <si>
    <t>Mahesh Thakur,NAGESWARA</t>
  </si>
  <si>
    <t>B01LYU3BZF</t>
  </si>
  <si>
    <t>Havells Ambrose 1200mm Ceiling</t>
  </si>
  <si>
    <t>Rahul Miranda,Hemant</t>
  </si>
  <si>
    <t>B083RC4WFJ</t>
  </si>
  <si>
    <t>PrettyKrafts Laundry Bag /</t>
  </si>
  <si>
    <t>Nidha,PRAKASHA T</t>
  </si>
  <si>
    <t>B09SFRNKSR</t>
  </si>
  <si>
    <t>FABWARE Lint Remover for</t>
  </si>
  <si>
    <t>Amisha Nath,Sanjeev</t>
  </si>
  <si>
    <t>B07NRTCDS5</t>
  </si>
  <si>
    <t>Brayden Fito Atom Rechargeable</t>
  </si>
  <si>
    <t>Nasim shaikh,Senthil</t>
  </si>
  <si>
    <t>B07SPVMSC6</t>
  </si>
  <si>
    <t>Bajaj Frore 1200 mm</t>
  </si>
  <si>
    <t>Shahul hameed,Bhaumik,Amjith</t>
  </si>
  <si>
    <t>B09H3BXWTK</t>
  </si>
  <si>
    <t>Venus Digital Kitchen Weighing</t>
  </si>
  <si>
    <t>Krishnakumar,Yuvraj Patil,Avani</t>
  </si>
  <si>
    <t>B0073QGKAS</t>
  </si>
  <si>
    <t>Bajaj ATX 4 750-Watt</t>
  </si>
  <si>
    <t>Aisha,Gourav,Riya Halder,Karishma</t>
  </si>
  <si>
    <t>B08GJ57MKL</t>
  </si>
  <si>
    <t>Coway Professional Air Purifier</t>
  </si>
  <si>
    <t>Dhatwalia,Tahir Abdulla,Surya</t>
  </si>
  <si>
    <t>B009DA69W6</t>
  </si>
  <si>
    <t>KENT Gold Optima Gravity</t>
  </si>
  <si>
    <t>Dharmender Sharma,Sheba</t>
  </si>
  <si>
    <t>B099PR2GQJ</t>
  </si>
  <si>
    <t>HOMEPACK 750W Radiant Room</t>
  </si>
  <si>
    <t>Ravi,Dee,Amazon Consumer,Indian</t>
  </si>
  <si>
    <t>B08G8H8DPL</t>
  </si>
  <si>
    <t>Bajaj Rex 750W Mixer</t>
  </si>
  <si>
    <t>deepak jha,Amazon</t>
  </si>
  <si>
    <t>B08VGM3YMF</t>
  </si>
  <si>
    <t>Heart Home Waterproof Round</t>
  </si>
  <si>
    <t>Ms Subba,Surinder</t>
  </si>
  <si>
    <t>B08TTRVWKY</t>
  </si>
  <si>
    <t>MILTON Smart Egg Boiler</t>
  </si>
  <si>
    <t>Tapan Dutta,Seerat</t>
  </si>
  <si>
    <t>B07T4D9FNY</t>
  </si>
  <si>
    <t>iBELL SEK15L Premium 1.5</t>
  </si>
  <si>
    <t>Shravan,Sachin Aggarwal,Gyanesh</t>
  </si>
  <si>
    <t>B07RX42D3D</t>
  </si>
  <si>
    <t>Tosaa T2STSR Sandwich Gas</t>
  </si>
  <si>
    <t>Amazon Customer,Bhaskar</t>
  </si>
  <si>
    <t>B08WRKSF9D</t>
  </si>
  <si>
    <t>V-Guard Divino 5 Star</t>
  </si>
  <si>
    <t>Rahul,Rajit,Aman (AJ),vijay,Kailash</t>
  </si>
  <si>
    <t>B09R83SFYV</t>
  </si>
  <si>
    <t>AkiaraÂ® - Makes life</t>
  </si>
  <si>
    <t>Ponnuri Gopie</t>
  </si>
  <si>
    <t>B07989VV5K</t>
  </si>
  <si>
    <t>Usha Steam Pro SI</t>
  </si>
  <si>
    <t>Gulshan,Rajendra Prasad</t>
  </si>
  <si>
    <t>B07FL3WRX5</t>
  </si>
  <si>
    <t>Wonderchef Nutri-blend Complete Kitchen</t>
  </si>
  <si>
    <t>Priti jain,Burhanuddin</t>
  </si>
  <si>
    <t>B0BPCJM7TB</t>
  </si>
  <si>
    <t>WIDEWINGS Electric Handheld Milk</t>
  </si>
  <si>
    <t>Priti Sharma,ramya,Aman,ShashankVerma,Ved,Sushree,Sameer,UMANG</t>
  </si>
  <si>
    <t>B08H673XKN</t>
  </si>
  <si>
    <t>Morphy Richards Icon Superb</t>
  </si>
  <si>
    <t>vignesh,Rajesh Babar,BASANT,Shweta,Randomsurfer,PRAKASH</t>
  </si>
  <si>
    <t>B07DXRGWDJ</t>
  </si>
  <si>
    <t>Philips Handheld Garment Steamer</t>
  </si>
  <si>
    <t>Amit Khiwal,Purple,devi</t>
  </si>
  <si>
    <t>B08243SKCK</t>
  </si>
  <si>
    <t>Vedini Transparent Empty Refillable</t>
  </si>
  <si>
    <t>Ruhi Mir,Arup</t>
  </si>
  <si>
    <t>B09SPTNG58</t>
  </si>
  <si>
    <t>Crompton Sea Sapphira 1200</t>
  </si>
  <si>
    <t>Mahenddhra,Pavan Sisode,Archana</t>
  </si>
  <si>
    <t>B083J64CBB</t>
  </si>
  <si>
    <t>Kuber Industries Waterproof Canvas</t>
  </si>
  <si>
    <t>SUNIL KUMAR</t>
  </si>
  <si>
    <t>B08JV91JTK</t>
  </si>
  <si>
    <t>JM SELLER 180 W</t>
  </si>
  <si>
    <t>S.Anbarasan,Nazimali,vijay shankar,Amazon</t>
  </si>
  <si>
    <t>B0BQ3K23Y1</t>
  </si>
  <si>
    <t>Oratech Coffee Frother electric,</t>
  </si>
  <si>
    <t>Amazon Customer,Neha</t>
  </si>
  <si>
    <t>B09MT94QLL</t>
  </si>
  <si>
    <t>Havells Glaze 74W Pearl</t>
  </si>
  <si>
    <t>I am</t>
  </si>
  <si>
    <t>B07NKNBTT3</t>
  </si>
  <si>
    <t>Pick Ur NeedsÂ® Lint</t>
  </si>
  <si>
    <t>Lipsy Mohapatra,Ajeet,Amazon</t>
  </si>
  <si>
    <t>B09KPXTZXN</t>
  </si>
  <si>
    <t>Rico Japanese Technology Rechargeable</t>
  </si>
  <si>
    <t>sharad shedge,Srushti</t>
  </si>
  <si>
    <t>B078HG2ZPS</t>
  </si>
  <si>
    <t>Butterfly Smart Wet Grinder,</t>
  </si>
  <si>
    <t>JAYAPRAKASH P,Avinash,V</t>
  </si>
  <si>
    <t>B07N2MGB3G</t>
  </si>
  <si>
    <t>AGARO Marvel 9 Liters</t>
  </si>
  <si>
    <t>Shubhajeet D.,Aswin</t>
  </si>
  <si>
    <t>B008LN8KDM</t>
  </si>
  <si>
    <t>Philips GC1920/28 1440-Watt Non-Stick</t>
  </si>
  <si>
    <t>Aditya Tapkir,Veee,rajesh,Rayhan</t>
  </si>
  <si>
    <t>B08MZNT7GP</t>
  </si>
  <si>
    <t>Havells OFR 13 Wave</t>
  </si>
  <si>
    <t>Ajay,Amazon Customer,Shubham</t>
  </si>
  <si>
    <t>B009P2L7CO</t>
  </si>
  <si>
    <t>Bajaj DHX-9 1000W Heavy</t>
  </si>
  <si>
    <t>Tanveer,SARATHRAJ,Amazon Customer,Manivasagam</t>
  </si>
  <si>
    <t>B07YC8JHMB</t>
  </si>
  <si>
    <t>Aquasure From Aquaguard Amaze</t>
  </si>
  <si>
    <t>Sandesh,Sowmya,Madhu,NIKHIL BANSAL,Amar</t>
  </si>
  <si>
    <t>B0BNQMF152</t>
  </si>
  <si>
    <t>ROYAL STEP Portable Electric</t>
  </si>
  <si>
    <t>Naveen,SURIYA PRAKASH.D,Thanga</t>
  </si>
  <si>
    <t>B08J7VCT12</t>
  </si>
  <si>
    <t>KENT 16068 Zoom Vacuum</t>
  </si>
  <si>
    <t>tamilarasi,shwetha murthy,Srilaxmi</t>
  </si>
  <si>
    <t>B0989W6J2F</t>
  </si>
  <si>
    <t>ENEM Sealing Machine |</t>
  </si>
  <si>
    <t>Learning always,Saideepak,R</t>
  </si>
  <si>
    <t>B0B84KSH3X</t>
  </si>
  <si>
    <t>Wipro Vesta 1200 Watt</t>
  </si>
  <si>
    <t>S.saravanan,Mukesh,sanjay kumar,Khadar</t>
  </si>
  <si>
    <t>B08HLC7Z3G</t>
  </si>
  <si>
    <t>Inalsa Electric Kettle Prism</t>
  </si>
  <si>
    <t>Vikram das,SANJAY,Sanjeev,Neelu</t>
  </si>
  <si>
    <t>B0BN6M3TCM</t>
  </si>
  <si>
    <t>VRPRIME Lint Roller Lint</t>
  </si>
  <si>
    <t>Kindle Customer,Naval</t>
  </si>
  <si>
    <t>B01L6MT7E0</t>
  </si>
  <si>
    <t>Philips AC1215/20 Air purifier,</t>
  </si>
  <si>
    <t>Tushar A.,Indu</t>
  </si>
  <si>
    <t>B0B9F9PT8R</t>
  </si>
  <si>
    <t>Eopora PTC Ceramic Fast</t>
  </si>
  <si>
    <t>alok tripathi,Ashish</t>
  </si>
  <si>
    <t>B0883LQJ6B</t>
  </si>
  <si>
    <t>Usha Goliath GO1200WG Heavy</t>
  </si>
  <si>
    <t>Subanathan,Vaibhav.Vichare,Naveen Kumar,Prosanta</t>
  </si>
  <si>
    <t>B099Z83VRC</t>
  </si>
  <si>
    <t>Wipro Vesta Electric Egg</t>
  </si>
  <si>
    <t>Adwait Kulkarni,Divya</t>
  </si>
  <si>
    <t>B00S9BSJC8</t>
  </si>
  <si>
    <t>Philips Viva Collection HR1832/00</t>
  </si>
  <si>
    <t>manian,surjeet,ANUPAM BHASIN,Capt</t>
  </si>
  <si>
    <t>B0B4SJKRDF</t>
  </si>
  <si>
    <t>Kitchenwell Multipurpose Portable Electronic</t>
  </si>
  <si>
    <t>Dinesh,Rajesh Thakur,Kiran</t>
  </si>
  <si>
    <t>B0BM4KTNL1</t>
  </si>
  <si>
    <t>FIGMENT Handheld Milk Frother</t>
  </si>
  <si>
    <t>123MovieTime,Ravneet S.,Akash,Mohd</t>
  </si>
  <si>
    <t>B08S6RKT4L</t>
  </si>
  <si>
    <t>Balzano High Speed Nutri</t>
  </si>
  <si>
    <t>Trusted User,Pardeep</t>
  </si>
  <si>
    <t>B09SZ5TWHW</t>
  </si>
  <si>
    <t>Swiss Military VC03 Wireless</t>
  </si>
  <si>
    <t>Axis Web</t>
  </si>
  <si>
    <t>B0BLC2BYPX</t>
  </si>
  <si>
    <t>Zuvexa USB Rechargeable Electric</t>
  </si>
  <si>
    <t>shammi,Rippy Mittal,Kabeer,Kush,Vani</t>
  </si>
  <si>
    <t>B00P0R95EA</t>
  </si>
  <si>
    <t>Usha IH2415 1500-Watt Immersion</t>
  </si>
  <si>
    <t>Durgaprasad g.,S</t>
  </si>
  <si>
    <t>B07W4HTS8Q</t>
  </si>
  <si>
    <t>ACTIVA Instant 3 LTR</t>
  </si>
  <si>
    <t>Gajendra Kumar</t>
  </si>
  <si>
    <t>B078JBK4GX</t>
  </si>
  <si>
    <t>Havells Instanio 1-Litre 3KW</t>
  </si>
  <si>
    <t>Dev Shah,Amazon</t>
  </si>
  <si>
    <t>B08S7V8YTN</t>
  </si>
  <si>
    <t>Lifelong 2-in1 Egg Boiler</t>
  </si>
  <si>
    <t>Virjesh,Manish Soni,MUKESH</t>
  </si>
  <si>
    <t>B07H5PBN54</t>
  </si>
  <si>
    <t>INDIASÂ®â„¢ Electro-Instant Water Geyser</t>
  </si>
  <si>
    <t>SATENDRA SAINI,AKSHAY</t>
  </si>
  <si>
    <t>B07YCBSCYB</t>
  </si>
  <si>
    <t>AmazonBasics Induction Cooktop 1600</t>
  </si>
  <si>
    <t>Amazon Customer,Ishtiyaq</t>
  </si>
  <si>
    <t>B098T9CJVQ</t>
  </si>
  <si>
    <t>Sui Generis Electric Handheld</t>
  </si>
  <si>
    <t>Syed sarfarazuddin,Chetanya</t>
  </si>
  <si>
    <t>B01KCSGBU2</t>
  </si>
  <si>
    <t>Philips Air Purifier Ac2887/20,Vitashield</t>
  </si>
  <si>
    <t>Prasad Kulasekar,Griswold,Balasubramanyam,Akshay,Amazon</t>
  </si>
  <si>
    <t>B095XCRDQW</t>
  </si>
  <si>
    <t>Esquire Laundry Basket Brown,</t>
  </si>
  <si>
    <t>Vysh,Suryakanth raju,VP,Ashi,Amazon</t>
  </si>
  <si>
    <t>B09CTWFV5W</t>
  </si>
  <si>
    <t>PHILIPS Air Fryer HD9200/90,</t>
  </si>
  <si>
    <t>Gopal Krishan,mubarak,Don</t>
  </si>
  <si>
    <t>B0B7NWGXS6</t>
  </si>
  <si>
    <t>Havells Bero Quartz Heater</t>
  </si>
  <si>
    <t>Amit Sood,Tarun</t>
  </si>
  <si>
    <t>B07DZ986Q2</t>
  </si>
  <si>
    <t>Philips EasyTouch Plus Standing</t>
  </si>
  <si>
    <t>Q,VINU R.,Biswajit</t>
  </si>
  <si>
    <t>B07KKJPTWB</t>
  </si>
  <si>
    <t>Brayden Chopro, Electric Vegetable</t>
  </si>
  <si>
    <t>Sri,Abhijith Prasanna,Sandeep,Amazon</t>
  </si>
  <si>
    <t>B071R3LHFM</t>
  </si>
  <si>
    <t>Rachna,KAILASH MANDAL,Jasmeen</t>
  </si>
  <si>
    <t>B086X18Q71</t>
  </si>
  <si>
    <t>Usha Janome Dream Stitch</t>
  </si>
  <si>
    <t>S K</t>
  </si>
  <si>
    <t>B07WVQG8WZ</t>
  </si>
  <si>
    <t>Black+Decker Handheld Portable Garment</t>
  </si>
  <si>
    <t>Nadeem,Viral,ankit agarwal,Amazon</t>
  </si>
  <si>
    <t>B0BFBNXS94</t>
  </si>
  <si>
    <t>Personal Size Blender, Portable</t>
  </si>
  <si>
    <t>Manya,Been,Podili Parasuram,Rejoy</t>
  </si>
  <si>
    <t>B071113J7M</t>
  </si>
  <si>
    <t>Sujata Powermatic Plus 900</t>
  </si>
  <si>
    <t>Nadia,Narinder Kumar,Rakesh</t>
  </si>
  <si>
    <t>B09YLWT89W</t>
  </si>
  <si>
    <t>Sure From Aquaguard Delight</t>
  </si>
  <si>
    <t>Sharfuddin Baba</t>
  </si>
  <si>
    <t>B0814LP6S9</t>
  </si>
  <si>
    <t>XYZ,Bhanu,Lalitha,Alex Christopher,Jeet,Wendy,Dkthr3,Vidya</t>
  </si>
  <si>
    <t>B07BKSSDR2</t>
  </si>
  <si>
    <t>Dr Trust Electronic Kitchen</t>
  </si>
  <si>
    <t>Jagdeep,imtiaz dhalech,Simple</t>
  </si>
  <si>
    <t>B09VGS66FV</t>
  </si>
  <si>
    <t>Tesora - Inspired by</t>
  </si>
  <si>
    <t>Aliahmed Khan,Pankaj</t>
  </si>
  <si>
    <t>B07RCGTZ4M</t>
  </si>
  <si>
    <t>AGARO Ace 1600 Watts,</t>
  </si>
  <si>
    <t>devadas,Dharmesh Soneta,Raghu</t>
  </si>
  <si>
    <t>B0747VDH9L</t>
  </si>
  <si>
    <t>INALSA Hand Blender 1000</t>
  </si>
  <si>
    <t>AngelðŸ‘¼,Neha Faizee,Amazon</t>
  </si>
  <si>
    <t>B08XLR6DSB</t>
  </si>
  <si>
    <t>akiara - Makes life</t>
  </si>
  <si>
    <t>Kavya jain,Divya,Anushree,User,rahul</t>
  </si>
  <si>
    <t>B08H6CZSHT</t>
  </si>
  <si>
    <t>Philips EasySpeed Plus Steam</t>
  </si>
  <si>
    <t>M L.,SIVAKUMAR,Sriram,Kalpana</t>
  </si>
  <si>
    <t>B07CVR2L5K</t>
  </si>
  <si>
    <t>INALSA Electric Chopper Bullet-</t>
  </si>
  <si>
    <t>ajaydreamer,Tinu Ravi</t>
  </si>
  <si>
    <t>B09J4YQYX3</t>
  </si>
  <si>
    <t>Borosil Electric Egg Boiler,</t>
  </si>
  <si>
    <t>Renu,matthew thomas,Chandrakanth</t>
  </si>
  <si>
    <t>B0B2DD8BQ8</t>
  </si>
  <si>
    <t>Wipro Vesta Grill 1000</t>
  </si>
  <si>
    <t>Vaibhav G.,Archana</t>
  </si>
  <si>
    <t>B0123P3PWE</t>
  </si>
  <si>
    <t>Rico IRPRO 1500 Watt</t>
  </si>
  <si>
    <t>MANEESH Jaggari,Vishal</t>
  </si>
  <si>
    <t>B08HDCWDXD</t>
  </si>
  <si>
    <t>Eureka Forbes Active Clean</t>
  </si>
  <si>
    <t>shiny,Placeholder,Karunakar,Veena rastogi,Chetan</t>
  </si>
  <si>
    <t>B0836JGZ74</t>
  </si>
  <si>
    <t>CSI INTERNATIONALÂ® Instant Water</t>
  </si>
  <si>
    <t>Customer,Krishnendu halder,product</t>
  </si>
  <si>
    <t>B0BCKJJN8R</t>
  </si>
  <si>
    <t>Hindware Atlantic Xceed 5L</t>
  </si>
  <si>
    <t>ABC user,Abhishek</t>
  </si>
  <si>
    <t>B008P7IF02</t>
  </si>
  <si>
    <t>Morphy Richards New Europa</t>
  </si>
  <si>
    <t>Manish Holla,SuperPlayer117,Sudeepmirza,Amba</t>
  </si>
  <si>
    <t>B08CNLYKW5</t>
  </si>
  <si>
    <t>Lifelong Power - Pro</t>
  </si>
  <si>
    <t>Lachhu Tejwani,Suaeb</t>
  </si>
  <si>
    <t>B08C7TYHPB</t>
  </si>
  <si>
    <t>iBELL Castor CTEK15L Premium</t>
  </si>
  <si>
    <t>Rahul chauhan,Satyam</t>
  </si>
  <si>
    <t>B08VJFYH6N</t>
  </si>
  <si>
    <t>BAJAJ PYGMY MINI 110</t>
  </si>
  <si>
    <t>Chesin Cherian,sheela</t>
  </si>
  <si>
    <t>B08235JZFB</t>
  </si>
  <si>
    <t>Crompton InstaGlide 1000-Watts Dry</t>
  </si>
  <si>
    <t>Yogesh,Ashok,raja,Debabrata Das,Pushkar</t>
  </si>
  <si>
    <t>B078XFKBZL</t>
  </si>
  <si>
    <t>Prestige Clean Home Water</t>
  </si>
  <si>
    <t>Chittaranjan Gantayat,Raja</t>
  </si>
  <si>
    <t>B01M265AAK</t>
  </si>
  <si>
    <t>Morphy Richards Aristo 2000</t>
  </si>
  <si>
    <t>Rajeev M,Lakhan</t>
  </si>
  <si>
    <t>B0B694PXQJ</t>
  </si>
  <si>
    <t>Gadgetronics Digital Kitchen Weighing</t>
  </si>
  <si>
    <t>Reena Rodrigues.,Placeholder,Adil,Srinath</t>
  </si>
  <si>
    <t>B00B3VFJY2</t>
  </si>
  <si>
    <t>Amazon Customer,James</t>
  </si>
  <si>
    <t>B08W9BK4MD</t>
  </si>
  <si>
    <t>Tom &amp; Jerry Folding</t>
  </si>
  <si>
    <t>asha chatri,Amazon</t>
  </si>
  <si>
    <t>B09X5HD5T1</t>
  </si>
  <si>
    <t>Ikea Little Loved Corner</t>
  </si>
  <si>
    <t>bharath,Naveen manikandan,Garima</t>
  </si>
  <si>
    <t>B08H6B3G96</t>
  </si>
  <si>
    <t>Khush,Vivek Chengappa</t>
  </si>
  <si>
    <t>B09N3BFP4M</t>
  </si>
  <si>
    <t>Lokesh Shukla,Srini</t>
  </si>
  <si>
    <t>B09DSQXCM8</t>
  </si>
  <si>
    <t>House of Quirk Reusable</t>
  </si>
  <si>
    <t>ANILKUMAR,Sudeep Jain,siri</t>
  </si>
  <si>
    <t>B01M69WCZ6</t>
  </si>
  <si>
    <t>Allin Exporters J66 Ultrasonic</t>
  </si>
  <si>
    <t>Anshuk Pani,Sujit,Neeraj,M</t>
  </si>
  <si>
    <t>B0BM9H2NY9</t>
  </si>
  <si>
    <t>Multifunctional 2 in 1</t>
  </si>
  <si>
    <t>Nitin G.,Veerasomachary,Roshan,Kunwar</t>
  </si>
  <si>
    <t>B099FDW2ZF</t>
  </si>
  <si>
    <t>Maharaja Whiteline Nano Carbon</t>
  </si>
  <si>
    <t>AV,Amazon Customer,Navneet</t>
  </si>
  <si>
    <t>B0B935YNR7</t>
  </si>
  <si>
    <t>KENT Electric Chopper-B for</t>
  </si>
  <si>
    <t>Amazon Customer,Anurag</t>
  </si>
  <si>
    <t>B07JGCGNDG</t>
  </si>
  <si>
    <t>Crompton Amica 15-L 5</t>
  </si>
  <si>
    <t>Aryan Raj</t>
  </si>
  <si>
    <t>B08L12N5H1</t>
  </si>
  <si>
    <t>Eureka Forbes car Vac</t>
  </si>
  <si>
    <t>|</t>
  </si>
  <si>
    <t>Divya,Dr Nefario,Deekshith,Preeti,Prasanth</t>
  </si>
  <si>
    <t>B07GWTWFS2</t>
  </si>
  <si>
    <t>KENT 16025 Sandwich Grill</t>
  </si>
  <si>
    <t>Tabassum,Ark,AMIT GROVER,-,deshraj</t>
  </si>
  <si>
    <t>B09KRHXTLN</t>
  </si>
  <si>
    <t>Candes Gloster All in</t>
  </si>
  <si>
    <t>ASIF ANSARI,Amazon</t>
  </si>
  <si>
    <t>B09H34V36W</t>
  </si>
  <si>
    <t>Inalsa Electric Fan Heater</t>
  </si>
  <si>
    <t>Alok Vajpayee,Amazon</t>
  </si>
  <si>
    <t>B09J2QCKKM</t>
  </si>
  <si>
    <t>Havells Zella Flap Auto</t>
  </si>
  <si>
    <t>Jignesh malvi,Garry,sonu,Amazon</t>
  </si>
  <si>
    <t>B09XRBJ94N</t>
  </si>
  <si>
    <t>iBELL SM1301 3-in-1 Sandwich</t>
  </si>
  <si>
    <t>Srishty,Somesh Bandopadhyay,sowjanya,pritamsharma,Jaseyfiroz,Basanth</t>
  </si>
  <si>
    <t>B07SLNG3LW</t>
  </si>
  <si>
    <t>Inalsa Vacuum Cleaner Wet</t>
  </si>
  <si>
    <t>Sunny Senpai,Prashant,chetna,Surendran,Harisha,Raju</t>
  </si>
  <si>
    <t>B0BNDGL26T</t>
  </si>
  <si>
    <t>MR. BRAND Portable USB</t>
  </si>
  <si>
    <t>Yashvant Gote,Nargis</t>
  </si>
  <si>
    <t>B095PWLLY6</t>
  </si>
  <si>
    <t>Crompton Hill Briz Deco</t>
  </si>
  <si>
    <t>David,Pujeshwar Sharma,Abhishek,U</t>
  </si>
  <si>
    <t>B07Y9PY6Y1</t>
  </si>
  <si>
    <t>Sujata Powermatic Plus, Juicer</t>
  </si>
  <si>
    <t>Arjun A,shwetha</t>
  </si>
  <si>
    <t>B0BJ966M5K</t>
  </si>
  <si>
    <t>Aquadpure Copper + Mineral</t>
  </si>
  <si>
    <t>Manish Mehekare,Rajesh,Nitesh</t>
  </si>
  <si>
    <t>B086GVRP63</t>
  </si>
  <si>
    <t>Amazon Basics 650 Watt</t>
  </si>
  <si>
    <t>Subhajit Sadhu,Indrajit</t>
  </si>
  <si>
    <t>B08MVXPTDG</t>
  </si>
  <si>
    <t>Crompton Insta Delight Fan</t>
  </si>
  <si>
    <t>Kanwar Singh,mukesh</t>
  </si>
  <si>
    <t>B0BMZ6SY89</t>
  </si>
  <si>
    <t>!!HANEUL!!1000 Watt/2000-Watt Room Heater!!</t>
  </si>
  <si>
    <t>Vivek,Amazon Customer,Kundan,Rajan</t>
  </si>
  <si>
    <t>B09P1MFKG1</t>
  </si>
  <si>
    <t>Melbon VM-905 2000-Watt Room</t>
  </si>
  <si>
    <t>Chanchal Gurjar,Shyam,Lalit</t>
  </si>
  <si>
    <t>B01LY9W8AF</t>
  </si>
  <si>
    <t>Cello Eliza Plastic Laundry</t>
  </si>
  <si>
    <t>Amit Singh,RN,Madhuri,SHUKDEB</t>
  </si>
  <si>
    <t>B07ZJND9B9</t>
  </si>
  <si>
    <t>ACTIVA 1200 MM HIGH</t>
  </si>
  <si>
    <t>Ravi,Pasala Eswararao,Verified</t>
  </si>
  <si>
    <t>B0B2CWRDB1</t>
  </si>
  <si>
    <t>Shakti Technology S5 High</t>
  </si>
  <si>
    <t>Ravinder kumar,Ashok,tejas,seema,HARSHVARDHAN,Shubham</t>
  </si>
  <si>
    <t>B072NCN9M4</t>
  </si>
  <si>
    <t>AMERICAN MICRONIC- Imported Wet</t>
  </si>
  <si>
    <t>A.sh,Jp,Junaid Yaseen,Maya</t>
  </si>
  <si>
    <t>B08SKZ2RMG</t>
  </si>
  <si>
    <t>Demokrazy New Nova Lint</t>
  </si>
  <si>
    <t>vipin,Bhavana Rangarajan,Raj,Dimple</t>
  </si>
  <si>
    <t>B0B53DS4TF</t>
  </si>
  <si>
    <t>Instant Pot Air Fryer,</t>
  </si>
  <si>
    <t>nikhil,Rituja Ray,Prasan</t>
  </si>
  <si>
    <t>B08BJN4MP3</t>
  </si>
  <si>
    <t>HUL Pureit Eco Water</t>
  </si>
  <si>
    <t>vaibhav anand,Debendra</t>
  </si>
  <si>
    <t>B0BCYQY9X5</t>
  </si>
  <si>
    <t>Livpure Glo Star RO+UV+UF+Mineraliser</t>
  </si>
  <si>
    <t>Amazon Customer,Ushanandhini</t>
  </si>
  <si>
    <t>B009UORDX4</t>
  </si>
  <si>
    <t>Philips Hi113 1000-Watt Plastic</t>
  </si>
  <si>
    <t>Bharath,Yuvraj Mane,Aruna</t>
  </si>
  <si>
    <t>B08VGDBF3B</t>
  </si>
  <si>
    <t>Kuber Industries Round Non</t>
  </si>
  <si>
    <t>9640185788,Piyush Mishra,Vickie,Sakshi</t>
  </si>
  <si>
    <t>B012ELCYUG</t>
  </si>
  <si>
    <t>Preethi MGA-502 0.4-Litre Grind</t>
  </si>
  <si>
    <t>Sunil Khandagale,Shamim,HARI.M,Malini,Kusal</t>
  </si>
  <si>
    <t>B07S9M8YTY</t>
  </si>
  <si>
    <t>Usha Aurora 1000 W</t>
  </si>
  <si>
    <t>Sachin Sahu,Arpita</t>
  </si>
  <si>
    <t>B0B19VJXQZ</t>
  </si>
  <si>
    <t>ECOVACS DEEBOT N8 2-in-1</t>
  </si>
  <si>
    <t>Jaydeep,Jayakrishnan R</t>
  </si>
  <si>
    <t>B00SMFPJG0</t>
  </si>
  <si>
    <t>Kent Gold, Optima, Gold+</t>
  </si>
  <si>
    <t>Shivraj,Subham,yedukondalu,MOHD MOHSIN,Jagdish</t>
  </si>
  <si>
    <t>B0BHYLCL19</t>
  </si>
  <si>
    <t>AVNISH Tap Water Purifier</t>
  </si>
  <si>
    <t>Vasanta Koli,Vaibhav</t>
  </si>
  <si>
    <t>B0BPJBTB3F</t>
  </si>
  <si>
    <t>Khaitan ORFin Fan heater</t>
  </si>
  <si>
    <t>Manidipa Sengupta,Vidisha</t>
  </si>
  <si>
    <t>B08MXJYB2V</t>
  </si>
  <si>
    <t>USHA RapidMix 500-Watt Copper</t>
  </si>
  <si>
    <t>PK,Manigandan K,Monu</t>
  </si>
  <si>
    <t>B081B1JL35</t>
  </si>
  <si>
    <t>Dhamotharan,SHEIK UMAR</t>
  </si>
  <si>
    <t>B09VL9KFDB</t>
  </si>
  <si>
    <t>Havells Gatik Neo 400mm</t>
  </si>
  <si>
    <t>Surya,Amazon Customer,Amazgon</t>
  </si>
  <si>
    <t>B0B1MDZV9C</t>
  </si>
  <si>
    <t>INALSA Upright Vacuum Cleaner,</t>
  </si>
  <si>
    <t>Vishnu S.</t>
  </si>
  <si>
    <t>B08TT63N58</t>
  </si>
  <si>
    <t>ROYAL STEP - AMAZON'S</t>
  </si>
  <si>
    <t>B08YK7BBD2</t>
  </si>
  <si>
    <t>Nirdambhay Mini Bag Sealer,</t>
  </si>
  <si>
    <t>Ritika,ABHISHEK U.,Bhavika,Rekha</t>
  </si>
  <si>
    <t>B07YQ5SN4H</t>
  </si>
  <si>
    <t>Cello Non-Stick Aluminium Sandwich</t>
  </si>
  <si>
    <t>deepika chaturvedi,Rishu,SKG,sachin</t>
  </si>
  <si>
    <t>B0B7FJNSZR</t>
  </si>
  <si>
    <t>ProvenÂ® Copper + Mineral</t>
  </si>
  <si>
    <t>Bobby,Arunkumar,aditya,sanket,srinivasa m,Sandy,Pradeep</t>
  </si>
  <si>
    <t>B01N6IJG0F</t>
  </si>
  <si>
    <t>Morphy Richards Daisy 1000W</t>
  </si>
  <si>
    <t>Gopal Bhakat,AJIT</t>
  </si>
  <si>
    <t>B0B84QN4CN</t>
  </si>
  <si>
    <t>Aniket Chudnaik,Wasimraja,Rahul</t>
  </si>
  <si>
    <t>B0B8ZM9RVV</t>
  </si>
  <si>
    <t>Zuvexa Egg Boiler Poacher</t>
  </si>
  <si>
    <t>Nishant sharma,E</t>
  </si>
  <si>
    <t>B01892MIPA</t>
  </si>
  <si>
    <t>AO Smith HSE-VAS-X-015 Storage</t>
  </si>
  <si>
    <t>VINAY,uday patil,Amazon</t>
  </si>
  <si>
    <t>B08ZHYNTM1</t>
  </si>
  <si>
    <t>Havells Festiva 1200mm Dust</t>
  </si>
  <si>
    <t>Sheetal Satish,Vipul</t>
  </si>
  <si>
    <t>B09SDDQQKP</t>
  </si>
  <si>
    <t>INALSA Vaccum Cleaner Handheld</t>
  </si>
  <si>
    <t>prem chand,Avishek</t>
  </si>
  <si>
    <t>B0B5RP43VN</t>
  </si>
  <si>
    <t>iBELL SM1515NEW Sandwich Maker</t>
  </si>
  <si>
    <t>Shiva,Saurabh vats,Gaurav</t>
  </si>
  <si>
    <t>B096NTB9XT</t>
  </si>
  <si>
    <t>Aquaguard Aura RO+UV+UF+Taste Adjuster</t>
  </si>
  <si>
    <t>Shivang,Renu S,Balaram</t>
  </si>
  <si>
    <t>B078JF6X9B</t>
  </si>
  <si>
    <t>Havells Instanio 3-Litre 4.5KW</t>
  </si>
  <si>
    <t>Kindle Customer,rajni,JYOTI</t>
  </si>
  <si>
    <t>B08CGW4GYR</t>
  </si>
  <si>
    <t>Milk Frother, Immersion Blender</t>
  </si>
  <si>
    <t>Nipurn Ruhela,Shalini</t>
  </si>
  <si>
    <t>B00A328ENA</t>
  </si>
  <si>
    <t>Panasonic SR-WA22H</t>
  </si>
  <si>
    <t>Aniruddha biswas,Manoj</t>
  </si>
  <si>
    <t>B0763K5HLQ</t>
  </si>
  <si>
    <t>InstaCuppa Milk Frother for</t>
  </si>
  <si>
    <t>Anshika Verma,Dippy,Mitesh</t>
  </si>
  <si>
    <t>B09PDZNSBG</t>
  </si>
  <si>
    <t>Goodscity Garment Steamer for</t>
  </si>
  <si>
    <t>NIKITA,Amazon Customer,Ankita</t>
  </si>
  <si>
    <t>B085LPT5F4</t>
  </si>
  <si>
    <t>Solidaire 550-Watt Mixer Grinder</t>
  </si>
  <si>
    <t>Mukta Khan,mal</t>
  </si>
  <si>
    <t>B0B9RZ4G4W</t>
  </si>
  <si>
    <t>Amazon Basics 300 W</t>
  </si>
  <si>
    <t>JASWANTSINGH,Vedant Joshi,Subanathan,NARENDRA</t>
  </si>
  <si>
    <t>B0085W2MUQ</t>
  </si>
  <si>
    <t>Orpat HHB-100E 250-Watt Hand</t>
  </si>
  <si>
    <t>Boo,Jeevan Kumar,Shivam</t>
  </si>
  <si>
    <t>B09474JWN6</t>
  </si>
  <si>
    <t>HealthSense Rechargeable Lint Remover</t>
  </si>
  <si>
    <t>GB SLG,Jemin,Ashwini</t>
  </si>
  <si>
    <t>B09G2VTHQM</t>
  </si>
  <si>
    <t>AGARO Classic Portable Yogurt</t>
  </si>
  <si>
    <t>Hem,Anya,Deepak Roy,ASHUTOSH</t>
  </si>
  <si>
    <t>B07R679HTT</t>
  </si>
  <si>
    <t>AGARO Imperial 240-Watt Slow</t>
  </si>
  <si>
    <t>Karan Singh,Sajan</t>
  </si>
  <si>
    <t>B00B7GKXMG</t>
  </si>
  <si>
    <t>Wipro Smartlife Super Deluxe</t>
  </si>
  <si>
    <t>manjula,Rishi Kumar</t>
  </si>
  <si>
    <t>B07H3N8RJH</t>
  </si>
  <si>
    <t>AmazonBasics Cylinder Bagless Vacuum</t>
  </si>
  <si>
    <t>Liliput99,umamaheswaran,Alina,Prasanthi,Amazon Customer,Nissam</t>
  </si>
  <si>
    <t>B07K2HVKLL</t>
  </si>
  <si>
    <t>Crompton IHL 251 1500-Watt</t>
  </si>
  <si>
    <t>Nikhil Kumar</t>
  </si>
  <si>
    <t>B09MQ9PDHR</t>
  </si>
  <si>
    <t>SaiEllin Room Heater For</t>
  </si>
  <si>
    <t>Manish kumar,Randh,Vijay</t>
  </si>
  <si>
    <t>B014HDJ7ZE</t>
  </si>
  <si>
    <t>Bajaj Majesty Duetto Gas</t>
  </si>
  <si>
    <t>jaydeep barad,Amazon</t>
  </si>
  <si>
    <t>B07D2NMTTV</t>
  </si>
  <si>
    <t>Black + Decker BD</t>
  </si>
  <si>
    <t>Sivaraman S,V</t>
  </si>
  <si>
    <t>B075K76YW1</t>
  </si>
  <si>
    <t>Inalsa Hand Blender| Hand</t>
  </si>
  <si>
    <t>Placeholder,V P.,sanjay,Amazon</t>
  </si>
  <si>
    <t>B0BNLFQDG2</t>
  </si>
  <si>
    <t>Longway Blaze 2 Rod</t>
  </si>
  <si>
    <t>Amit,Chahat Goyal,Gurpiyar</t>
  </si>
  <si>
    <t>B082ZQ4479</t>
  </si>
  <si>
    <t>Prestige PWG 07 Wet</t>
  </si>
  <si>
    <t>Vinod,Gopinath,ravi,Pooja,Kamlesh B.,Anand</t>
  </si>
  <si>
    <t>B09Y358DZQ</t>
  </si>
  <si>
    <t>Pigeon Zest Mixer Grinder</t>
  </si>
  <si>
    <t>Srishti Agraharrie,Priya,Amazon</t>
  </si>
  <si>
    <t>B09M3F4HGB</t>
  </si>
  <si>
    <t>Borosil Volcano 13 Fin</t>
  </si>
  <si>
    <t>Vivi nyuthe,Amazon</t>
  </si>
  <si>
    <t>B07VZH6ZBB</t>
  </si>
  <si>
    <t>Crompton Solarium Qube 15-L</t>
  </si>
  <si>
    <t>Anuj Dhingra</t>
  </si>
  <si>
    <t>B07F366Z51</t>
  </si>
  <si>
    <t>Singer Aroma 1.8 Liter</t>
  </si>
  <si>
    <t>s_ray77,SUJAN MISTRY,Pankaj,Durga,FAROOQ,jyoti</t>
  </si>
  <si>
    <t>B077BTLQ67</t>
  </si>
  <si>
    <t>Orient Electric Aura Neo</t>
  </si>
  <si>
    <t>srikanthmk,Prashant,Aashish M.,Pramesh,PrashantM777,Vajrapu</t>
  </si>
  <si>
    <t>B07YSJ7FF1</t>
  </si>
  <si>
    <t>Crompton Brio 1000-Watts Dry</t>
  </si>
  <si>
    <t>Lakshmi d.,vishal</t>
  </si>
  <si>
    <t>B07TXCY3YK</t>
  </si>
  <si>
    <t>Butterfly Hero Mixer Grinder,</t>
  </si>
  <si>
    <t>E.GURUBARAN,Hemanth Kumar,rangaraj</t>
  </si>
  <si>
    <t>B07TC9F7PN</t>
  </si>
  <si>
    <t>Racold Eterno Pro 25L</t>
  </si>
  <si>
    <t>Ritu,sudhir ranjan,Rashmi</t>
  </si>
  <si>
    <t>B09NS5TKPN</t>
  </si>
  <si>
    <t>LG 1.5 Ton 5</t>
  </si>
  <si>
    <t>ABHISHEK KUMAR,Nageswar,Denzil,krushna,Brijesh</t>
  </si>
  <si>
    <t>B00LP9RFSU</t>
  </si>
  <si>
    <t>Eureka Forbes Aquasure Amrit</t>
  </si>
  <si>
    <t>dr. sunil,Fayaz</t>
  </si>
  <si>
    <t>B0B7L86YCB</t>
  </si>
  <si>
    <t>Green Tales Heat Seal</t>
  </si>
  <si>
    <t>Navin thawani,Amazon</t>
  </si>
  <si>
    <t>B09VPH38JS</t>
  </si>
  <si>
    <t>SaleOn Instant Coal Heater</t>
  </si>
  <si>
    <t>Sheila Araujo,Rajeev.</t>
  </si>
  <si>
    <t>B01MUAUOCX</t>
  </si>
  <si>
    <t>Sujata Chutney Steel Jar,</t>
  </si>
  <si>
    <t>Amazon Customer,Neeraj</t>
  </si>
  <si>
    <t>B09MB3DKG1</t>
  </si>
  <si>
    <t>KHAITAN AVAANTE KA-2013 1200</t>
  </si>
  <si>
    <t>Amazon Customer,sunil,pankaj</t>
  </si>
  <si>
    <t>B08QHLXWV3</t>
  </si>
  <si>
    <t>Kenstar 2400 Watts 9</t>
  </si>
  <si>
    <t>Svblue,Tushar Srivastava,SHREESH</t>
  </si>
  <si>
    <t>B07G147SZD</t>
  </si>
  <si>
    <t>NEXOMS Instant Heating Water</t>
  </si>
  <si>
    <t>Asha Saraswat,Gopal</t>
  </si>
  <si>
    <t>B09LH32678</t>
  </si>
  <si>
    <t>JIALTO Mini Waffle Maker</t>
  </si>
  <si>
    <t>Aftab mulani,Chirag</t>
  </si>
  <si>
    <t>B09R1YFL6S</t>
  </si>
  <si>
    <t>Candes BlowHot All in</t>
  </si>
  <si>
    <t>Akash Yadav,Philip</t>
  </si>
  <si>
    <t>B07Q4NJQC5</t>
  </si>
  <si>
    <t>Ionix Jewellery Scale |</t>
  </si>
  <si>
    <t>Vikas kabra,Joel</t>
  </si>
  <si>
    <t>B097RN7BBK</t>
  </si>
  <si>
    <t>Kitchen Kit Electric Kettle,</t>
  </si>
  <si>
    <t>Vijay sharma,Jaidwal,akshay</t>
  </si>
  <si>
    <t>B097MKZHNV</t>
  </si>
  <si>
    <t>Racold Pronto Pro 3Litres</t>
  </si>
  <si>
    <t>Dr Yashaswi</t>
  </si>
  <si>
    <t>B07LG96SDB</t>
  </si>
  <si>
    <t>ESN 999 Supreme Quality</t>
  </si>
  <si>
    <t>Amazon Customer,kapil</t>
  </si>
  <si>
    <t>B08KS2KQTK</t>
  </si>
  <si>
    <t>PajakaÂ® South Indian Filter</t>
  </si>
  <si>
    <t>Rajnish Sood,Amazon</t>
  </si>
  <si>
    <t>B095K14P86</t>
  </si>
  <si>
    <t>Saiyam Stainless Steel Espresso</t>
  </si>
  <si>
    <t>Sudhirw,seshu P,Sunil</t>
  </si>
  <si>
    <t>B08K36NZSV</t>
  </si>
  <si>
    <t>KONVIO NEER 10 Inch</t>
  </si>
  <si>
    <t>Himasrivastava,Pawan Dalal,Yeshwant</t>
  </si>
  <si>
    <t>B07LDPLSZC</t>
  </si>
  <si>
    <t>Havells Glydo 1000 watt</t>
  </si>
  <si>
    <t>Swati Chaudhari,Anil</t>
  </si>
  <si>
    <t>B07F1T31ZZ</t>
  </si>
  <si>
    <t>Raffles Premium Stainless Steel</t>
  </si>
  <si>
    <t>Gautam B.,Kabir</t>
  </si>
  <si>
    <t>B0BNDRK886</t>
  </si>
  <si>
    <t>IONIX Activated Carbon Faucet</t>
  </si>
  <si>
    <t>Buyer (Name</t>
  </si>
  <si>
    <t>B09ZVJXN5L</t>
  </si>
  <si>
    <t>KNYUC MART Mini Electric</t>
  </si>
  <si>
    <t>Karthikeyan J,Nitin</t>
  </si>
  <si>
    <t>B08JKPVDKL</t>
  </si>
  <si>
    <t>INKULTURE Stainless_Steel Measuring Cups</t>
  </si>
  <si>
    <t>Naina,SuperSandy,Ranjini k,Lalatendu,Deepak</t>
  </si>
  <si>
    <t>B09JFR8H3Q</t>
  </si>
  <si>
    <t>Macmillan Aquafresh 5 Micron</t>
  </si>
  <si>
    <t>Sudhakar Samuel,Sandeep</t>
  </si>
  <si>
    <t>B07LDN9Q2P</t>
  </si>
  <si>
    <t>Havells D'zire 1000 watt</t>
  </si>
  <si>
    <t>Sumit,Paresh Narola,Azharuddin,Jasmail</t>
  </si>
  <si>
    <t>B08T8KWNQ9</t>
  </si>
  <si>
    <t>TEâ„¢ Instant Electric Heating</t>
  </si>
  <si>
    <t>Amit,vedantika,gurpreet kaur,Md</t>
  </si>
  <si>
    <t>B07Y1RCCW5</t>
  </si>
  <si>
    <t>ZIGMA WinoteK WinoteK Sun</t>
  </si>
  <si>
    <t>Aashishnautiyal,Telangana venkatesh,Abbas</t>
  </si>
  <si>
    <t>B0762HXMTF</t>
  </si>
  <si>
    <t>KENT 11054 Alkaline Water</t>
  </si>
  <si>
    <t>Nikhilesh T.,Vishal</t>
  </si>
  <si>
    <t>B00K57MR22</t>
  </si>
  <si>
    <t>Sujata Dynamix DX Mixer</t>
  </si>
  <si>
    <t>Amazon Customer,Sai,Azim,john</t>
  </si>
  <si>
    <t>B07TTSS5MP</t>
  </si>
  <si>
    <t>Lifelong LLMG74 750 Watt</t>
  </si>
  <si>
    <t>mirza f.,P</t>
  </si>
  <si>
    <t>B09ZDVL7L8</t>
  </si>
  <si>
    <t>TTK Prestige Limited Orion</t>
  </si>
  <si>
    <t>B09XHXXCFH</t>
  </si>
  <si>
    <t>AGARO Regal Electric Rice</t>
  </si>
  <si>
    <t>Pratik garg,Amazon</t>
  </si>
  <si>
    <t>B0BL3R4RGS</t>
  </si>
  <si>
    <t>VAPJAÂ® Portable Mini Juicer</t>
  </si>
  <si>
    <t>Dinesh,Anshika</t>
  </si>
  <si>
    <t>B07P1BR7L8</t>
  </si>
  <si>
    <t>Philips HD6975/00 25 Litre</t>
  </si>
  <si>
    <t>Imran Ahmed</t>
  </si>
  <si>
    <t>B078WB1VWJ</t>
  </si>
  <si>
    <t>Usha EI 3710 Heavy</t>
  </si>
  <si>
    <t>Gyani baba,Sunil,Sakethram,Nagarajunuti,Nitin,Himanshu</t>
  </si>
  <si>
    <t>B0BP89YBC1</t>
  </si>
  <si>
    <t>Campfire Spring Chef Prolix</t>
  </si>
  <si>
    <t>Srujan kumar,Sadhu</t>
  </si>
  <si>
    <t>B09W9V2PXG</t>
  </si>
  <si>
    <t>Themisto TH-WS20 Digital Kitchen</t>
  </si>
  <si>
    <t>Pierre Francis,Amazon</t>
  </si>
  <si>
    <t>B09XTQFFCG</t>
  </si>
  <si>
    <t>FYA Handheld Vacuum Cleaner</t>
  </si>
  <si>
    <t>Samsakthi2008,Hussain B.,Surendrasinh,Mitali</t>
  </si>
  <si>
    <t>B08LVVTGZK</t>
  </si>
  <si>
    <t>Lifelong LLSM120G Sandwich Griller</t>
  </si>
  <si>
    <t>vijay patel,Gopal</t>
  </si>
  <si>
    <t>B07J2BQZD6</t>
  </si>
  <si>
    <t>Kuber Industries Nylon Mesh</t>
  </si>
  <si>
    <t>MM,Tony Augustine,Pradeep,Priyanka.s,Amazon</t>
  </si>
  <si>
    <t>B07HK53XM4</t>
  </si>
  <si>
    <t>Bulfyss Plastic Sticky Lint</t>
  </si>
  <si>
    <t>Rahul Todur,MG,geeta,Nawang,Saff,philomon</t>
  </si>
  <si>
    <t>B08RDWBYCQ</t>
  </si>
  <si>
    <t>T TOPLINE 180 W</t>
  </si>
  <si>
    <t>sudesh h.,Debabrata</t>
  </si>
  <si>
    <t>B09FHHTL8L</t>
  </si>
  <si>
    <t>Empty Mist Trigger Plastic</t>
  </si>
  <si>
    <t>Aadhityaa,Arif H.,Rajesh,priyanka</t>
  </si>
  <si>
    <t>B0BHNHMR3H</t>
  </si>
  <si>
    <t>LONAXA Mini Travel Rechargeable</t>
  </si>
  <si>
    <t>Bindu,Rajat Biswas,Mulleti</t>
  </si>
  <si>
    <t>B07D8VBYB4</t>
  </si>
  <si>
    <t>SUJATA Powermatic Plus, Juicer</t>
  </si>
  <si>
    <t>Rajeev Lochan</t>
  </si>
  <si>
    <t>B0B3TBY2YX</t>
  </si>
  <si>
    <t>AGARO Royal Double Layered</t>
  </si>
  <si>
    <t>rhymerium,Samarjeet kaur,Amazon</t>
  </si>
  <si>
    <t>B088WCFPQF</t>
  </si>
  <si>
    <t>Cafe JEI French Press</t>
  </si>
  <si>
    <t>Deepak,Garuda,Shikha,Rajesh Manoharan,Gaurav,Chaitanya</t>
  </si>
  <si>
    <t>B07JZSG42Y</t>
  </si>
  <si>
    <t>Borosil Prime Grill Sandwich</t>
  </si>
  <si>
    <t>Ronish,Man Mohan</t>
  </si>
  <si>
    <t>B08YRMBK9R</t>
  </si>
  <si>
    <t>Candes 10 Litre Perfecto</t>
  </si>
  <si>
    <t>A H.,Amazon</t>
  </si>
  <si>
    <t>B00935MGHS</t>
  </si>
  <si>
    <t>Prestige PSMFB 800 Watt</t>
  </si>
  <si>
    <t>Jasmin Azzuhoor,Shreya,Avninder</t>
  </si>
  <si>
    <t>B07B5XJ572</t>
  </si>
  <si>
    <t>iBELL MPK120L Premium Stainless</t>
  </si>
  <si>
    <t>Santhosh,KR ARASU,Placeholder,Deepak</t>
  </si>
  <si>
    <t>B086199CWG</t>
  </si>
  <si>
    <t>Maharaja Whiteline Odacio Plus</t>
  </si>
  <si>
    <t>Sonu kumar</t>
  </si>
  <si>
    <t>B0BBWJFK5C</t>
  </si>
  <si>
    <t>Shakti Technology S3 High</t>
  </si>
  <si>
    <t>Ayush kumar</t>
  </si>
  <si>
    <t>B07GLS2563</t>
  </si>
  <si>
    <t>Cello Quick Boil Popular</t>
  </si>
  <si>
    <t>Priya S.,Aravinda</t>
  </si>
  <si>
    <t>B09P182Z2H</t>
  </si>
  <si>
    <t>AGARO Glory Cool Mist</t>
  </si>
  <si>
    <t>Vinesh,Jay Sah,krish,legends2k,Vijay</t>
  </si>
  <si>
    <t>B0B59K1C8F</t>
  </si>
  <si>
    <t>Wolpin 1 Lint Roller</t>
  </si>
  <si>
    <t>Vineeth,Gunjan garg,Gemini,Aleena</t>
  </si>
  <si>
    <t>B06Y36JKC3</t>
  </si>
  <si>
    <t>Abode Kitchen Essential Measuring</t>
  </si>
  <si>
    <t>Ateendra GN,Salim</t>
  </si>
  <si>
    <t>B075S9FVRY</t>
  </si>
  <si>
    <t>Sujata Supermix, Mixer Grinder,</t>
  </si>
  <si>
    <t>Ramaan Singh,Rajesh</t>
  </si>
  <si>
    <t>B08SJVD8QD</t>
  </si>
  <si>
    <t>CARDEX Digital Kitchen Weighing</t>
  </si>
  <si>
    <t>Hem Chand,MSA</t>
  </si>
  <si>
    <t>B07FJNNZCJ</t>
  </si>
  <si>
    <t>V-Guard Zenora RO+UF+MB Water</t>
  </si>
  <si>
    <t>Amazon Customer,Vasireddy</t>
  </si>
  <si>
    <t>B09MFR93KS</t>
  </si>
  <si>
    <t>Bajaj Rex DLX 750</t>
  </si>
  <si>
    <t>Ashish Mishra,PREM</t>
  </si>
  <si>
    <t>B07Y5FDPKV</t>
  </si>
  <si>
    <t>KENT 16051 Hand Blender</t>
  </si>
  <si>
    <t>Riya,Titika,dilbagh singh,Aiysha,Amazon</t>
  </si>
  <si>
    <t>B0756KCV5K</t>
  </si>
  <si>
    <t>Prestige PIC 15.0+ 1900-Watt</t>
  </si>
  <si>
    <t>ASHFAK KHAN,Uday,Amazon</t>
  </si>
  <si>
    <t>B0BJ6P3LSK</t>
  </si>
  <si>
    <t>Aqua d pure Active</t>
  </si>
  <si>
    <t>Satya Ghettem,Amazon</t>
  </si>
  <si>
    <t>B09HS1NDRQ</t>
  </si>
  <si>
    <t>PrettyKrafts Laundry Square Shape</t>
  </si>
  <si>
    <t>kishor kumar,Nitha</t>
  </si>
  <si>
    <t>B018SJJ0GE</t>
  </si>
  <si>
    <t>Libra Roti Maker Electric</t>
  </si>
  <si>
    <t>Esther newmai,Shravanti,Shikha,GOWTHAM</t>
  </si>
  <si>
    <t>B09FPP3R1D</t>
  </si>
  <si>
    <t>Glen 3 in 1</t>
  </si>
  <si>
    <t>chetan,Gurbakhshish s,abhikant,NIKHIL,Halima</t>
  </si>
  <si>
    <t>B01F7B2JCI</t>
  </si>
  <si>
    <t>Dynore Stainless Steel Set</t>
  </si>
  <si>
    <t>Nanki,Amazon Customer,Rishikesh,B.kiran,Anas,Meenal,Faheem,Partha</t>
  </si>
  <si>
    <t>B09NNZ1GF7</t>
  </si>
  <si>
    <t>Lint Remover For Clothes</t>
  </si>
  <si>
    <t>rahul,Kranti,Namrata Tokas,Farhana,Sudhir</t>
  </si>
  <si>
    <t>B01CS4A5V4</t>
  </si>
  <si>
    <t>Monitor AC Stand/Heavy Duty</t>
  </si>
  <si>
    <t>PRADEEP KUMAR,Vishal,B.Satyanarayana</t>
  </si>
  <si>
    <t>B0BL11S5QK</t>
  </si>
  <si>
    <t>iBELL Induction Cooktop, 2000W</t>
  </si>
  <si>
    <t>Anshu,Beena kumari,vijil</t>
  </si>
  <si>
    <t>B09BL2KHQW</t>
  </si>
  <si>
    <t>KENT POWP-Sediment Filter 10''</t>
  </si>
  <si>
    <t>Vasu P,KRISHNA</t>
  </si>
  <si>
    <t>B081RLM75M</t>
  </si>
  <si>
    <t>LACOPINE Mini Pocket Size</t>
  </si>
  <si>
    <t>Shalini A,Vishnu</t>
  </si>
  <si>
    <t>B07SYYVP69</t>
  </si>
  <si>
    <t>iBELL SEK170BM Premium Electric</t>
  </si>
  <si>
    <t>S@NU,Osama Ahmad,mukesh</t>
  </si>
  <si>
    <t>B0BDZWMGZ1</t>
  </si>
  <si>
    <t>Activa Easy Mix Nutri</t>
  </si>
  <si>
    <t>Poonam k.,K</t>
  </si>
  <si>
    <t>B078JT7LTD</t>
  </si>
  <si>
    <t>Sujata Dynamix, Mixer Grinder,</t>
  </si>
  <si>
    <t>Tengop,Jeevan Gaikwad,gunashekar,Vibha</t>
  </si>
  <si>
    <t>B09WF4Q7B3</t>
  </si>
  <si>
    <t>Wipro Vesta 1380W Cordless</t>
  </si>
  <si>
    <t>Sai,pallavi,Nibin BN,Suhas</t>
  </si>
  <si>
    <t>B092R48XXB</t>
  </si>
  <si>
    <t>Mi Robot Vacuum-Mop P,</t>
  </si>
  <si>
    <t>Vinit S.,Amazon</t>
  </si>
  <si>
    <t>B00KIDSU8S</t>
  </si>
  <si>
    <t>Havells Ventil Air DX</t>
  </si>
  <si>
    <t>A.D.PAUL &amp;</t>
  </si>
  <si>
    <t>B0977CGNJJ</t>
  </si>
  <si>
    <t>AGARO Royal Stand 1000W</t>
  </si>
  <si>
    <t>Sunil ashat,Amazon</t>
  </si>
  <si>
    <t>B08WWKM5HQ</t>
  </si>
  <si>
    <t>Crompton Highspeed Markle Prime</t>
  </si>
  <si>
    <t>Abhishek Dutta,Sai</t>
  </si>
  <si>
    <t>B015GX9Y0W</t>
  </si>
  <si>
    <t>Lifelong LLWM105 750-Watt Belgian</t>
  </si>
  <si>
    <t>Dattatray Jadhav,Amazon</t>
  </si>
  <si>
    <t>B089BDBDGM</t>
  </si>
  <si>
    <t>Vamsi,SASWATA CHAKRABORTY,nikitha.m</t>
  </si>
  <si>
    <t>B0BPBG712X</t>
  </si>
  <si>
    <t>Portable, Handy Compact Plug-in</t>
  </si>
  <si>
    <t>Taniya singh,Abhidha</t>
  </si>
  <si>
    <t>B00JBNZPFM</t>
  </si>
  <si>
    <t>Karcher WD3 EU Wet</t>
  </si>
  <si>
    <t>Prakash,Amazon Customer,Deepak</t>
  </si>
  <si>
    <t>B08N6P8G5K</t>
  </si>
  <si>
    <t>INALSA Air Fryer Digital</t>
  </si>
  <si>
    <t>Varun Dubey,Vanessa,sowmya</t>
  </si>
  <si>
    <t>B07NPBG1B4</t>
  </si>
  <si>
    <t>AmazonBasics High Speed 55</t>
  </si>
  <si>
    <t>Govind Khatri,Shanmugam,amrendra,Giji</t>
  </si>
  <si>
    <t>B01MRARGBW</t>
  </si>
  <si>
    <t>Eco Crystal J 5</t>
  </si>
  <si>
    <t>Dasarath rao,Giridhar</t>
  </si>
  <si>
    <t>B07VZYMQNZ</t>
  </si>
  <si>
    <t>Borosil Rio 1.5 L</t>
  </si>
  <si>
    <t>p c</t>
  </si>
  <si>
    <t>B01L7C4IU2</t>
  </si>
  <si>
    <t>Rohan Sakhare,Naveen</t>
  </si>
  <si>
    <t>B09H7JDJCW</t>
  </si>
  <si>
    <t>PHILIPS Drip Coffee Maker</t>
  </si>
  <si>
    <t>nagarjuna pedamuthi,Nitin</t>
  </si>
  <si>
    <t>B07F6GXNPB</t>
  </si>
  <si>
    <t>Eureka Forbes Euroclean Paper</t>
  </si>
  <si>
    <t>Lulzdrone,KRISH,Harsh Shah,Harsh,HaPa,Inderjeet</t>
  </si>
  <si>
    <t>B0B97D658R</t>
  </si>
  <si>
    <t>Larrito wooden Cool Mist</t>
  </si>
  <si>
    <t>Narinder Kaur,Heavenly</t>
  </si>
  <si>
    <t>B09NFSHCWN</t>
  </si>
  <si>
    <t>Hilton Quartz Heater 400/800-Watt</t>
  </si>
  <si>
    <t>Shravan patel,Tajammul</t>
  </si>
  <si>
    <t>B076VQS87V</t>
  </si>
  <si>
    <t>Syska SDI-07 1000 W</t>
  </si>
  <si>
    <t>Sandip Biswas,Jatin</t>
  </si>
  <si>
    <t>B09LMMFW3S</t>
  </si>
  <si>
    <t>IKEA Milk Frother for</t>
  </si>
  <si>
    <t>ANURAG,Amazon Customer,Pallavi</t>
  </si>
  <si>
    <t>B0BBLHTRM9</t>
  </si>
  <si>
    <t>IONIX Tap filter Multilayer</t>
  </si>
  <si>
    <t>Anmol Khanna,G.l.sudhakar,Amazon</t>
  </si>
  <si>
    <t>B0BJYSCWFQ</t>
  </si>
  <si>
    <t>Kitchengenix's Mini Waffle Maker</t>
  </si>
  <si>
    <t>Placeholder,Saddam Suthar,Priyanka</t>
  </si>
  <si>
    <t>B0187F2IOK</t>
  </si>
  <si>
    <t>Bajaj HM-01 Powerful 250W</t>
  </si>
  <si>
    <t>Megha Gadiya,bharati</t>
  </si>
  <si>
    <t>B0B8CB7MHW</t>
  </si>
  <si>
    <t>KNOWZA Electric Handheld Milk</t>
  </si>
  <si>
    <t>Deepak B.,Azhar</t>
  </si>
  <si>
    <t>B07K19NYZ8</t>
  </si>
  <si>
    <t>Usha Hc 812 T</t>
  </si>
  <si>
    <t>Sumit kumar,sunil,Mahima</t>
  </si>
  <si>
    <t>B08ZXZ362Z</t>
  </si>
  <si>
    <t>Vaishnavi,Paramesh,Kirti Gupta,Mousumi</t>
  </si>
  <si>
    <t>B00GHL8VP2</t>
  </si>
  <si>
    <t>USHA 1212 PTC with</t>
  </si>
  <si>
    <t>Manoj Kumar,Arun</t>
  </si>
  <si>
    <t>B0B9JZW1SQ</t>
  </si>
  <si>
    <t>4 in 1 Handheld</t>
  </si>
  <si>
    <t>Ashish,Kavita J.,Sundar,Tessy</t>
  </si>
  <si>
    <t>B00TI8E7BI</t>
  </si>
  <si>
    <t>Philips HD9306/06 1.5-Litre Electric</t>
  </si>
  <si>
    <t>AmazonCust,DD_Zen,Amazon Customer,VINISH</t>
  </si>
  <si>
    <t>B07J9KXQCC</t>
  </si>
  <si>
    <t>Libra Room Heater for</t>
  </si>
  <si>
    <t>gitesh jaiswal,Divyansh,Dr</t>
  </si>
  <si>
    <t>B0B3JSWG81</t>
  </si>
  <si>
    <t>NGI Store 2 Pieces</t>
  </si>
  <si>
    <t>Kunal Sen</t>
  </si>
  <si>
    <t>B08L7J3T31</t>
  </si>
  <si>
    <t>Noir Aqua - 5pcs</t>
  </si>
  <si>
    <t>Prabha ds,Raghuram</t>
  </si>
  <si>
    <t>B01M6453MB</t>
  </si>
  <si>
    <t>Prestige Delight PRWO Electric</t>
  </si>
  <si>
    <t>Manu Bhai,Naveenpittu,Evatira</t>
  </si>
  <si>
    <t>B009P2LIL4</t>
  </si>
  <si>
    <t>Bajaj Majesty RX10 2000</t>
  </si>
  <si>
    <t>Nehal Desai,Danish</t>
  </si>
  <si>
    <t>B00J5DYCCA</t>
  </si>
  <si>
    <t>Havells Ventil Air DSP</t>
  </si>
  <si>
    <t>Shubham Dubey,E.GURUBARAN,Mayank</t>
  </si>
  <si>
    <t>B01486F4G6</t>
  </si>
  <si>
    <t>Borosil Jumbo 1000-Watt Grill</t>
  </si>
  <si>
    <t>Rajib,Ajay B,Vikas</t>
  </si>
  <si>
    <t>Cables&amp;Accessories</t>
  </si>
  <si>
    <t>Cables</t>
  </si>
  <si>
    <t>NetworkAdapters</t>
  </si>
  <si>
    <t>WirelessUSBAdapters</t>
  </si>
  <si>
    <t>Accessories</t>
  </si>
  <si>
    <t>Televisions</t>
  </si>
  <si>
    <t>SmartTelevisions</t>
  </si>
  <si>
    <t>RemoteControls</t>
  </si>
  <si>
    <t>StandardTelevisions</t>
  </si>
  <si>
    <t>TVMounts,Stands&amp;Turntables</t>
  </si>
  <si>
    <t>SpeakerAccessories</t>
  </si>
  <si>
    <t>Mounts</t>
  </si>
  <si>
    <t>Projectors</t>
  </si>
  <si>
    <t>Adapters</t>
  </si>
  <si>
    <t>SatelliteEquipment</t>
  </si>
  <si>
    <t>SatelliteReceivers</t>
  </si>
  <si>
    <t>MediaStreamingDevices</t>
  </si>
  <si>
    <t>StreamingClients</t>
  </si>
  <si>
    <t>AVReceivers&amp;Amplifiers</t>
  </si>
  <si>
    <t>Speakers</t>
  </si>
  <si>
    <t>TowerSpeakers</t>
  </si>
  <si>
    <t>3DGlasses</t>
  </si>
  <si>
    <t>SmartWatches</t>
  </si>
  <si>
    <t>MobileAccessories</t>
  </si>
  <si>
    <t>Chargers</t>
  </si>
  <si>
    <t>Smartphones&amp;BasicMobiles</t>
  </si>
  <si>
    <t>Smartphones</t>
  </si>
  <si>
    <t>MemoryCards</t>
  </si>
  <si>
    <t>MicroSD</t>
  </si>
  <si>
    <t>BasicMobiles</t>
  </si>
  <si>
    <t>Headphones</t>
  </si>
  <si>
    <t>In-Ear</t>
  </si>
  <si>
    <t>AutomobileAccessories</t>
  </si>
  <si>
    <t>Cables&amp;Adapters</t>
  </si>
  <si>
    <t>Photo&amp;VideoAccessories</t>
  </si>
  <si>
    <t>Stands</t>
  </si>
  <si>
    <t>CableConnectionProtectors</t>
  </si>
  <si>
    <t>DÃ©cor</t>
  </si>
  <si>
    <t>Maintenance,Upkeep&amp;Repairs</t>
  </si>
  <si>
    <t>ScreenProtectors</t>
  </si>
  <si>
    <t>StylusPens</t>
  </si>
  <si>
    <t>Cases&amp;Covers</t>
  </si>
  <si>
    <t>On-Ear</t>
  </si>
  <si>
    <t>LaptopAccessories</t>
  </si>
  <si>
    <t>CameraPrivacyCovers</t>
  </si>
  <si>
    <t>PenDrives</t>
  </si>
  <si>
    <t>Keyboards,Mice&amp;InputDevices</t>
  </si>
  <si>
    <t>Mice</t>
  </si>
  <si>
    <t>GraphicTablets</t>
  </si>
  <si>
    <t>Lapdesks</t>
  </si>
  <si>
    <t>NotebookComputerStands</t>
  </si>
  <si>
    <t>Keyboards</t>
  </si>
  <si>
    <t>Condenser</t>
  </si>
  <si>
    <t>DisposableBatteries</t>
  </si>
  <si>
    <t>Paper</t>
  </si>
  <si>
    <t>Stationery</t>
  </si>
  <si>
    <t>Scrapbooking</t>
  </si>
  <si>
    <t>Tape</t>
  </si>
  <si>
    <t>Keyboard&amp;MouseSets</t>
  </si>
  <si>
    <t>ExternalHardDisks</t>
  </si>
  <si>
    <t>VideoCameras</t>
  </si>
  <si>
    <t>Tripods&amp;Monopods</t>
  </si>
  <si>
    <t>Calculators</t>
  </si>
  <si>
    <t>Scientific</t>
  </si>
  <si>
    <t>Repeaters&amp;Extenders</t>
  </si>
  <si>
    <t>Inks,Toners&amp;Cartridges</t>
  </si>
  <si>
    <t>InkjetInkCartridges</t>
  </si>
  <si>
    <t>Keyboard&amp;MiceAccessories</t>
  </si>
  <si>
    <t>PCGamingPeripherals</t>
  </si>
  <si>
    <t>GamingMice</t>
  </si>
  <si>
    <t>PaintingMaterials</t>
  </si>
  <si>
    <t>Paints</t>
  </si>
  <si>
    <t>HardDiskBags</t>
  </si>
  <si>
    <t>Flashes</t>
  </si>
  <si>
    <t>Macro&amp;RinglightFlashes</t>
  </si>
  <si>
    <t>Routers</t>
  </si>
  <si>
    <t>Over-Ear</t>
  </si>
  <si>
    <t>BluetoothSpeakers</t>
  </si>
  <si>
    <t>RechargeableBatteries</t>
  </si>
  <si>
    <t>BluetoothAdapters</t>
  </si>
  <si>
    <t>USBtoUSBAdapters</t>
  </si>
  <si>
    <t>Film</t>
  </si>
  <si>
    <t>USBGadgets</t>
  </si>
  <si>
    <t>Lamps</t>
  </si>
  <si>
    <t>Cleaners</t>
  </si>
  <si>
    <t>SecurityCameras</t>
  </si>
  <si>
    <t>DomeCameras</t>
  </si>
  <si>
    <t>TabletAccessories</t>
  </si>
  <si>
    <t>Gamepads</t>
  </si>
  <si>
    <t>Basic</t>
  </si>
  <si>
    <t>USBHubs</t>
  </si>
  <si>
    <t>Audio&amp;VideoAccessories</t>
  </si>
  <si>
    <t>PCMicrophones</t>
  </si>
  <si>
    <t>OutdoorSpeakers</t>
  </si>
  <si>
    <t>Bags&amp;Sleeves</t>
  </si>
  <si>
    <t>ExternalMemoryCardReaders</t>
  </si>
  <si>
    <t>Memory</t>
  </si>
  <si>
    <t>UninterruptedPowerSupplies</t>
  </si>
  <si>
    <t>Cases</t>
  </si>
  <si>
    <t>SecureDigitalCards</t>
  </si>
  <si>
    <t>Webcams&amp;VoIPEquipment</t>
  </si>
  <si>
    <t>CoolingPads</t>
  </si>
  <si>
    <t>Adapters&amp;Multi-Outlets</t>
  </si>
  <si>
    <t>Copy&amp;PrintingPaper</t>
  </si>
  <si>
    <t>InternalSolidStateDrives</t>
  </si>
  <si>
    <t>MultimediaSpeakerSystems</t>
  </si>
  <si>
    <t>DataCards&amp;Dongles</t>
  </si>
  <si>
    <t>LaptopChargers&amp;PowerSupplies</t>
  </si>
  <si>
    <t>PCSpeakers</t>
  </si>
  <si>
    <t>Batteries&amp;Chargers</t>
  </si>
  <si>
    <t>Bags,Cases&amp;Sleeves</t>
  </si>
  <si>
    <t>DrawingMaterials</t>
  </si>
  <si>
    <t>DrawingMedia</t>
  </si>
  <si>
    <t>InternalHardDrives</t>
  </si>
  <si>
    <t>Printers</t>
  </si>
  <si>
    <t>PCHeadsets</t>
  </si>
  <si>
    <t>GamingKeyboards</t>
  </si>
  <si>
    <t>SoundbarSpeakers</t>
  </si>
  <si>
    <t>Earpads</t>
  </si>
  <si>
    <t>InkjetPrinters</t>
  </si>
  <si>
    <t>Drawing&amp;PaintingSupplies</t>
  </si>
  <si>
    <t>ColouringPens&amp;Markers</t>
  </si>
  <si>
    <t>Headsets</t>
  </si>
  <si>
    <t>ExternalSolidStateDrives</t>
  </si>
  <si>
    <t>PowerLANAdapters</t>
  </si>
  <si>
    <t>InkjetInkRefills&amp;Kits</t>
  </si>
  <si>
    <t>PhotoStudio&amp;Lighting</t>
  </si>
  <si>
    <t>Financial&amp;Business</t>
  </si>
  <si>
    <t>SurgeProtectors</t>
  </si>
  <si>
    <t>CordManagement</t>
  </si>
  <si>
    <t>TonerCartridges</t>
  </si>
  <si>
    <t>HardDriveAccessories</t>
  </si>
  <si>
    <t>Caddies</t>
  </si>
  <si>
    <t>TraditionalLaptops</t>
  </si>
  <si>
    <t>SmallKitchenAppliances</t>
  </si>
  <si>
    <t>Kettles&amp;HotWaterDispensers</t>
  </si>
  <si>
    <t>RoomHeaters</t>
  </si>
  <si>
    <t>ElectricHeaters</t>
  </si>
  <si>
    <t>FanHeaters</t>
  </si>
  <si>
    <t>Vacuum,Cleaning&amp;Ironing</t>
  </si>
  <si>
    <t>Irons,Steamers&amp;Accessories</t>
  </si>
  <si>
    <t>DigitalKitchenScales</t>
  </si>
  <si>
    <t>KitchenTools</t>
  </si>
  <si>
    <t>ManualChoppers&amp;Chippers</t>
  </si>
  <si>
    <t>InductionCooktop</t>
  </si>
  <si>
    <t>HandBlenders</t>
  </si>
  <si>
    <t>MixerGrinders</t>
  </si>
  <si>
    <t>WaterHeaters&amp;Geysers</t>
  </si>
  <si>
    <t>InstantWaterHeaters</t>
  </si>
  <si>
    <t>StorageWaterHeaters</t>
  </si>
  <si>
    <t>ImmersionRods</t>
  </si>
  <si>
    <t>DeepFatFryers</t>
  </si>
  <si>
    <t>LaundryOrganization</t>
  </si>
  <si>
    <t>LaundryBaskets</t>
  </si>
  <si>
    <t>JuicerMixerGrinders</t>
  </si>
  <si>
    <t>Vacuums&amp;FloorCare</t>
  </si>
  <si>
    <t>EggBoilers</t>
  </si>
  <si>
    <t>SandwichMakers</t>
  </si>
  <si>
    <t>MiniFoodProcessors&amp;Choppers</t>
  </si>
  <si>
    <t>VacuumSealers</t>
  </si>
  <si>
    <t>Fans</t>
  </si>
  <si>
    <t>CeilingFans</t>
  </si>
  <si>
    <t>PressureWashers,Steam&amp;WindowCleaners</t>
  </si>
  <si>
    <t>HalogenHeaters</t>
  </si>
  <si>
    <t>Pop-upToasters</t>
  </si>
  <si>
    <t>HeatConvectors</t>
  </si>
  <si>
    <t>Coffee,Tea&amp;Espresso</t>
  </si>
  <si>
    <t>CoffeeGrinders</t>
  </si>
  <si>
    <t>ExhaustFans</t>
  </si>
  <si>
    <t>DripCoffeeMachines</t>
  </si>
  <si>
    <t>WaterPurifiers&amp;Accessories</t>
  </si>
  <si>
    <t>WaterPurifierAccessories</t>
  </si>
  <si>
    <t>WaterCartridges</t>
  </si>
  <si>
    <t>Rice&amp;PastaCookers</t>
  </si>
  <si>
    <t>InteriorAccessories</t>
  </si>
  <si>
    <t>AirPurifiers&amp;Ionizers</t>
  </si>
  <si>
    <t>AirPurifiers</t>
  </si>
  <si>
    <t>HEPAAirPurifiers</t>
  </si>
  <si>
    <t>WaterFilters&amp;Purifiers</t>
  </si>
  <si>
    <t>LaundryBags</t>
  </si>
  <si>
    <t>SewingMachines&amp;Accessories</t>
  </si>
  <si>
    <t>Sewing&amp;EmbroideryMachines</t>
  </si>
  <si>
    <t>IroningAccessories</t>
  </si>
  <si>
    <t>HandMixers</t>
  </si>
  <si>
    <t>Mills&amp;Grinders</t>
  </si>
  <si>
    <t>OvenToasterGrills</t>
  </si>
  <si>
    <t>Juicers</t>
  </si>
  <si>
    <t>HealthMonitors</t>
  </si>
  <si>
    <t>WeighingScales</t>
  </si>
  <si>
    <t>EspressoMachines</t>
  </si>
  <si>
    <t>TableFans</t>
  </si>
  <si>
    <t>MilkFrothers</t>
  </si>
  <si>
    <t>Humidifiers</t>
  </si>
  <si>
    <t>SmallApplianceParts&amp;Accessories</t>
  </si>
  <si>
    <t>YogurtMakers</t>
  </si>
  <si>
    <t>AirConditioners</t>
  </si>
  <si>
    <t>Split-SystemAirConditioners</t>
  </si>
  <si>
    <t>WaffleMakers&amp;Irons</t>
  </si>
  <si>
    <t>StovetopEspressoPots</t>
  </si>
  <si>
    <t>CoffeeMakerAccessories</t>
  </si>
  <si>
    <t>CoffeePresses</t>
  </si>
  <si>
    <t>RotiMakers</t>
  </si>
  <si>
    <t>Parts&amp;Accessories</t>
  </si>
  <si>
    <t>FanParts&amp;Accessories</t>
  </si>
  <si>
    <t>StandMixers</t>
  </si>
  <si>
    <t>PedestalFans</t>
  </si>
  <si>
    <t>product type</t>
  </si>
  <si>
    <t>no. of users</t>
  </si>
  <si>
    <t>Image link</t>
  </si>
  <si>
    <t>productlink</t>
  </si>
  <si>
    <t>Row Labels</t>
  </si>
  <si>
    <t>Grand Total</t>
  </si>
  <si>
    <t>Average of actual_price</t>
  </si>
  <si>
    <t>Average of discounted_price</t>
  </si>
  <si>
    <t>discount given</t>
  </si>
  <si>
    <t>profit/loss</t>
  </si>
  <si>
    <t>expected revenue</t>
  </si>
  <si>
    <t>actual revenue</t>
  </si>
  <si>
    <t xml:space="preserve">expected revenue </t>
  </si>
  <si>
    <t>gross margin</t>
  </si>
  <si>
    <t>total product</t>
  </si>
  <si>
    <t>Average of rating</t>
  </si>
  <si>
    <t>correlation between discount and price of product</t>
  </si>
  <si>
    <t>correlation between discounting rate and profit nad loss</t>
  </si>
  <si>
    <t>max price</t>
  </si>
  <si>
    <t>min price</t>
  </si>
  <si>
    <t>max rating</t>
  </si>
  <si>
    <t>min  rating</t>
  </si>
  <si>
    <t>product</t>
  </si>
  <si>
    <t>trigger</t>
  </si>
  <si>
    <t>value</t>
  </si>
  <si>
    <t>max</t>
  </si>
  <si>
    <t>min</t>
  </si>
  <si>
    <t>review</t>
  </si>
  <si>
    <t>PRODUCT</t>
  </si>
  <si>
    <t>CORRELATION BETWWEN REVIEW COUNT AND RATINGS</t>
  </si>
  <si>
    <t>(blank)</t>
  </si>
  <si>
    <t>Average of discount_percentage</t>
  </si>
  <si>
    <t>AVERAGE SELLING PRICE</t>
  </si>
  <si>
    <t>Total Products</t>
  </si>
  <si>
    <t>Avg Discount %</t>
  </si>
  <si>
    <t>Avg Rating</t>
  </si>
  <si>
    <t>Total Reviews</t>
  </si>
  <si>
    <t>Average Price by Category (Column Chart)</t>
  </si>
  <si>
    <t>Average Discount by Category (Bar Chart)</t>
  </si>
  <si>
    <t>Rating Distribution (Histogram/Column)</t>
  </si>
  <si>
    <t>Price vs Rating (Scatter Plot)</t>
  </si>
  <si>
    <t>Top 10 Most Reviewed Products (Bar Chart)</t>
  </si>
  <si>
    <t>Product Count by Category (Pie or Doughnut Chart)</t>
  </si>
  <si>
    <t>Count of product type</t>
  </si>
  <si>
    <t>CATEGORY WISE AVG DISCOUNT PERCENTAGE</t>
  </si>
  <si>
    <t>CATEGORY WISE RATING</t>
  </si>
  <si>
    <t>AVG PRICE OF EACH CATEGORY</t>
  </si>
  <si>
    <t>AVG PRICE AND AVG RATING</t>
  </si>
  <si>
    <t>Count of Product</t>
  </si>
  <si>
    <t>COUNT OF CATEGOTY</t>
  </si>
  <si>
    <t>HIGHEST REVIEW</t>
  </si>
  <si>
    <t>LIMITATIONS</t>
  </si>
  <si>
    <t>The dataset does not include Units Sold.</t>
  </si>
  <si>
    <t>Brand information is limited.</t>
  </si>
  <si>
    <t>Revenue and Profit cannot be calculated accurately.</t>
  </si>
  <si>
    <t>Estimated Revenue Potential is based on Rating Count.</t>
  </si>
  <si>
    <t>Analysis focuses on product performance rather than actual financial performance.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</si>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</sst>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0" applyNumberFormat="1"/>
    <xf numFmtId="3" fontId="0" fillId="0" borderId="0" xfId="0" applyNumberFormat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2" fillId="2" borderId="0" xfId="0" applyFont="1" applyFill="1"/>
    <xf numFmtId="0" fontId="2" fillId="3" borderId="1" xfId="0" applyFont="1" applyFill="1" applyBorder="1"/>
    <xf numFmtId="44" fontId="2" fillId="2" borderId="0" xfId="0" applyNumberFormat="1" applyFont="1" applyFill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3" fillId="0" borderId="0" xfId="2"/>
    <xf numFmtId="164" fontId="2" fillId="2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2" fillId="0" borderId="0" xfId="1" applyNumberFormat="1" applyFont="1"/>
    <xf numFmtId="0" fontId="2" fillId="6" borderId="2" xfId="0" applyFont="1" applyFill="1" applyBorder="1"/>
    <xf numFmtId="0" fontId="0" fillId="0" borderId="4" xfId="0" applyBorder="1"/>
    <xf numFmtId="0" fontId="2" fillId="6" borderId="3" xfId="0" applyFont="1" applyFill="1" applyBorder="1"/>
    <xf numFmtId="0" fontId="0" fillId="2" borderId="4" xfId="0" applyFill="1" applyBorder="1"/>
    <xf numFmtId="1" fontId="4" fillId="0" borderId="4" xfId="0" applyNumberFormat="1" applyFont="1" applyBorder="1"/>
    <xf numFmtId="0" fontId="4" fillId="0" borderId="4" xfId="0" applyFont="1" applyBorder="1"/>
    <xf numFmtId="44" fontId="0" fillId="2" borderId="4" xfId="0" applyNumberFormat="1" applyFill="1" applyBorder="1"/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6" fillId="7" borderId="0" xfId="0" applyFont="1" applyFill="1"/>
    <xf numFmtId="0" fontId="5" fillId="8" borderId="0" xfId="0" applyFont="1" applyFill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MADE.xlsx]Sheet5!PivotTable5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Sheet5!$G$44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Sheet5!$F$45:$F$117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Sheet5!$G$45:$G$117</c:f>
              <c:numCache>
                <c:formatCode>General</c:formatCode>
                <c:ptCount val="72"/>
                <c:pt idx="0">
                  <c:v>4.1227642276422767</c:v>
                </c:pt>
                <c:pt idx="1">
                  <c:v>3.9333333333333322</c:v>
                </c:pt>
                <c:pt idx="2">
                  <c:v>4.1428571428571432</c:v>
                </c:pt>
                <c:pt idx="3">
                  <c:v>3.9714285714285715</c:v>
                </c:pt>
                <c:pt idx="4">
                  <c:v>4.2285714285714286</c:v>
                </c:pt>
                <c:pt idx="5">
                  <c:v>4.0500000000000007</c:v>
                </c:pt>
                <c:pt idx="6">
                  <c:v>4.0625</c:v>
                </c:pt>
                <c:pt idx="7">
                  <c:v>4.102631578947368</c:v>
                </c:pt>
                <c:pt idx="8">
                  <c:v>4.1428571428571432</c:v>
                </c:pt>
                <c:pt idx="9">
                  <c:v>4.0142857142857142</c:v>
                </c:pt>
                <c:pt idx="10">
                  <c:v>4.1326530612244907</c:v>
                </c:pt>
                <c:pt idx="11">
                  <c:v>4.1500000000000004</c:v>
                </c:pt>
                <c:pt idx="12">
                  <c:v>4.1857142857142859</c:v>
                </c:pt>
                <c:pt idx="13">
                  <c:v>4.2285714285714286</c:v>
                </c:pt>
                <c:pt idx="14">
                  <c:v>4.0625</c:v>
                </c:pt>
                <c:pt idx="15">
                  <c:v>3.9857142857142853</c:v>
                </c:pt>
                <c:pt idx="16">
                  <c:v>4.0714285714285712</c:v>
                </c:pt>
                <c:pt idx="17">
                  <c:v>3.9571428571428577</c:v>
                </c:pt>
                <c:pt idx="18">
                  <c:v>3.9625000000000004</c:v>
                </c:pt>
                <c:pt idx="19">
                  <c:v>4.2142857142857135</c:v>
                </c:pt>
                <c:pt idx="20">
                  <c:v>4.0999999999999996</c:v>
                </c:pt>
                <c:pt idx="21">
                  <c:v>4.0964285714285715</c:v>
                </c:pt>
                <c:pt idx="22">
                  <c:v>4.0500000000000007</c:v>
                </c:pt>
                <c:pt idx="23">
                  <c:v>4.0874999999999995</c:v>
                </c:pt>
                <c:pt idx="24">
                  <c:v>4.2142857142857135</c:v>
                </c:pt>
                <c:pt idx="25">
                  <c:v>4.083333333333333</c:v>
                </c:pt>
                <c:pt idx="26">
                  <c:v>3.9857142857142853</c:v>
                </c:pt>
                <c:pt idx="27">
                  <c:v>4.0714285714285712</c:v>
                </c:pt>
                <c:pt idx="28">
                  <c:v>4.1181818181818173</c:v>
                </c:pt>
                <c:pt idx="29">
                  <c:v>4.0428571428571427</c:v>
                </c:pt>
                <c:pt idx="30">
                  <c:v>4.2</c:v>
                </c:pt>
                <c:pt idx="31">
                  <c:v>4.1285714285714281</c:v>
                </c:pt>
                <c:pt idx="32">
                  <c:v>4.072916666666667</c:v>
                </c:pt>
                <c:pt idx="33">
                  <c:v>4.1714285714285717</c:v>
                </c:pt>
                <c:pt idx="34">
                  <c:v>4.1230769230769235</c:v>
                </c:pt>
                <c:pt idx="35">
                  <c:v>4.1809523809523812</c:v>
                </c:pt>
                <c:pt idx="36">
                  <c:v>4.0999999999999996</c:v>
                </c:pt>
                <c:pt idx="37">
                  <c:v>3.9571428571428577</c:v>
                </c:pt>
                <c:pt idx="38">
                  <c:v>4.1399999999999997</c:v>
                </c:pt>
                <c:pt idx="39">
                  <c:v>4.1111111111111107</c:v>
                </c:pt>
                <c:pt idx="40">
                  <c:v>4.0863636363636369</c:v>
                </c:pt>
                <c:pt idx="41">
                  <c:v>3.9666666666666668</c:v>
                </c:pt>
                <c:pt idx="42">
                  <c:v>4.081818181818182</c:v>
                </c:pt>
                <c:pt idx="43">
                  <c:v>4.3142857142857141</c:v>
                </c:pt>
                <c:pt idx="44">
                  <c:v>3.9931034482758618</c:v>
                </c:pt>
                <c:pt idx="45">
                  <c:v>4.1375000000000002</c:v>
                </c:pt>
                <c:pt idx="46">
                  <c:v>4.0285714285714285</c:v>
                </c:pt>
                <c:pt idx="47">
                  <c:v>3.9750000000000005</c:v>
                </c:pt>
                <c:pt idx="48">
                  <c:v>3.9857142857142853</c:v>
                </c:pt>
                <c:pt idx="49">
                  <c:v>4.1124999999999998</c:v>
                </c:pt>
                <c:pt idx="50">
                  <c:v>4.0199999999999987</c:v>
                </c:pt>
                <c:pt idx="51">
                  <c:v>4.0250000000000004</c:v>
                </c:pt>
                <c:pt idx="52">
                  <c:v>4.1375000000000002</c:v>
                </c:pt>
                <c:pt idx="53">
                  <c:v>4.0500000000000007</c:v>
                </c:pt>
                <c:pt idx="54">
                  <c:v>4.0142857142857142</c:v>
                </c:pt>
                <c:pt idx="55">
                  <c:v>4.1714285714285717</c:v>
                </c:pt>
                <c:pt idx="56">
                  <c:v>4.1243386243386269</c:v>
                </c:pt>
                <c:pt idx="57">
                  <c:v>4.1125000000000007</c:v>
                </c:pt>
                <c:pt idx="58">
                  <c:v>4.2374999999999998</c:v>
                </c:pt>
                <c:pt idx="59">
                  <c:v>4.0594594594594602</c:v>
                </c:pt>
                <c:pt idx="60">
                  <c:v>4.1714285714285717</c:v>
                </c:pt>
                <c:pt idx="61">
                  <c:v>4.0380952380952371</c:v>
                </c:pt>
                <c:pt idx="62">
                  <c:v>4.1187500000000004</c:v>
                </c:pt>
                <c:pt idx="63">
                  <c:v>4.0285714285714294</c:v>
                </c:pt>
                <c:pt idx="64">
                  <c:v>4</c:v>
                </c:pt>
                <c:pt idx="65">
                  <c:v>4.0999999999999996</c:v>
                </c:pt>
                <c:pt idx="66">
                  <c:v>4.2</c:v>
                </c:pt>
                <c:pt idx="67">
                  <c:v>4.105714285714285</c:v>
                </c:pt>
                <c:pt idx="68">
                  <c:v>4.0999999999999996</c:v>
                </c:pt>
                <c:pt idx="69">
                  <c:v>4.0047619047619047</c:v>
                </c:pt>
                <c:pt idx="70">
                  <c:v>4.0761904761904759</c:v>
                </c:pt>
                <c:pt idx="71">
                  <c:v>4.1448275862068957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3-4902-BBC2-3050CCE5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4704"/>
        <c:axId val="1538189679"/>
      </c:lineChart>
      <c:catAx>
        <c:axId val="981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89679"/>
        <c:crosses val="autoZero"/>
        <c:auto val="1"/>
        <c:lblAlgn val="ctr"/>
        <c:lblOffset val="100"/>
        <c:noMultiLvlLbl val="0"/>
      </c:catAx>
      <c:valAx>
        <c:axId val="15381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MADE.xlsx]Sheet10!PivotTable7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Sheet10!$A$2:$A$74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Sheet10!$B$2:$B$74</c:f>
              <c:numCache>
                <c:formatCode>General</c:formatCode>
                <c:ptCount val="72"/>
                <c:pt idx="0">
                  <c:v>2817.6446341463411</c:v>
                </c:pt>
                <c:pt idx="1">
                  <c:v>2594.8000000000002</c:v>
                </c:pt>
                <c:pt idx="2">
                  <c:v>3210.7142857142858</c:v>
                </c:pt>
                <c:pt idx="3">
                  <c:v>5144.8571428571431</c:v>
                </c:pt>
                <c:pt idx="4">
                  <c:v>6257.2857142857147</c:v>
                </c:pt>
                <c:pt idx="5">
                  <c:v>4313.6071428571431</c:v>
                </c:pt>
                <c:pt idx="6">
                  <c:v>4222.625</c:v>
                </c:pt>
                <c:pt idx="7">
                  <c:v>3509.2105263157896</c:v>
                </c:pt>
                <c:pt idx="8">
                  <c:v>5901.136363636364</c:v>
                </c:pt>
                <c:pt idx="9">
                  <c:v>4237.1428571428569</c:v>
                </c:pt>
                <c:pt idx="10">
                  <c:v>2213.591836734694</c:v>
                </c:pt>
                <c:pt idx="11">
                  <c:v>11555.5</c:v>
                </c:pt>
                <c:pt idx="12">
                  <c:v>660</c:v>
                </c:pt>
                <c:pt idx="13">
                  <c:v>1355.5714285714287</c:v>
                </c:pt>
                <c:pt idx="14">
                  <c:v>1596.375</c:v>
                </c:pt>
                <c:pt idx="15">
                  <c:v>617.28571428571433</c:v>
                </c:pt>
                <c:pt idx="16">
                  <c:v>2516.4285714285716</c:v>
                </c:pt>
                <c:pt idx="17">
                  <c:v>1620</c:v>
                </c:pt>
                <c:pt idx="18">
                  <c:v>3293.625</c:v>
                </c:pt>
                <c:pt idx="19">
                  <c:v>973.14285714285711</c:v>
                </c:pt>
                <c:pt idx="20">
                  <c:v>4034</c:v>
                </c:pt>
                <c:pt idx="21">
                  <c:v>2464.9217857142858</c:v>
                </c:pt>
                <c:pt idx="22">
                  <c:v>3909</c:v>
                </c:pt>
                <c:pt idx="23">
                  <c:v>3887.125</c:v>
                </c:pt>
                <c:pt idx="24">
                  <c:v>2303.5714285714284</c:v>
                </c:pt>
                <c:pt idx="25">
                  <c:v>1509.7916666666667</c:v>
                </c:pt>
                <c:pt idx="26">
                  <c:v>4824</c:v>
                </c:pt>
                <c:pt idx="27">
                  <c:v>2498.5714285714284</c:v>
                </c:pt>
                <c:pt idx="28">
                  <c:v>6014.165</c:v>
                </c:pt>
                <c:pt idx="29">
                  <c:v>1164.2857142857142</c:v>
                </c:pt>
                <c:pt idx="30">
                  <c:v>5027.0142857142855</c:v>
                </c:pt>
                <c:pt idx="31">
                  <c:v>6962.4285714285716</c:v>
                </c:pt>
                <c:pt idx="32">
                  <c:v>1573.1585416666667</c:v>
                </c:pt>
                <c:pt idx="33">
                  <c:v>3057</c:v>
                </c:pt>
                <c:pt idx="34">
                  <c:v>2822.3269230769229</c:v>
                </c:pt>
                <c:pt idx="35">
                  <c:v>3243.1428571428573</c:v>
                </c:pt>
                <c:pt idx="36">
                  <c:v>452</c:v>
                </c:pt>
                <c:pt idx="37">
                  <c:v>2736.2857142857142</c:v>
                </c:pt>
                <c:pt idx="38">
                  <c:v>2362.5333333333333</c:v>
                </c:pt>
                <c:pt idx="39">
                  <c:v>2656.4488888888886</c:v>
                </c:pt>
                <c:pt idx="40">
                  <c:v>2724.6363636363635</c:v>
                </c:pt>
                <c:pt idx="41">
                  <c:v>3469.8</c:v>
                </c:pt>
                <c:pt idx="42">
                  <c:v>2944</c:v>
                </c:pt>
                <c:pt idx="43">
                  <c:v>5449</c:v>
                </c:pt>
                <c:pt idx="44">
                  <c:v>2841.1724137931033</c:v>
                </c:pt>
                <c:pt idx="45">
                  <c:v>4139.125</c:v>
                </c:pt>
                <c:pt idx="46">
                  <c:v>4560.6428571428569</c:v>
                </c:pt>
                <c:pt idx="47">
                  <c:v>735.625</c:v>
                </c:pt>
                <c:pt idx="48">
                  <c:v>1731.4285714285713</c:v>
                </c:pt>
                <c:pt idx="49">
                  <c:v>1085.125</c:v>
                </c:pt>
                <c:pt idx="50">
                  <c:v>6043.5428571428574</c:v>
                </c:pt>
                <c:pt idx="51">
                  <c:v>1521.75</c:v>
                </c:pt>
                <c:pt idx="52">
                  <c:v>5534.75</c:v>
                </c:pt>
                <c:pt idx="53">
                  <c:v>1394.625</c:v>
                </c:pt>
                <c:pt idx="54">
                  <c:v>1496.3485714285712</c:v>
                </c:pt>
                <c:pt idx="55">
                  <c:v>1542.2857142857142</c:v>
                </c:pt>
                <c:pt idx="56">
                  <c:v>2611.6237566137565</c:v>
                </c:pt>
                <c:pt idx="57">
                  <c:v>2353.3125</c:v>
                </c:pt>
                <c:pt idx="58">
                  <c:v>8611</c:v>
                </c:pt>
                <c:pt idx="59">
                  <c:v>3607</c:v>
                </c:pt>
                <c:pt idx="60">
                  <c:v>6596.1428571428569</c:v>
                </c:pt>
                <c:pt idx="61">
                  <c:v>3698.0504761904763</c:v>
                </c:pt>
                <c:pt idx="62">
                  <c:v>1448.9375</c:v>
                </c:pt>
                <c:pt idx="63">
                  <c:v>7575.7142857142853</c:v>
                </c:pt>
                <c:pt idx="64">
                  <c:v>5726.8571428571431</c:v>
                </c:pt>
                <c:pt idx="65">
                  <c:v>1518.4285714285713</c:v>
                </c:pt>
                <c:pt idx="66">
                  <c:v>5131.2857142857147</c:v>
                </c:pt>
                <c:pt idx="67">
                  <c:v>2272.4857142857145</c:v>
                </c:pt>
                <c:pt idx="68">
                  <c:v>7475.875</c:v>
                </c:pt>
                <c:pt idx="69">
                  <c:v>2016.3333333333333</c:v>
                </c:pt>
                <c:pt idx="70">
                  <c:v>4266.7619047619046</c:v>
                </c:pt>
                <c:pt idx="71">
                  <c:v>3531.3793103448274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826-8C98-20743355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70192"/>
        <c:axId val="1538181519"/>
      </c:barChart>
      <c:catAx>
        <c:axId val="9797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81519"/>
        <c:crosses val="autoZero"/>
        <c:auto val="1"/>
        <c:lblAlgn val="ctr"/>
        <c:lblOffset val="100"/>
        <c:noMultiLvlLbl val="0"/>
      </c:catAx>
      <c:valAx>
        <c:axId val="153818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Sheet12!$A$1</c:f>
              <c:strCache>
                <c:ptCount val="1"/>
                <c:pt idx="0">
                  <c:v>Row Labels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Sheet12!$A$2:$A$73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D0-4190-9F2D-532EED058293}"/>
            </c:ext>
          </c:extLst>
        </c:ser>
        <c:ser>
          <c:idx val="1"/>
          <c:order val="1"/>
          <c:tx>
            <c:strRef>
              <c:f>Sheet12!$B$1</c:f>
              <c:strCache>
                <c:ptCount val="1"/>
                <c:pt idx="0">
                  <c:v>Average of discounted_price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Sheet12!$B$2:$B$73</c:f>
              <c:numCache>
                <c:formatCode>General</c:formatCode>
                <c:ptCount val="72"/>
                <c:pt idx="0">
                  <c:v>4271.1643750000003</c:v>
                </c:pt>
                <c:pt idx="1">
                  <c:v>10089</c:v>
                </c:pt>
                <c:pt idx="2">
                  <c:v>849</c:v>
                </c:pt>
                <c:pt idx="3">
                  <c:v>8990</c:v>
                </c:pt>
                <c:pt idx="4">
                  <c:v>1399</c:v>
                </c:pt>
                <c:pt idx="5">
                  <c:v>7961</c:v>
                </c:pt>
                <c:pt idx="6">
                  <c:v>13999</c:v>
                </c:pt>
                <c:pt idx="7">
                  <c:v>5307.2</c:v>
                </c:pt>
                <c:pt idx="8">
                  <c:v>10192</c:v>
                </c:pt>
                <c:pt idx="9">
                  <c:v>18990</c:v>
                </c:pt>
                <c:pt idx="10">
                  <c:v>7242</c:v>
                </c:pt>
                <c:pt idx="11">
                  <c:v>1199</c:v>
                </c:pt>
                <c:pt idx="12">
                  <c:v>489</c:v>
                </c:pt>
                <c:pt idx="13">
                  <c:v>399</c:v>
                </c:pt>
                <c:pt idx="14">
                  <c:v>179</c:v>
                </c:pt>
                <c:pt idx="15">
                  <c:v>1599</c:v>
                </c:pt>
                <c:pt idx="16">
                  <c:v>3894.5</c:v>
                </c:pt>
                <c:pt idx="17">
                  <c:v>149</c:v>
                </c:pt>
                <c:pt idx="18">
                  <c:v>230</c:v>
                </c:pt>
                <c:pt idx="19">
                  <c:v>269</c:v>
                </c:pt>
                <c:pt idx="20">
                  <c:v>8499</c:v>
                </c:pt>
                <c:pt idx="21">
                  <c:v>6771</c:v>
                </c:pt>
                <c:pt idx="22">
                  <c:v>7999</c:v>
                </c:pt>
                <c:pt idx="23">
                  <c:v>263</c:v>
                </c:pt>
                <c:pt idx="24">
                  <c:v>349</c:v>
                </c:pt>
                <c:pt idx="25">
                  <c:v>4272.666666666667</c:v>
                </c:pt>
                <c:pt idx="26">
                  <c:v>205</c:v>
                </c:pt>
                <c:pt idx="27">
                  <c:v>499</c:v>
                </c:pt>
                <c:pt idx="28">
                  <c:v>22129.333333333332</c:v>
                </c:pt>
                <c:pt idx="29">
                  <c:v>249</c:v>
                </c:pt>
                <c:pt idx="30">
                  <c:v>273.10000000000002</c:v>
                </c:pt>
                <c:pt idx="31">
                  <c:v>21999</c:v>
                </c:pt>
                <c:pt idx="32">
                  <c:v>281</c:v>
                </c:pt>
                <c:pt idx="33">
                  <c:v>349</c:v>
                </c:pt>
                <c:pt idx="34">
                  <c:v>547.57142857142856</c:v>
                </c:pt>
                <c:pt idx="35">
                  <c:v>10179.333333333334</c:v>
                </c:pt>
                <c:pt idx="36">
                  <c:v>349</c:v>
                </c:pt>
                <c:pt idx="37">
                  <c:v>299</c:v>
                </c:pt>
                <c:pt idx="38">
                  <c:v>6890</c:v>
                </c:pt>
                <c:pt idx="39">
                  <c:v>3220.8823529411766</c:v>
                </c:pt>
                <c:pt idx="40">
                  <c:v>7129.333333333333</c:v>
                </c:pt>
                <c:pt idx="41">
                  <c:v>18999</c:v>
                </c:pt>
                <c:pt idx="42">
                  <c:v>404.33333333333331</c:v>
                </c:pt>
                <c:pt idx="43">
                  <c:v>139</c:v>
                </c:pt>
                <c:pt idx="44">
                  <c:v>863</c:v>
                </c:pt>
                <c:pt idx="45">
                  <c:v>59</c:v>
                </c:pt>
                <c:pt idx="46">
                  <c:v>8109</c:v>
                </c:pt>
                <c:pt idx="47">
                  <c:v>154</c:v>
                </c:pt>
                <c:pt idx="48">
                  <c:v>399</c:v>
                </c:pt>
                <c:pt idx="49">
                  <c:v>154</c:v>
                </c:pt>
                <c:pt idx="50">
                  <c:v>6534.4</c:v>
                </c:pt>
                <c:pt idx="51">
                  <c:v>219</c:v>
                </c:pt>
                <c:pt idx="52">
                  <c:v>219</c:v>
                </c:pt>
                <c:pt idx="53">
                  <c:v>6999</c:v>
                </c:pt>
                <c:pt idx="54">
                  <c:v>7299</c:v>
                </c:pt>
                <c:pt idx="55">
                  <c:v>325</c:v>
                </c:pt>
                <c:pt idx="56">
                  <c:v>1496.9959259259258</c:v>
                </c:pt>
                <c:pt idx="57">
                  <c:v>169</c:v>
                </c:pt>
                <c:pt idx="58">
                  <c:v>13490</c:v>
                </c:pt>
                <c:pt idx="59">
                  <c:v>298.60000000000002</c:v>
                </c:pt>
                <c:pt idx="60">
                  <c:v>9999</c:v>
                </c:pt>
                <c:pt idx="61">
                  <c:v>249</c:v>
                </c:pt>
                <c:pt idx="62">
                  <c:v>239</c:v>
                </c:pt>
                <c:pt idx="63">
                  <c:v>179</c:v>
                </c:pt>
                <c:pt idx="64">
                  <c:v>199</c:v>
                </c:pt>
                <c:pt idx="65">
                  <c:v>399</c:v>
                </c:pt>
                <c:pt idx="66">
                  <c:v>27999</c:v>
                </c:pt>
                <c:pt idx="67">
                  <c:v>3708.4</c:v>
                </c:pt>
                <c:pt idx="68">
                  <c:v>649</c:v>
                </c:pt>
                <c:pt idx="69">
                  <c:v>3638</c:v>
                </c:pt>
                <c:pt idx="70">
                  <c:v>11245.666666666666</c:v>
                </c:pt>
                <c:pt idx="71">
                  <c:v>2955.2612677165353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D0-4190-9F2D-532EED058293}"/>
            </c:ext>
          </c:extLst>
        </c:ser>
        <c:ser>
          <c:idx val="2"/>
          <c:order val="2"/>
          <c:tx>
            <c:strRef>
              <c:f>Sheet12!$C$1</c:f>
              <c:strCache>
                <c:ptCount val="1"/>
                <c:pt idx="0">
                  <c:v>Average of rating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Sheet12!$C$2:$C$73</c:f>
              <c:numCache>
                <c:formatCode>General</c:formatCode>
                <c:ptCount val="72"/>
                <c:pt idx="0">
                  <c:v>4.0875000000000004</c:v>
                </c:pt>
                <c:pt idx="1">
                  <c:v>4.1500000000000004</c:v>
                </c:pt>
                <c:pt idx="2">
                  <c:v>4.3</c:v>
                </c:pt>
                <c:pt idx="3">
                  <c:v>3.9</c:v>
                </c:pt>
                <c:pt idx="4">
                  <c:v>4.4000000000000004</c:v>
                </c:pt>
                <c:pt idx="5">
                  <c:v>4.0999999999999996</c:v>
                </c:pt>
                <c:pt idx="6">
                  <c:v>4.2</c:v>
                </c:pt>
                <c:pt idx="7">
                  <c:v>4.2799999999999994</c:v>
                </c:pt>
                <c:pt idx="8">
                  <c:v>4.2333333333333334</c:v>
                </c:pt>
                <c:pt idx="9">
                  <c:v>4.2</c:v>
                </c:pt>
                <c:pt idx="10">
                  <c:v>4.0571428571428569</c:v>
                </c:pt>
                <c:pt idx="11">
                  <c:v>4.4000000000000004</c:v>
                </c:pt>
                <c:pt idx="12">
                  <c:v>4.4000000000000004</c:v>
                </c:pt>
                <c:pt idx="13">
                  <c:v>4.3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4.0999999999999996</c:v>
                </c:pt>
                <c:pt idx="17">
                  <c:v>4</c:v>
                </c:pt>
                <c:pt idx="18">
                  <c:v>3.7</c:v>
                </c:pt>
                <c:pt idx="19">
                  <c:v>3.6</c:v>
                </c:pt>
                <c:pt idx="20">
                  <c:v>4.3</c:v>
                </c:pt>
                <c:pt idx="21">
                  <c:v>4.2249999999999996</c:v>
                </c:pt>
                <c:pt idx="22">
                  <c:v>4.3</c:v>
                </c:pt>
                <c:pt idx="23">
                  <c:v>4.0999999999999996</c:v>
                </c:pt>
                <c:pt idx="24">
                  <c:v>4</c:v>
                </c:pt>
                <c:pt idx="25">
                  <c:v>4.333333333333333</c:v>
                </c:pt>
                <c:pt idx="26">
                  <c:v>3.8</c:v>
                </c:pt>
                <c:pt idx="27">
                  <c:v>4.3</c:v>
                </c:pt>
                <c:pt idx="28">
                  <c:v>4.2666666666666666</c:v>
                </c:pt>
                <c:pt idx="29">
                  <c:v>4</c:v>
                </c:pt>
                <c:pt idx="30">
                  <c:v>4.3</c:v>
                </c:pt>
                <c:pt idx="31">
                  <c:v>4.2</c:v>
                </c:pt>
                <c:pt idx="32">
                  <c:v>4.0166666666666666</c:v>
                </c:pt>
                <c:pt idx="33">
                  <c:v>4.3</c:v>
                </c:pt>
                <c:pt idx="34">
                  <c:v>4.2142857142857135</c:v>
                </c:pt>
                <c:pt idx="35">
                  <c:v>4.3666666666666663</c:v>
                </c:pt>
                <c:pt idx="36">
                  <c:v>4.4000000000000004</c:v>
                </c:pt>
                <c:pt idx="37">
                  <c:v>4.2</c:v>
                </c:pt>
                <c:pt idx="38">
                  <c:v>4</c:v>
                </c:pt>
                <c:pt idx="39">
                  <c:v>4.1823529411764699</c:v>
                </c:pt>
                <c:pt idx="40">
                  <c:v>4.0666666666666664</c:v>
                </c:pt>
                <c:pt idx="41">
                  <c:v>4.25</c:v>
                </c:pt>
                <c:pt idx="42">
                  <c:v>4.1000000000000005</c:v>
                </c:pt>
                <c:pt idx="43">
                  <c:v>3.9</c:v>
                </c:pt>
                <c:pt idx="44">
                  <c:v>3.9249999999999998</c:v>
                </c:pt>
                <c:pt idx="45">
                  <c:v>4</c:v>
                </c:pt>
                <c:pt idx="46">
                  <c:v>4.05</c:v>
                </c:pt>
                <c:pt idx="47">
                  <c:v>4.3</c:v>
                </c:pt>
                <c:pt idx="48">
                  <c:v>4.0999999999999996</c:v>
                </c:pt>
                <c:pt idx="49">
                  <c:v>4.3</c:v>
                </c:pt>
                <c:pt idx="50">
                  <c:v>3.9799999999999995</c:v>
                </c:pt>
                <c:pt idx="51">
                  <c:v>4.3</c:v>
                </c:pt>
                <c:pt idx="52">
                  <c:v>4.4000000000000004</c:v>
                </c:pt>
                <c:pt idx="53">
                  <c:v>4.2</c:v>
                </c:pt>
                <c:pt idx="54">
                  <c:v>3.4</c:v>
                </c:pt>
                <c:pt idx="55">
                  <c:v>4.3</c:v>
                </c:pt>
                <c:pt idx="56">
                  <c:v>4.1222222222222209</c:v>
                </c:pt>
                <c:pt idx="57">
                  <c:v>3.85</c:v>
                </c:pt>
                <c:pt idx="58">
                  <c:v>4.3</c:v>
                </c:pt>
                <c:pt idx="59">
                  <c:v>4.0600000000000005</c:v>
                </c:pt>
                <c:pt idx="60">
                  <c:v>4.2</c:v>
                </c:pt>
                <c:pt idx="61">
                  <c:v>4.2</c:v>
                </c:pt>
                <c:pt idx="62">
                  <c:v>4.05</c:v>
                </c:pt>
                <c:pt idx="63">
                  <c:v>3.9</c:v>
                </c:pt>
                <c:pt idx="64">
                  <c:v>4.0999999999999996</c:v>
                </c:pt>
                <c:pt idx="65">
                  <c:v>4.2</c:v>
                </c:pt>
                <c:pt idx="66">
                  <c:v>4.3</c:v>
                </c:pt>
                <c:pt idx="67">
                  <c:v>4.08</c:v>
                </c:pt>
                <c:pt idx="68">
                  <c:v>4.2</c:v>
                </c:pt>
                <c:pt idx="69">
                  <c:v>4.2</c:v>
                </c:pt>
                <c:pt idx="70">
                  <c:v>4.166666666666667</c:v>
                </c:pt>
                <c:pt idx="71">
                  <c:v>4.0908589440504386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D0-4190-9F2D-532EED058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01279"/>
        <c:axId val="1538212239"/>
      </c:scatterChart>
      <c:valAx>
        <c:axId val="159900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12239"/>
        <c:crosses val="autoZero"/>
        <c:crossBetween val="midCat"/>
      </c:valAx>
      <c:valAx>
        <c:axId val="15382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0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MADE.xlsx]Sheet6!PivotTable10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5-4233-B20E-6EAB0ED31A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5-4233-B20E-6EAB0ED31A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75-4233-B20E-6EAB0ED31A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75-4233-B20E-6EAB0ED31A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75-4233-B20E-6EAB0ED31A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75-4233-B20E-6EAB0ED31A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75-4233-B20E-6EAB0ED31A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75-4233-B20E-6EAB0ED31A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75-4233-B20E-6EAB0ED31A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275-4233-B20E-6EAB0ED31A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275-4233-B20E-6EAB0ED31A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75-4233-B20E-6EAB0ED31A0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275-4233-B20E-6EAB0ED31A0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275-4233-B20E-6EAB0ED31A0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275-4233-B20E-6EAB0ED31A0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275-4233-B20E-6EAB0ED31A0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275-4233-B20E-6EAB0ED31A0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275-4233-B20E-6EAB0ED31A0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275-4233-B20E-6EAB0ED31A0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275-4233-B20E-6EAB0ED31A0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275-4233-B20E-6EAB0ED31A0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275-4233-B20E-6EAB0ED31A0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275-4233-B20E-6EAB0ED31A0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275-4233-B20E-6EAB0ED31A0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275-4233-B20E-6EAB0ED31A0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275-4233-B20E-6EAB0ED31A0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275-4233-B20E-6EAB0ED31A0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275-4233-B20E-6EAB0ED31A0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275-4233-B20E-6EAB0ED31A0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275-4233-B20E-6EAB0ED31A0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275-4233-B20E-6EAB0ED31A0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275-4233-B20E-6EAB0ED31A0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275-4233-B20E-6EAB0ED31A0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275-4233-B20E-6EAB0ED31A0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275-4233-B20E-6EAB0ED31A0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275-4233-B20E-6EAB0ED31A0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275-4233-B20E-6EAB0ED31A0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275-4233-B20E-6EAB0ED31A0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275-4233-B20E-6EAB0ED31A0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275-4233-B20E-6EAB0ED31A0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275-4233-B20E-6EAB0ED31A0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275-4233-B20E-6EAB0ED31A0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275-4233-B20E-6EAB0ED31A0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275-4233-B20E-6EAB0ED31A0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275-4233-B20E-6EAB0ED31A0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275-4233-B20E-6EAB0ED31A0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275-4233-B20E-6EAB0ED31A0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275-4233-B20E-6EAB0ED31A0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275-4233-B20E-6EAB0ED31A0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275-4233-B20E-6EAB0ED31A0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275-4233-B20E-6EAB0ED31A0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7275-4233-B20E-6EAB0ED31A0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7275-4233-B20E-6EAB0ED31A0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7275-4233-B20E-6EAB0ED31A0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7275-4233-B20E-6EAB0ED31A0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7275-4233-B20E-6EAB0ED31A0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7275-4233-B20E-6EAB0ED31A0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7275-4233-B20E-6EAB0ED31A0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7275-4233-B20E-6EAB0ED31A0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7275-4233-B20E-6EAB0ED31A0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7275-4233-B20E-6EAB0ED31A0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7275-4233-B20E-6EAB0ED31A0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7275-4233-B20E-6EAB0ED31A0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7275-4233-B20E-6EAB0ED31A0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7275-4233-B20E-6EAB0ED31A0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7275-4233-B20E-6EAB0ED31A0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7275-4233-B20E-6EAB0ED31A0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05A-4759-B935-80F8242D1B0C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05A-4759-B935-80F8242D1B0C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05A-4759-B935-80F8242D1B0C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05A-4759-B935-80F8242D1B0C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05A-4759-B935-80F8242D1B0C}"/>
              </c:ext>
            </c:extLst>
          </c:dPt>
          <c:cat>
            <c:strRef>
              <c:f>Sheet6!$A$5:$A$77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Sheet6!$B$5:$B$77</c:f>
              <c:numCache>
                <c:formatCode>General</c:formatCode>
                <c:ptCount val="72"/>
                <c:pt idx="0">
                  <c:v>123</c:v>
                </c:pt>
                <c:pt idx="1">
                  <c:v>15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28</c:v>
                </c:pt>
                <c:pt idx="6">
                  <c:v>8</c:v>
                </c:pt>
                <c:pt idx="7">
                  <c:v>38</c:v>
                </c:pt>
                <c:pt idx="8">
                  <c:v>22</c:v>
                </c:pt>
                <c:pt idx="9">
                  <c:v>7</c:v>
                </c:pt>
                <c:pt idx="10">
                  <c:v>49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14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28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24</c:v>
                </c:pt>
                <c:pt idx="26">
                  <c:v>7</c:v>
                </c:pt>
                <c:pt idx="27">
                  <c:v>7</c:v>
                </c:pt>
                <c:pt idx="28">
                  <c:v>22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48</c:v>
                </c:pt>
                <c:pt idx="33">
                  <c:v>7</c:v>
                </c:pt>
                <c:pt idx="34">
                  <c:v>52</c:v>
                </c:pt>
                <c:pt idx="35">
                  <c:v>21</c:v>
                </c:pt>
                <c:pt idx="36">
                  <c:v>8</c:v>
                </c:pt>
                <c:pt idx="37">
                  <c:v>7</c:v>
                </c:pt>
                <c:pt idx="38">
                  <c:v>15</c:v>
                </c:pt>
                <c:pt idx="39">
                  <c:v>135</c:v>
                </c:pt>
                <c:pt idx="40">
                  <c:v>22</c:v>
                </c:pt>
                <c:pt idx="41">
                  <c:v>15</c:v>
                </c:pt>
                <c:pt idx="42">
                  <c:v>22</c:v>
                </c:pt>
                <c:pt idx="43">
                  <c:v>7</c:v>
                </c:pt>
                <c:pt idx="44">
                  <c:v>29</c:v>
                </c:pt>
                <c:pt idx="45">
                  <c:v>8</c:v>
                </c:pt>
                <c:pt idx="46">
                  <c:v>14</c:v>
                </c:pt>
                <c:pt idx="47">
                  <c:v>8</c:v>
                </c:pt>
                <c:pt idx="48">
                  <c:v>7</c:v>
                </c:pt>
                <c:pt idx="49">
                  <c:v>8</c:v>
                </c:pt>
                <c:pt idx="50">
                  <c:v>35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7</c:v>
                </c:pt>
                <c:pt idx="55">
                  <c:v>7</c:v>
                </c:pt>
                <c:pt idx="56">
                  <c:v>189</c:v>
                </c:pt>
                <c:pt idx="57">
                  <c:v>16</c:v>
                </c:pt>
                <c:pt idx="58">
                  <c:v>8</c:v>
                </c:pt>
                <c:pt idx="59">
                  <c:v>37</c:v>
                </c:pt>
                <c:pt idx="60">
                  <c:v>7</c:v>
                </c:pt>
                <c:pt idx="61">
                  <c:v>21</c:v>
                </c:pt>
                <c:pt idx="62">
                  <c:v>16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35</c:v>
                </c:pt>
                <c:pt idx="68">
                  <c:v>8</c:v>
                </c:pt>
                <c:pt idx="69">
                  <c:v>21</c:v>
                </c:pt>
                <c:pt idx="70">
                  <c:v>21</c:v>
                </c:pt>
                <c:pt idx="7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7275-4233-B20E-6EAB0ED31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MADE.xlsx]Sheet14!PivotTable11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Sheet14!$A$2:$A$74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Sheet14!$B$2:$B$74</c:f>
              <c:numCache>
                <c:formatCode>General</c:formatCode>
                <c:ptCount val="72"/>
                <c:pt idx="0">
                  <c:v>0.47804878048780491</c:v>
                </c:pt>
                <c:pt idx="1">
                  <c:v>0.46933333333333332</c:v>
                </c:pt>
                <c:pt idx="2">
                  <c:v>0.44571428571428573</c:v>
                </c:pt>
                <c:pt idx="3">
                  <c:v>0.38</c:v>
                </c:pt>
                <c:pt idx="4">
                  <c:v>0.40714285714285708</c:v>
                </c:pt>
                <c:pt idx="5">
                  <c:v>0.49000000000000005</c:v>
                </c:pt>
                <c:pt idx="6">
                  <c:v>0.47</c:v>
                </c:pt>
                <c:pt idx="7">
                  <c:v>0.47315789473684211</c:v>
                </c:pt>
                <c:pt idx="8">
                  <c:v>0.46727272727272734</c:v>
                </c:pt>
                <c:pt idx="9">
                  <c:v>0.51428571428571423</c:v>
                </c:pt>
                <c:pt idx="10">
                  <c:v>0.50530612244897977</c:v>
                </c:pt>
                <c:pt idx="11">
                  <c:v>0.49625000000000002</c:v>
                </c:pt>
                <c:pt idx="12">
                  <c:v>0.52428571428571435</c:v>
                </c:pt>
                <c:pt idx="13">
                  <c:v>0.67714285714285716</c:v>
                </c:pt>
                <c:pt idx="14">
                  <c:v>0.43125000000000013</c:v>
                </c:pt>
                <c:pt idx="15">
                  <c:v>0.47857142857142854</c:v>
                </c:pt>
                <c:pt idx="16">
                  <c:v>0.31285714285714289</c:v>
                </c:pt>
                <c:pt idx="17">
                  <c:v>0.38142857142857151</c:v>
                </c:pt>
                <c:pt idx="18">
                  <c:v>0.46874999999999994</c:v>
                </c:pt>
                <c:pt idx="19">
                  <c:v>0.49428571428571427</c:v>
                </c:pt>
                <c:pt idx="20">
                  <c:v>0.42857142857142855</c:v>
                </c:pt>
                <c:pt idx="21">
                  <c:v>0.47107142857142853</c:v>
                </c:pt>
                <c:pt idx="22">
                  <c:v>0.54749999999999999</c:v>
                </c:pt>
                <c:pt idx="23">
                  <c:v>0.39500000000000002</c:v>
                </c:pt>
                <c:pt idx="24">
                  <c:v>0.46428571428571425</c:v>
                </c:pt>
                <c:pt idx="25">
                  <c:v>0.47083333333333338</c:v>
                </c:pt>
                <c:pt idx="26">
                  <c:v>0.46142857142857147</c:v>
                </c:pt>
                <c:pt idx="27">
                  <c:v>0.57428571428571418</c:v>
                </c:pt>
                <c:pt idx="28">
                  <c:v>0.46318181818181825</c:v>
                </c:pt>
                <c:pt idx="29">
                  <c:v>0.55999999999999994</c:v>
                </c:pt>
                <c:pt idx="30">
                  <c:v>0.3928571428571429</c:v>
                </c:pt>
                <c:pt idx="31">
                  <c:v>0.34857142857142859</c:v>
                </c:pt>
                <c:pt idx="32">
                  <c:v>0.48833333333333334</c:v>
                </c:pt>
                <c:pt idx="33">
                  <c:v>0.4528571428571429</c:v>
                </c:pt>
                <c:pt idx="34">
                  <c:v>0.4711538461538462</c:v>
                </c:pt>
                <c:pt idx="35">
                  <c:v>0.48095238095238102</c:v>
                </c:pt>
                <c:pt idx="36">
                  <c:v>0.47750000000000004</c:v>
                </c:pt>
                <c:pt idx="37">
                  <c:v>0.45</c:v>
                </c:pt>
                <c:pt idx="38">
                  <c:v>0.56266666666666665</c:v>
                </c:pt>
                <c:pt idx="39">
                  <c:v>0.47970370370370385</c:v>
                </c:pt>
                <c:pt idx="40">
                  <c:v>0.52499999999999991</c:v>
                </c:pt>
                <c:pt idx="41">
                  <c:v>0.51466666666666661</c:v>
                </c:pt>
                <c:pt idx="42">
                  <c:v>0.5181818181818183</c:v>
                </c:pt>
                <c:pt idx="43">
                  <c:v>0.48285714285714282</c:v>
                </c:pt>
                <c:pt idx="44">
                  <c:v>0.50724137931034496</c:v>
                </c:pt>
                <c:pt idx="45">
                  <c:v>0.50375000000000003</c:v>
                </c:pt>
                <c:pt idx="46">
                  <c:v>0.53428571428571425</c:v>
                </c:pt>
                <c:pt idx="47">
                  <c:v>0.54</c:v>
                </c:pt>
                <c:pt idx="48">
                  <c:v>0.53857142857142859</c:v>
                </c:pt>
                <c:pt idx="49">
                  <c:v>0.58625000000000005</c:v>
                </c:pt>
                <c:pt idx="50">
                  <c:v>0.46685714285714275</c:v>
                </c:pt>
                <c:pt idx="51">
                  <c:v>0.51749999999999996</c:v>
                </c:pt>
                <c:pt idx="52">
                  <c:v>0.40375</c:v>
                </c:pt>
                <c:pt idx="53">
                  <c:v>0.39750000000000002</c:v>
                </c:pt>
                <c:pt idx="54">
                  <c:v>0.32571428571428573</c:v>
                </c:pt>
                <c:pt idx="55">
                  <c:v>0.52428571428571424</c:v>
                </c:pt>
                <c:pt idx="56">
                  <c:v>0.4565608465608465</c:v>
                </c:pt>
                <c:pt idx="57">
                  <c:v>0.55249999999999999</c:v>
                </c:pt>
                <c:pt idx="58">
                  <c:v>0.30249999999999999</c:v>
                </c:pt>
                <c:pt idx="59">
                  <c:v>0.46432432432432424</c:v>
                </c:pt>
                <c:pt idx="60">
                  <c:v>0.48142857142857137</c:v>
                </c:pt>
                <c:pt idx="61">
                  <c:v>0.48476190476190484</c:v>
                </c:pt>
                <c:pt idx="62">
                  <c:v>0.57000000000000006</c:v>
                </c:pt>
                <c:pt idx="63">
                  <c:v>0.38142857142857139</c:v>
                </c:pt>
                <c:pt idx="64">
                  <c:v>0.48428571428571437</c:v>
                </c:pt>
                <c:pt idx="65">
                  <c:v>0.46714285714285714</c:v>
                </c:pt>
                <c:pt idx="66">
                  <c:v>0.49857142857142855</c:v>
                </c:pt>
                <c:pt idx="67">
                  <c:v>0.51028571428571423</c:v>
                </c:pt>
                <c:pt idx="68">
                  <c:v>0.54375000000000007</c:v>
                </c:pt>
                <c:pt idx="69">
                  <c:v>0.50714285714285712</c:v>
                </c:pt>
                <c:pt idx="70">
                  <c:v>0.47523809523809518</c:v>
                </c:pt>
                <c:pt idx="71">
                  <c:v>0.39689655172413796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1-496E-8092-561E4BF6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431887"/>
        <c:axId val="1336606639"/>
      </c:barChart>
      <c:catAx>
        <c:axId val="163243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606639"/>
        <c:crosses val="autoZero"/>
        <c:auto val="1"/>
        <c:lblAlgn val="ctr"/>
        <c:lblOffset val="100"/>
        <c:noMultiLvlLbl val="0"/>
      </c:catAx>
      <c:valAx>
        <c:axId val="13366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43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MADE.xlsx]Sheet6!PivotTable10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CE-4491-948B-784EE9D42B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CE-4491-948B-784EE9D42B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CE-4491-948B-784EE9D42B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CE-4491-948B-784EE9D42B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CE-4491-948B-784EE9D42B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CE-4491-948B-784EE9D42B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CE-4491-948B-784EE9D42B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CE-4491-948B-784EE9D42B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CE-4491-948B-784EE9D42B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CCE-4491-948B-784EE9D42B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CCE-4491-948B-784EE9D42B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CCE-4491-948B-784EE9D42B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CCE-4491-948B-784EE9D42B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CCE-4491-948B-784EE9D42BC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CCE-4491-948B-784EE9D42BC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CCE-4491-948B-784EE9D42B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CCE-4491-948B-784EE9D42BC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CCE-4491-948B-784EE9D42BC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CCE-4491-948B-784EE9D42BC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CCE-4491-948B-784EE9D42BC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CCE-4491-948B-784EE9D42BC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CCE-4491-948B-784EE9D42BC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CCE-4491-948B-784EE9D42BC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CCE-4491-948B-784EE9D42BC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CCE-4491-948B-784EE9D42BC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CCE-4491-948B-784EE9D42BC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CCE-4491-948B-784EE9D42BC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CCE-4491-948B-784EE9D42BC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CCE-4491-948B-784EE9D42BC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CCE-4491-948B-784EE9D42BC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CCE-4491-948B-784EE9D42BC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CCE-4491-948B-784EE9D42BC7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CCE-4491-948B-784EE9D42BC7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CCE-4491-948B-784EE9D42BC7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CCE-4491-948B-784EE9D42BC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CCE-4491-948B-784EE9D42BC7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CCE-4491-948B-784EE9D42BC7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CCE-4491-948B-784EE9D42BC7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CCE-4491-948B-784EE9D42BC7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CCE-4491-948B-784EE9D42BC7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CCE-4491-948B-784EE9D42BC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CCE-4491-948B-784EE9D42BC7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CCE-4491-948B-784EE9D42BC7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CCE-4491-948B-784EE9D42BC7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CCE-4491-948B-784EE9D42BC7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CCE-4491-948B-784EE9D42BC7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CCE-4491-948B-784EE9D42BC7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CCE-4491-948B-784EE9D42BC7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CCE-4491-948B-784EE9D42BC7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CCE-4491-948B-784EE9D42BC7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CCE-4491-948B-784EE9D42BC7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1CCE-4491-948B-784EE9D42BC7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1CCE-4491-948B-784EE9D42BC7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CCE-4491-948B-784EE9D42BC7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CCE-4491-948B-784EE9D42BC7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CCE-4491-948B-784EE9D42BC7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1CCE-4491-948B-784EE9D42BC7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1CCE-4491-948B-784EE9D42BC7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1CCE-4491-948B-784EE9D42BC7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1CCE-4491-948B-784EE9D42BC7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1CCE-4491-948B-784EE9D42BC7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1CCE-4491-948B-784EE9D42BC7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1CCE-4491-948B-784EE9D42BC7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1CCE-4491-948B-784EE9D42BC7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1CCE-4491-948B-784EE9D42BC7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1CCE-4491-948B-784EE9D42BC7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1CCE-4491-948B-784EE9D42BC7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1CCE-4491-948B-784EE9D42BC7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1CCE-4491-948B-784EE9D42BC7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1CCE-4491-948B-784EE9D42BC7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1CCE-4491-948B-784EE9D42BC7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1CCE-4491-948B-784EE9D42BC7}"/>
              </c:ext>
            </c:extLst>
          </c:dPt>
          <c:cat>
            <c:strRef>
              <c:f>Sheet6!$A$5:$A$77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Sheet6!$B$5:$B$77</c:f>
              <c:numCache>
                <c:formatCode>General</c:formatCode>
                <c:ptCount val="72"/>
                <c:pt idx="0">
                  <c:v>123</c:v>
                </c:pt>
                <c:pt idx="1">
                  <c:v>15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28</c:v>
                </c:pt>
                <c:pt idx="6">
                  <c:v>8</c:v>
                </c:pt>
                <c:pt idx="7">
                  <c:v>38</c:v>
                </c:pt>
                <c:pt idx="8">
                  <c:v>22</c:v>
                </c:pt>
                <c:pt idx="9">
                  <c:v>7</c:v>
                </c:pt>
                <c:pt idx="10">
                  <c:v>49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14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28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24</c:v>
                </c:pt>
                <c:pt idx="26">
                  <c:v>7</c:v>
                </c:pt>
                <c:pt idx="27">
                  <c:v>7</c:v>
                </c:pt>
                <c:pt idx="28">
                  <c:v>22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48</c:v>
                </c:pt>
                <c:pt idx="33">
                  <c:v>7</c:v>
                </c:pt>
                <c:pt idx="34">
                  <c:v>52</c:v>
                </c:pt>
                <c:pt idx="35">
                  <c:v>21</c:v>
                </c:pt>
                <c:pt idx="36">
                  <c:v>8</c:v>
                </c:pt>
                <c:pt idx="37">
                  <c:v>7</c:v>
                </c:pt>
                <c:pt idx="38">
                  <c:v>15</c:v>
                </c:pt>
                <c:pt idx="39">
                  <c:v>135</c:v>
                </c:pt>
                <c:pt idx="40">
                  <c:v>22</c:v>
                </c:pt>
                <c:pt idx="41">
                  <c:v>15</c:v>
                </c:pt>
                <c:pt idx="42">
                  <c:v>22</c:v>
                </c:pt>
                <c:pt idx="43">
                  <c:v>7</c:v>
                </c:pt>
                <c:pt idx="44">
                  <c:v>29</c:v>
                </c:pt>
                <c:pt idx="45">
                  <c:v>8</c:v>
                </c:pt>
                <c:pt idx="46">
                  <c:v>14</c:v>
                </c:pt>
                <c:pt idx="47">
                  <c:v>8</c:v>
                </c:pt>
                <c:pt idx="48">
                  <c:v>7</c:v>
                </c:pt>
                <c:pt idx="49">
                  <c:v>8</c:v>
                </c:pt>
                <c:pt idx="50">
                  <c:v>35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7</c:v>
                </c:pt>
                <c:pt idx="55">
                  <c:v>7</c:v>
                </c:pt>
                <c:pt idx="56">
                  <c:v>189</c:v>
                </c:pt>
                <c:pt idx="57">
                  <c:v>16</c:v>
                </c:pt>
                <c:pt idx="58">
                  <c:v>8</c:v>
                </c:pt>
                <c:pt idx="59">
                  <c:v>37</c:v>
                </c:pt>
                <c:pt idx="60">
                  <c:v>7</c:v>
                </c:pt>
                <c:pt idx="61">
                  <c:v>21</c:v>
                </c:pt>
                <c:pt idx="62">
                  <c:v>16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35</c:v>
                </c:pt>
                <c:pt idx="68">
                  <c:v>8</c:v>
                </c:pt>
                <c:pt idx="69">
                  <c:v>21</c:v>
                </c:pt>
                <c:pt idx="70">
                  <c:v>21</c:v>
                </c:pt>
                <c:pt idx="7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F-47FC-9512-4BC7CFE6A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Sheet12!$A$1</c:f>
              <c:strCache>
                <c:ptCount val="1"/>
                <c:pt idx="0">
                  <c:v>Row Labels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Sheet12!$A$2:$A$73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FA-40A6-8BEA-6B7C36C2BC85}"/>
            </c:ext>
          </c:extLst>
        </c:ser>
        <c:ser>
          <c:idx val="1"/>
          <c:order val="1"/>
          <c:tx>
            <c:strRef>
              <c:f>Sheet12!$B$1</c:f>
              <c:strCache>
                <c:ptCount val="1"/>
                <c:pt idx="0">
                  <c:v>Average of discounted_price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Sheet12!$B$2:$B$73</c:f>
              <c:numCache>
                <c:formatCode>General</c:formatCode>
                <c:ptCount val="72"/>
                <c:pt idx="0">
                  <c:v>4271.1643750000003</c:v>
                </c:pt>
                <c:pt idx="1">
                  <c:v>10089</c:v>
                </c:pt>
                <c:pt idx="2">
                  <c:v>849</c:v>
                </c:pt>
                <c:pt idx="3">
                  <c:v>8990</c:v>
                </c:pt>
                <c:pt idx="4">
                  <c:v>1399</c:v>
                </c:pt>
                <c:pt idx="5">
                  <c:v>7961</c:v>
                </c:pt>
                <c:pt idx="6">
                  <c:v>13999</c:v>
                </c:pt>
                <c:pt idx="7">
                  <c:v>5307.2</c:v>
                </c:pt>
                <c:pt idx="8">
                  <c:v>10192</c:v>
                </c:pt>
                <c:pt idx="9">
                  <c:v>18990</c:v>
                </c:pt>
                <c:pt idx="10">
                  <c:v>7242</c:v>
                </c:pt>
                <c:pt idx="11">
                  <c:v>1199</c:v>
                </c:pt>
                <c:pt idx="12">
                  <c:v>489</c:v>
                </c:pt>
                <c:pt idx="13">
                  <c:v>399</c:v>
                </c:pt>
                <c:pt idx="14">
                  <c:v>179</c:v>
                </c:pt>
                <c:pt idx="15">
                  <c:v>1599</c:v>
                </c:pt>
                <c:pt idx="16">
                  <c:v>3894.5</c:v>
                </c:pt>
                <c:pt idx="17">
                  <c:v>149</c:v>
                </c:pt>
                <c:pt idx="18">
                  <c:v>230</c:v>
                </c:pt>
                <c:pt idx="19">
                  <c:v>269</c:v>
                </c:pt>
                <c:pt idx="20">
                  <c:v>8499</c:v>
                </c:pt>
                <c:pt idx="21">
                  <c:v>6771</c:v>
                </c:pt>
                <c:pt idx="22">
                  <c:v>7999</c:v>
                </c:pt>
                <c:pt idx="23">
                  <c:v>263</c:v>
                </c:pt>
                <c:pt idx="24">
                  <c:v>349</c:v>
                </c:pt>
                <c:pt idx="25">
                  <c:v>4272.666666666667</c:v>
                </c:pt>
                <c:pt idx="26">
                  <c:v>205</c:v>
                </c:pt>
                <c:pt idx="27">
                  <c:v>499</c:v>
                </c:pt>
                <c:pt idx="28">
                  <c:v>22129.333333333332</c:v>
                </c:pt>
                <c:pt idx="29">
                  <c:v>249</c:v>
                </c:pt>
                <c:pt idx="30">
                  <c:v>273.10000000000002</c:v>
                </c:pt>
                <c:pt idx="31">
                  <c:v>21999</c:v>
                </c:pt>
                <c:pt idx="32">
                  <c:v>281</c:v>
                </c:pt>
                <c:pt idx="33">
                  <c:v>349</c:v>
                </c:pt>
                <c:pt idx="34">
                  <c:v>547.57142857142856</c:v>
                </c:pt>
                <c:pt idx="35">
                  <c:v>10179.333333333334</c:v>
                </c:pt>
                <c:pt idx="36">
                  <c:v>349</c:v>
                </c:pt>
                <c:pt idx="37">
                  <c:v>299</c:v>
                </c:pt>
                <c:pt idx="38">
                  <c:v>6890</c:v>
                </c:pt>
                <c:pt idx="39">
                  <c:v>3220.8823529411766</c:v>
                </c:pt>
                <c:pt idx="40">
                  <c:v>7129.333333333333</c:v>
                </c:pt>
                <c:pt idx="41">
                  <c:v>18999</c:v>
                </c:pt>
                <c:pt idx="42">
                  <c:v>404.33333333333331</c:v>
                </c:pt>
                <c:pt idx="43">
                  <c:v>139</c:v>
                </c:pt>
                <c:pt idx="44">
                  <c:v>863</c:v>
                </c:pt>
                <c:pt idx="45">
                  <c:v>59</c:v>
                </c:pt>
                <c:pt idx="46">
                  <c:v>8109</c:v>
                </c:pt>
                <c:pt idx="47">
                  <c:v>154</c:v>
                </c:pt>
                <c:pt idx="48">
                  <c:v>399</c:v>
                </c:pt>
                <c:pt idx="49">
                  <c:v>154</c:v>
                </c:pt>
                <c:pt idx="50">
                  <c:v>6534.4</c:v>
                </c:pt>
                <c:pt idx="51">
                  <c:v>219</c:v>
                </c:pt>
                <c:pt idx="52">
                  <c:v>219</c:v>
                </c:pt>
                <c:pt idx="53">
                  <c:v>6999</c:v>
                </c:pt>
                <c:pt idx="54">
                  <c:v>7299</c:v>
                </c:pt>
                <c:pt idx="55">
                  <c:v>325</c:v>
                </c:pt>
                <c:pt idx="56">
                  <c:v>1496.9959259259258</c:v>
                </c:pt>
                <c:pt idx="57">
                  <c:v>169</c:v>
                </c:pt>
                <c:pt idx="58">
                  <c:v>13490</c:v>
                </c:pt>
                <c:pt idx="59">
                  <c:v>298.60000000000002</c:v>
                </c:pt>
                <c:pt idx="60">
                  <c:v>9999</c:v>
                </c:pt>
                <c:pt idx="61">
                  <c:v>249</c:v>
                </c:pt>
                <c:pt idx="62">
                  <c:v>239</c:v>
                </c:pt>
                <c:pt idx="63">
                  <c:v>179</c:v>
                </c:pt>
                <c:pt idx="64">
                  <c:v>199</c:v>
                </c:pt>
                <c:pt idx="65">
                  <c:v>399</c:v>
                </c:pt>
                <c:pt idx="66">
                  <c:v>27999</c:v>
                </c:pt>
                <c:pt idx="67">
                  <c:v>3708.4</c:v>
                </c:pt>
                <c:pt idx="68">
                  <c:v>649</c:v>
                </c:pt>
                <c:pt idx="69">
                  <c:v>3638</c:v>
                </c:pt>
                <c:pt idx="70">
                  <c:v>11245.666666666666</c:v>
                </c:pt>
                <c:pt idx="71">
                  <c:v>2955.2612677165353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FA-40A6-8BEA-6B7C36C2BC85}"/>
            </c:ext>
          </c:extLst>
        </c:ser>
        <c:ser>
          <c:idx val="2"/>
          <c:order val="2"/>
          <c:tx>
            <c:strRef>
              <c:f>Sheet12!$C$1</c:f>
              <c:strCache>
                <c:ptCount val="1"/>
                <c:pt idx="0">
                  <c:v>Average of rating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Sheet12!$C$2:$C$73</c:f>
              <c:numCache>
                <c:formatCode>General</c:formatCode>
                <c:ptCount val="72"/>
                <c:pt idx="0">
                  <c:v>4.0875000000000004</c:v>
                </c:pt>
                <c:pt idx="1">
                  <c:v>4.1500000000000004</c:v>
                </c:pt>
                <c:pt idx="2">
                  <c:v>4.3</c:v>
                </c:pt>
                <c:pt idx="3">
                  <c:v>3.9</c:v>
                </c:pt>
                <c:pt idx="4">
                  <c:v>4.4000000000000004</c:v>
                </c:pt>
                <c:pt idx="5">
                  <c:v>4.0999999999999996</c:v>
                </c:pt>
                <c:pt idx="6">
                  <c:v>4.2</c:v>
                </c:pt>
                <c:pt idx="7">
                  <c:v>4.2799999999999994</c:v>
                </c:pt>
                <c:pt idx="8">
                  <c:v>4.2333333333333334</c:v>
                </c:pt>
                <c:pt idx="9">
                  <c:v>4.2</c:v>
                </c:pt>
                <c:pt idx="10">
                  <c:v>4.0571428571428569</c:v>
                </c:pt>
                <c:pt idx="11">
                  <c:v>4.4000000000000004</c:v>
                </c:pt>
                <c:pt idx="12">
                  <c:v>4.4000000000000004</c:v>
                </c:pt>
                <c:pt idx="13">
                  <c:v>4.3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4.0999999999999996</c:v>
                </c:pt>
                <c:pt idx="17">
                  <c:v>4</c:v>
                </c:pt>
                <c:pt idx="18">
                  <c:v>3.7</c:v>
                </c:pt>
                <c:pt idx="19">
                  <c:v>3.6</c:v>
                </c:pt>
                <c:pt idx="20">
                  <c:v>4.3</c:v>
                </c:pt>
                <c:pt idx="21">
                  <c:v>4.2249999999999996</c:v>
                </c:pt>
                <c:pt idx="22">
                  <c:v>4.3</c:v>
                </c:pt>
                <c:pt idx="23">
                  <c:v>4.0999999999999996</c:v>
                </c:pt>
                <c:pt idx="24">
                  <c:v>4</c:v>
                </c:pt>
                <c:pt idx="25">
                  <c:v>4.333333333333333</c:v>
                </c:pt>
                <c:pt idx="26">
                  <c:v>3.8</c:v>
                </c:pt>
                <c:pt idx="27">
                  <c:v>4.3</c:v>
                </c:pt>
                <c:pt idx="28">
                  <c:v>4.2666666666666666</c:v>
                </c:pt>
                <c:pt idx="29">
                  <c:v>4</c:v>
                </c:pt>
                <c:pt idx="30">
                  <c:v>4.3</c:v>
                </c:pt>
                <c:pt idx="31">
                  <c:v>4.2</c:v>
                </c:pt>
                <c:pt idx="32">
                  <c:v>4.0166666666666666</c:v>
                </c:pt>
                <c:pt idx="33">
                  <c:v>4.3</c:v>
                </c:pt>
                <c:pt idx="34">
                  <c:v>4.2142857142857135</c:v>
                </c:pt>
                <c:pt idx="35">
                  <c:v>4.3666666666666663</c:v>
                </c:pt>
                <c:pt idx="36">
                  <c:v>4.4000000000000004</c:v>
                </c:pt>
                <c:pt idx="37">
                  <c:v>4.2</c:v>
                </c:pt>
                <c:pt idx="38">
                  <c:v>4</c:v>
                </c:pt>
                <c:pt idx="39">
                  <c:v>4.1823529411764699</c:v>
                </c:pt>
                <c:pt idx="40">
                  <c:v>4.0666666666666664</c:v>
                </c:pt>
                <c:pt idx="41">
                  <c:v>4.25</c:v>
                </c:pt>
                <c:pt idx="42">
                  <c:v>4.1000000000000005</c:v>
                </c:pt>
                <c:pt idx="43">
                  <c:v>3.9</c:v>
                </c:pt>
                <c:pt idx="44">
                  <c:v>3.9249999999999998</c:v>
                </c:pt>
                <c:pt idx="45">
                  <c:v>4</c:v>
                </c:pt>
                <c:pt idx="46">
                  <c:v>4.05</c:v>
                </c:pt>
                <c:pt idx="47">
                  <c:v>4.3</c:v>
                </c:pt>
                <c:pt idx="48">
                  <c:v>4.0999999999999996</c:v>
                </c:pt>
                <c:pt idx="49">
                  <c:v>4.3</c:v>
                </c:pt>
                <c:pt idx="50">
                  <c:v>3.9799999999999995</c:v>
                </c:pt>
                <c:pt idx="51">
                  <c:v>4.3</c:v>
                </c:pt>
                <c:pt idx="52">
                  <c:v>4.4000000000000004</c:v>
                </c:pt>
                <c:pt idx="53">
                  <c:v>4.2</c:v>
                </c:pt>
                <c:pt idx="54">
                  <c:v>3.4</c:v>
                </c:pt>
                <c:pt idx="55">
                  <c:v>4.3</c:v>
                </c:pt>
                <c:pt idx="56">
                  <c:v>4.1222222222222209</c:v>
                </c:pt>
                <c:pt idx="57">
                  <c:v>3.85</c:v>
                </c:pt>
                <c:pt idx="58">
                  <c:v>4.3</c:v>
                </c:pt>
                <c:pt idx="59">
                  <c:v>4.0600000000000005</c:v>
                </c:pt>
                <c:pt idx="60">
                  <c:v>4.2</c:v>
                </c:pt>
                <c:pt idx="61">
                  <c:v>4.2</c:v>
                </c:pt>
                <c:pt idx="62">
                  <c:v>4.05</c:v>
                </c:pt>
                <c:pt idx="63">
                  <c:v>3.9</c:v>
                </c:pt>
                <c:pt idx="64">
                  <c:v>4.0999999999999996</c:v>
                </c:pt>
                <c:pt idx="65">
                  <c:v>4.2</c:v>
                </c:pt>
                <c:pt idx="66">
                  <c:v>4.3</c:v>
                </c:pt>
                <c:pt idx="67">
                  <c:v>4.08</c:v>
                </c:pt>
                <c:pt idx="68">
                  <c:v>4.2</c:v>
                </c:pt>
                <c:pt idx="69">
                  <c:v>4.2</c:v>
                </c:pt>
                <c:pt idx="70">
                  <c:v>4.166666666666667</c:v>
                </c:pt>
                <c:pt idx="71">
                  <c:v>4.0908589440504386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FA-40A6-8BEA-6B7C36C2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01279"/>
        <c:axId val="1538212239"/>
      </c:scatterChart>
      <c:valAx>
        <c:axId val="159900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12239"/>
        <c:crosses val="autoZero"/>
        <c:crossBetween val="midCat"/>
      </c:valAx>
      <c:valAx>
        <c:axId val="15382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0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72433829127379"/>
          <c:y val="0.23286937978684133"/>
          <c:w val="0.71591781222226247"/>
          <c:h val="0.36617137757220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Sheet5!$A$2:$A$3</c:f>
              <c:strCache>
                <c:ptCount val="1"/>
                <c:pt idx="0">
                  <c:v>AVReceivers&amp;Amplifiers</c:v>
                </c:pt>
              </c:strCache>
            </c:strRef>
          </c:cat>
          <c:val>
            <c:numRef>
              <c:f>Sheet5!$B$2:$B$3</c:f>
              <c:numCache>
                <c:formatCode>General</c:formatCode>
                <c:ptCount val="1"/>
                <c:pt idx="0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E48-B966-6E87C108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484783"/>
        <c:axId val="1538206479"/>
      </c:barChart>
      <c:catAx>
        <c:axId val="16324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06479"/>
        <c:crosses val="autoZero"/>
        <c:auto val="1"/>
        <c:lblAlgn val="ctr"/>
        <c:lblOffset val="100"/>
        <c:noMultiLvlLbl val="0"/>
      </c:catAx>
      <c:valAx>
        <c:axId val="15382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4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23736053367073"/>
          <c:y val="0.10763514567831202"/>
          <c:w val="0.74176945961133434"/>
          <c:h val="0.3982741800007303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7"/>
              <c:pt idx="0">
                <c:v>3DGlasses</c:v>
              </c:pt>
              <c:pt idx="1">
                <c:v>Adapters</c:v>
              </c:pt>
              <c:pt idx="2">
                <c:v>AirPurifiers&amp;Ionizers</c:v>
              </c:pt>
              <c:pt idx="3">
                <c:v>AutomobileAccessories</c:v>
              </c:pt>
              <c:pt idx="4">
                <c:v>Bags&amp;Sleeves</c:v>
              </c:pt>
              <c:pt idx="5">
                <c:v>Bags,Cases&amp;Sleeves</c:v>
              </c:pt>
              <c:pt idx="6">
                <c:v>Basic</c:v>
              </c:pt>
              <c:pt idx="7">
                <c:v>BasicMobiles</c:v>
              </c:pt>
              <c:pt idx="8">
                <c:v>Batteries&amp;Chargers</c:v>
              </c:pt>
              <c:pt idx="9">
                <c:v>BluetoothAdapters</c:v>
              </c:pt>
              <c:pt idx="10">
                <c:v>BluetoothSpeakers</c:v>
              </c:pt>
              <c:pt idx="11">
                <c:v>CableConnectionProtectors</c:v>
              </c:pt>
              <c:pt idx="12">
                <c:v>Cables</c:v>
              </c:pt>
              <c:pt idx="13">
                <c:v>Cables&amp;Adapters</c:v>
              </c:pt>
              <c:pt idx="14">
                <c:v>Caddies</c:v>
              </c:pt>
              <c:pt idx="15">
                <c:v>CameraPrivacyCovers</c:v>
              </c:pt>
              <c:pt idx="16">
                <c:v>Cases&amp;Covers</c:v>
              </c:pt>
              <c:pt idx="17">
                <c:v>CeilingFans</c:v>
              </c:pt>
              <c:pt idx="18">
                <c:v>Chargers</c:v>
              </c:pt>
              <c:pt idx="19">
                <c:v>Cleaners</c:v>
              </c:pt>
              <c:pt idx="20">
                <c:v>CoffeeGrinders</c:v>
              </c:pt>
              <c:pt idx="21">
                <c:v>CoffeeMakerAccessories</c:v>
              </c:pt>
              <c:pt idx="22">
                <c:v>CoffeePresses</c:v>
              </c:pt>
              <c:pt idx="23">
                <c:v>ColouringPens&amp;Markers</c:v>
              </c:pt>
              <c:pt idx="24">
                <c:v>CoolingPads</c:v>
              </c:pt>
              <c:pt idx="25">
                <c:v>Copy&amp;PrintingPaper</c:v>
              </c:pt>
              <c:pt idx="26">
                <c:v>DÃ©cor</c:v>
              </c:pt>
              <c:pt idx="27">
                <c:v>DeepFatFryers</c:v>
              </c:pt>
              <c:pt idx="28">
                <c:v>DigitalKitchenScales</c:v>
              </c:pt>
              <c:pt idx="29">
                <c:v>DomeCameras</c:v>
              </c:pt>
              <c:pt idx="30">
                <c:v>DrawingMedia</c:v>
              </c:pt>
              <c:pt idx="31">
                <c:v>DripCoffeeMachines</c:v>
              </c:pt>
              <c:pt idx="32">
                <c:v>EggBoilers</c:v>
              </c:pt>
              <c:pt idx="33">
                <c:v>ElectricHeaters</c:v>
              </c:pt>
              <c:pt idx="34">
                <c:v>EspressoMachines</c:v>
              </c:pt>
              <c:pt idx="35">
                <c:v>ExhaustFans</c:v>
              </c:pt>
              <c:pt idx="36">
                <c:v>FanHeaters</c:v>
              </c:pt>
              <c:pt idx="37">
                <c:v>FanParts&amp;Accessories</c:v>
              </c:pt>
              <c:pt idx="38">
                <c:v>Film</c:v>
              </c:pt>
              <c:pt idx="39">
                <c:v>Financial&amp;Business</c:v>
              </c:pt>
              <c:pt idx="40">
                <c:v>Gamepads</c:v>
              </c:pt>
              <c:pt idx="41">
                <c:v>GamingKeyboards</c:v>
              </c:pt>
              <c:pt idx="42">
                <c:v>GamingMice</c:v>
              </c:pt>
              <c:pt idx="43">
                <c:v>GraphicTablets</c:v>
              </c:pt>
              <c:pt idx="44">
                <c:v>HalogenHeaters</c:v>
              </c:pt>
              <c:pt idx="45">
                <c:v>HandBlenders</c:v>
              </c:pt>
              <c:pt idx="46">
                <c:v>HandMixers</c:v>
              </c:pt>
              <c:pt idx="47">
                <c:v>Headsets</c:v>
              </c:pt>
              <c:pt idx="48">
                <c:v>HeatConvectors</c:v>
              </c:pt>
              <c:pt idx="49">
                <c:v>HEPAAirPurifiers</c:v>
              </c:pt>
              <c:pt idx="50">
                <c:v>ImmersionRods</c:v>
              </c:pt>
              <c:pt idx="51">
                <c:v>InductionCooktop</c:v>
              </c:pt>
              <c:pt idx="52">
                <c:v>In-Ear</c:v>
              </c:pt>
              <c:pt idx="53">
                <c:v>InkjetInkCartridges</c:v>
              </c:pt>
              <c:pt idx="54">
                <c:v>InkjetInkRefills&amp;Kits</c:v>
              </c:pt>
              <c:pt idx="55">
                <c:v>InkjetPrinters</c:v>
              </c:pt>
              <c:pt idx="56">
                <c:v>InstantWaterHeaters</c:v>
              </c:pt>
              <c:pt idx="57">
                <c:v>IroningAccessories</c:v>
              </c:pt>
              <c:pt idx="58">
                <c:v>Irons,Steamers&amp;Accessories</c:v>
              </c:pt>
              <c:pt idx="59">
                <c:v>JuicerMixerGrinders</c:v>
              </c:pt>
              <c:pt idx="60">
                <c:v>Juicers</c:v>
              </c:pt>
              <c:pt idx="61">
                <c:v>Kettles&amp;HotWaterDispensers</c:v>
              </c:pt>
              <c:pt idx="62">
                <c:v>Keyboard&amp;MiceAccessories</c:v>
              </c:pt>
              <c:pt idx="63">
                <c:v>Keyboard&amp;MouseSets</c:v>
              </c:pt>
              <c:pt idx="64">
                <c:v>Keyboards</c:v>
              </c:pt>
              <c:pt idx="65">
                <c:v>Lamps</c:v>
              </c:pt>
              <c:pt idx="66">
                <c:v>Lapdesks</c:v>
              </c:pt>
              <c:pt idx="67">
                <c:v>LaptopChargers&amp;PowerSupplies</c:v>
              </c:pt>
              <c:pt idx="68">
                <c:v>LaundryBags</c:v>
              </c:pt>
              <c:pt idx="69">
                <c:v>LaundryBaskets</c:v>
              </c:pt>
              <c:pt idx="70">
                <c:v>Macro&amp;RinglightFlashes</c:v>
              </c:pt>
              <c:pt idx="71">
                <c:v>Maintenance,Upkeep&amp;Repairs</c:v>
              </c:pt>
              <c:pt idx="72">
                <c:v>ManualChoppers&amp;Chippers</c:v>
              </c:pt>
              <c:pt idx="73">
                <c:v>Mice</c:v>
              </c:pt>
              <c:pt idx="74">
                <c:v>MicroSD</c:v>
              </c:pt>
              <c:pt idx="75">
                <c:v>MilkFrothers</c:v>
              </c:pt>
              <c:pt idx="76">
                <c:v>Mills&amp;Grinders</c:v>
              </c:pt>
              <c:pt idx="77">
                <c:v>MiniFoodProcessors&amp;Choppers</c:v>
              </c:pt>
              <c:pt idx="78">
                <c:v>MixerGrinders</c:v>
              </c:pt>
              <c:pt idx="79">
                <c:v>Mounts</c:v>
              </c:pt>
              <c:pt idx="80">
                <c:v>MultimediaSpeakerSystems</c:v>
              </c:pt>
              <c:pt idx="81">
                <c:v>NotebookComputerStands</c:v>
              </c:pt>
              <c:pt idx="82">
                <c:v>On-Ear</c:v>
              </c:pt>
              <c:pt idx="83">
                <c:v>OutdoorSpeakers</c:v>
              </c:pt>
              <c:pt idx="84">
                <c:v>OvenToasterGrills</c:v>
              </c:pt>
              <c:pt idx="85">
                <c:v>Over-Ear</c:v>
              </c:pt>
              <c:pt idx="86">
                <c:v>Paints</c:v>
              </c:pt>
              <c:pt idx="87">
                <c:v>PCHeadsets</c:v>
              </c:pt>
              <c:pt idx="88">
                <c:v>PCMicrophones</c:v>
              </c:pt>
              <c:pt idx="89">
                <c:v>PCSpeakers</c:v>
              </c:pt>
              <c:pt idx="90">
                <c:v>PedestalFans</c:v>
              </c:pt>
              <c:pt idx="91">
                <c:v>Photo&amp;VideoAccessories</c:v>
              </c:pt>
              <c:pt idx="92">
                <c:v>PhotoStudio&amp;Lighting</c:v>
              </c:pt>
              <c:pt idx="93">
                <c:v>Pop-upToasters</c:v>
              </c:pt>
              <c:pt idx="94">
                <c:v>PowerLANAdapters</c:v>
              </c:pt>
              <c:pt idx="95">
                <c:v>PressureWashers,Steam&amp;WindowCleaners</c:v>
              </c:pt>
              <c:pt idx="96">
                <c:v>RemoteControls</c:v>
              </c:pt>
              <c:pt idx="97">
                <c:v>Rice&amp;PastaCookers</c:v>
              </c:pt>
              <c:pt idx="98">
                <c:v>RotiMakers</c:v>
              </c:pt>
              <c:pt idx="99">
                <c:v>SandwichMakers</c:v>
              </c:pt>
              <c:pt idx="100">
                <c:v>SatelliteReceivers</c:v>
              </c:pt>
              <c:pt idx="101">
                <c:v>Scientific</c:v>
              </c:pt>
              <c:pt idx="102">
                <c:v>ScreenProtectors</c:v>
              </c:pt>
              <c:pt idx="103">
                <c:v>SecureDigitalCards</c:v>
              </c:pt>
              <c:pt idx="104">
                <c:v>Sewing&amp;EmbroideryMachines</c:v>
              </c:pt>
              <c:pt idx="105">
                <c:v>SmallApplianceParts&amp;Accessories</c:v>
              </c:pt>
              <c:pt idx="106">
                <c:v>Smartphones</c:v>
              </c:pt>
              <c:pt idx="107">
                <c:v>SmartTelevisions</c:v>
              </c:pt>
              <c:pt idx="108">
                <c:v>SoundbarSpeakers</c:v>
              </c:pt>
              <c:pt idx="109">
                <c:v>SpeakerAccessories</c:v>
              </c:pt>
              <c:pt idx="110">
                <c:v>Split-SystemAirConditioners</c:v>
              </c:pt>
              <c:pt idx="111">
                <c:v>StandardTelevisions</c:v>
              </c:pt>
              <c:pt idx="112">
                <c:v>StandMixers</c:v>
              </c:pt>
              <c:pt idx="113">
                <c:v>Stands</c:v>
              </c:pt>
              <c:pt idx="114">
                <c:v>Stationery</c:v>
              </c:pt>
              <c:pt idx="115">
                <c:v>StorageWaterHeaters</c:v>
              </c:pt>
              <c:pt idx="116">
                <c:v>StovetopEspressoPots</c:v>
              </c:pt>
              <c:pt idx="117">
                <c:v>StreamingClients</c:v>
              </c:pt>
              <c:pt idx="118">
                <c:v>StylusPens</c:v>
              </c:pt>
              <c:pt idx="119">
                <c:v>TableFans</c:v>
              </c:pt>
              <c:pt idx="120">
                <c:v>Tape</c:v>
              </c:pt>
              <c:pt idx="121">
                <c:v>TonerCartridges</c:v>
              </c:pt>
              <c:pt idx="122">
                <c:v>TowerSpeakers</c:v>
              </c:pt>
              <c:pt idx="123">
                <c:v>Tripods&amp;Monopods</c:v>
              </c:pt>
              <c:pt idx="124">
                <c:v>TVMounts,Stands&amp;Turntables</c:v>
              </c:pt>
              <c:pt idx="125">
                <c:v>USBtoUSBAdapters</c:v>
              </c:pt>
              <c:pt idx="126">
                <c:v>Vacuums&amp;FloorCare</c:v>
              </c:pt>
              <c:pt idx="127">
                <c:v>VacuumSealers</c:v>
              </c:pt>
              <c:pt idx="128">
                <c:v>WaffleMakers&amp;Irons</c:v>
              </c:pt>
              <c:pt idx="129">
                <c:v>WaterCartridges</c:v>
              </c:pt>
              <c:pt idx="130">
                <c:v>WaterFilters&amp;Purifiers</c:v>
              </c:pt>
              <c:pt idx="131">
                <c:v>WaterPurifierAccessories</c:v>
              </c:pt>
              <c:pt idx="132">
                <c:v>Webcams&amp;VoIPEquipment</c:v>
              </c:pt>
              <c:pt idx="133">
                <c:v>WeighingScales</c:v>
              </c:pt>
              <c:pt idx="134">
                <c:v>WirelessUSBAdapters</c:v>
              </c:pt>
              <c:pt idx="135">
                <c:v>YogurtMakers</c:v>
              </c:pt>
              <c:pt idx="136">
                <c:v>(blank)</c:v>
              </c:pt>
            </c:strLit>
          </c:cat>
          <c:val>
            <c:numLit>
              <c:formatCode>General</c:formatCode>
              <c:ptCount val="137"/>
              <c:pt idx="0">
                <c:v>598.79999999999995</c:v>
              </c:pt>
              <c:pt idx="1">
                <c:v>2013.48</c:v>
              </c:pt>
              <c:pt idx="2">
                <c:v>151.62</c:v>
              </c:pt>
              <c:pt idx="3">
                <c:v>9999.5</c:v>
              </c:pt>
              <c:pt idx="4">
                <c:v>5437.2800000000007</c:v>
              </c:pt>
              <c:pt idx="5">
                <c:v>2816</c:v>
              </c:pt>
              <c:pt idx="6">
                <c:v>19999.5</c:v>
              </c:pt>
              <c:pt idx="7">
                <c:v>417.9</c:v>
              </c:pt>
              <c:pt idx="8">
                <c:v>81900</c:v>
              </c:pt>
              <c:pt idx="9">
                <c:v>299.39999999999998</c:v>
              </c:pt>
              <c:pt idx="10">
                <c:v>1006.3199999999999</c:v>
              </c:pt>
              <c:pt idx="11">
                <c:v>2857.4</c:v>
              </c:pt>
              <c:pt idx="12">
                <c:v>4696.0524999999998</c:v>
              </c:pt>
              <c:pt idx="13">
                <c:v>2038.98</c:v>
              </c:pt>
              <c:pt idx="14">
                <c:v>3793.08</c:v>
              </c:pt>
              <c:pt idx="15">
                <c:v>3405.4999999999995</c:v>
              </c:pt>
              <c:pt idx="16">
                <c:v>3196.8</c:v>
              </c:pt>
              <c:pt idx="17">
                <c:v>2608.2599999999998</c:v>
              </c:pt>
              <c:pt idx="18">
                <c:v>1187.9733333333334</c:v>
              </c:pt>
              <c:pt idx="19">
                <c:v>328.68</c:v>
              </c:pt>
              <c:pt idx="20">
                <c:v>502.74</c:v>
              </c:pt>
              <c:pt idx="21">
                <c:v>158816</c:v>
              </c:pt>
              <c:pt idx="22">
                <c:v>899.25</c:v>
              </c:pt>
              <c:pt idx="23">
                <c:v>1599.2</c:v>
              </c:pt>
              <c:pt idx="24">
                <c:v>1595.1599999999999</c:v>
              </c:pt>
              <c:pt idx="25">
                <c:v>2409.3200000000002</c:v>
              </c:pt>
              <c:pt idx="26">
                <c:v>1406.72</c:v>
              </c:pt>
              <c:pt idx="27">
                <c:v>657.06</c:v>
              </c:pt>
              <c:pt idx="28">
                <c:v>999.5</c:v>
              </c:pt>
              <c:pt idx="29">
                <c:v>23715</c:v>
              </c:pt>
              <c:pt idx="30">
                <c:v>19499.400000000001</c:v>
              </c:pt>
              <c:pt idx="31">
                <c:v>3597</c:v>
              </c:pt>
              <c:pt idx="32">
                <c:v>805.38</c:v>
              </c:pt>
              <c:pt idx="33">
                <c:v>56988.600000000006</c:v>
              </c:pt>
              <c:pt idx="34">
                <c:v>1195.29</c:v>
              </c:pt>
              <c:pt idx="35">
                <c:v>984.83999999999992</c:v>
              </c:pt>
              <c:pt idx="36">
                <c:v>3398.15</c:v>
              </c:pt>
              <c:pt idx="37">
                <c:v>823.5</c:v>
              </c:pt>
              <c:pt idx="38">
                <c:v>868.25999999999988</c:v>
              </c:pt>
              <c:pt idx="39">
                <c:v>737.8</c:v>
              </c:pt>
              <c:pt idx="40">
                <c:v>1948.5</c:v>
              </c:pt>
              <c:pt idx="41">
                <c:v>1399.3</c:v>
              </c:pt>
              <c:pt idx="42">
                <c:v>1030.9000000000001</c:v>
              </c:pt>
              <c:pt idx="43">
                <c:v>2802.56</c:v>
              </c:pt>
              <c:pt idx="44">
                <c:v>1024</c:v>
              </c:pt>
              <c:pt idx="45">
                <c:v>3868.71</c:v>
              </c:pt>
              <c:pt idx="46">
                <c:v>598.79999999999995</c:v>
              </c:pt>
              <c:pt idx="47">
                <c:v>7558.11</c:v>
              </c:pt>
              <c:pt idx="48">
                <c:v>349.29999999999995</c:v>
              </c:pt>
              <c:pt idx="49">
                <c:v>5497.7999999999993</c:v>
              </c:pt>
              <c:pt idx="50">
                <c:v>557.06999999999994</c:v>
              </c:pt>
              <c:pt idx="51">
                <c:v>2813.44</c:v>
              </c:pt>
              <c:pt idx="52">
                <c:v>41979</c:v>
              </c:pt>
              <c:pt idx="53">
                <c:v>103943</c:v>
              </c:pt>
              <c:pt idx="54">
                <c:v>36449.19</c:v>
              </c:pt>
              <c:pt idx="55">
                <c:v>1348.5</c:v>
              </c:pt>
              <c:pt idx="56">
                <c:v>8969.31</c:v>
              </c:pt>
              <c:pt idx="57">
                <c:v>3198.4</c:v>
              </c:pt>
              <c:pt idx="58">
                <c:v>2746.5299999999997</c:v>
              </c:pt>
              <c:pt idx="59">
                <c:v>3033.24</c:v>
              </c:pt>
              <c:pt idx="60">
                <c:v>1299.9449999999999</c:v>
              </c:pt>
              <c:pt idx="61">
                <c:v>2307</c:v>
              </c:pt>
              <c:pt idx="62">
                <c:v>2380.71</c:v>
              </c:pt>
              <c:pt idx="63">
                <c:v>300.14</c:v>
              </c:pt>
              <c:pt idx="64">
                <c:v>987.5</c:v>
              </c:pt>
              <c:pt idx="65">
                <c:v>2813.44</c:v>
              </c:pt>
              <c:pt idx="66">
                <c:v>332.5</c:v>
              </c:pt>
              <c:pt idx="67">
                <c:v>3377.4</c:v>
              </c:pt>
              <c:pt idx="68">
                <c:v>502.74</c:v>
              </c:pt>
              <c:pt idx="69">
                <c:v>70200</c:v>
              </c:pt>
              <c:pt idx="70">
                <c:v>7045.2999999999993</c:v>
              </c:pt>
              <c:pt idx="71">
                <c:v>3996</c:v>
              </c:pt>
              <c:pt idx="72">
                <c:v>1048.5</c:v>
              </c:pt>
              <c:pt idx="73">
                <c:v>2677.32</c:v>
              </c:pt>
              <c:pt idx="74">
                <c:v>18778</c:v>
              </c:pt>
              <c:pt idx="75">
                <c:v>3178.41</c:v>
              </c:pt>
              <c:pt idx="76">
                <c:v>636.87</c:v>
              </c:pt>
              <c:pt idx="77">
                <c:v>399.5</c:v>
              </c:pt>
              <c:pt idx="78">
                <c:v>1178.32</c:v>
              </c:pt>
              <c:pt idx="79">
                <c:v>9998.5600000000013</c:v>
              </c:pt>
              <c:pt idx="80">
                <c:v>2597.4</c:v>
              </c:pt>
              <c:pt idx="81">
                <c:v>1798.1999999999998</c:v>
              </c:pt>
              <c:pt idx="82">
                <c:v>1019.49</c:v>
              </c:pt>
              <c:pt idx="83">
                <c:v>3196.8</c:v>
              </c:pt>
              <c:pt idx="84">
                <c:v>2813.44</c:v>
              </c:pt>
              <c:pt idx="85">
                <c:v>1096.78</c:v>
              </c:pt>
              <c:pt idx="86">
                <c:v>32998.68</c:v>
              </c:pt>
              <c:pt idx="87">
                <c:v>375.06</c:v>
              </c:pt>
              <c:pt idx="88">
                <c:v>151823</c:v>
              </c:pt>
              <c:pt idx="89">
                <c:v>2797.2</c:v>
              </c:pt>
              <c:pt idx="90">
                <c:v>22319.38</c:v>
              </c:pt>
              <c:pt idx="91">
                <c:v>2710.61</c:v>
              </c:pt>
              <c:pt idx="92">
                <c:v>2703</c:v>
              </c:pt>
              <c:pt idx="93">
                <c:v>5274.72</c:v>
              </c:pt>
              <c:pt idx="94">
                <c:v>71534.100000000006</c:v>
              </c:pt>
              <c:pt idx="95">
                <c:v>503.44000000000005</c:v>
              </c:pt>
              <c:pt idx="96">
                <c:v>730.17</c:v>
              </c:pt>
              <c:pt idx="97">
                <c:v>21150.799999999999</c:v>
              </c:pt>
              <c:pt idx="98">
                <c:v>563.05999999999995</c:v>
              </c:pt>
              <c:pt idx="99">
                <c:v>151.62</c:v>
              </c:pt>
              <c:pt idx="100">
                <c:v>965.99999999999989</c:v>
              </c:pt>
              <c:pt idx="101">
                <c:v>2308.46</c:v>
              </c:pt>
              <c:pt idx="102">
                <c:v>3523.59</c:v>
              </c:pt>
              <c:pt idx="103">
                <c:v>177.99</c:v>
              </c:pt>
              <c:pt idx="104">
                <c:v>1338.66</c:v>
              </c:pt>
              <c:pt idx="105">
                <c:v>2463.1600000000003</c:v>
              </c:pt>
              <c:pt idx="106">
                <c:v>658.68000000000006</c:v>
              </c:pt>
              <c:pt idx="107">
                <c:v>1481.88</c:v>
              </c:pt>
              <c:pt idx="108">
                <c:v>1298.7</c:v>
              </c:pt>
              <c:pt idx="109">
                <c:v>999</c:v>
              </c:pt>
              <c:pt idx="110">
                <c:v>20129.400000000001</c:v>
              </c:pt>
              <c:pt idx="111">
                <c:v>3400</c:v>
              </c:pt>
              <c:pt idx="112">
                <c:v>358.56</c:v>
              </c:pt>
              <c:pt idx="113">
                <c:v>1633.27</c:v>
              </c:pt>
              <c:pt idx="114">
                <c:v>2145.1149999999998</c:v>
              </c:pt>
              <c:pt idx="115">
                <c:v>791.12</c:v>
              </c:pt>
              <c:pt idx="116">
                <c:v>3898.05</c:v>
              </c:pt>
              <c:pt idx="117">
                <c:v>51.870000000000005</c:v>
              </c:pt>
              <c:pt idx="118">
                <c:v>2266.6439999999998</c:v>
              </c:pt>
              <c:pt idx="119">
                <c:v>749.25</c:v>
              </c:pt>
              <c:pt idx="120">
                <c:v>17938.62</c:v>
              </c:pt>
              <c:pt idx="121">
                <c:v>1798.1999999999998</c:v>
              </c:pt>
              <c:pt idx="122">
                <c:v>454.86</c:v>
              </c:pt>
              <c:pt idx="123">
                <c:v>11297.54</c:v>
              </c:pt>
              <c:pt idx="124">
                <c:v>648.70000000000005</c:v>
              </c:pt>
              <c:pt idx="125">
                <c:v>438.90000000000003</c:v>
              </c:pt>
              <c:pt idx="126">
                <c:v>6478.8850000000002</c:v>
              </c:pt>
              <c:pt idx="127">
                <c:v>13111.8</c:v>
              </c:pt>
              <c:pt idx="128">
                <c:v>15840</c:v>
              </c:pt>
              <c:pt idx="129">
                <c:v>6636.6799999999994</c:v>
              </c:pt>
              <c:pt idx="130">
                <c:v>74384.5</c:v>
              </c:pt>
              <c:pt idx="131">
                <c:v>3585.24</c:v>
              </c:pt>
              <c:pt idx="132">
                <c:v>1948.0500000000002</c:v>
              </c:pt>
              <c:pt idx="133">
                <c:v>1472.0499999999997</c:v>
              </c:pt>
              <c:pt idx="134">
                <c:v>450.21</c:v>
              </c:pt>
              <c:pt idx="135">
                <c:v>3178.41</c:v>
              </c:pt>
              <c:pt idx="136">
                <c:v>6409.7254600153492</c:v>
              </c:pt>
            </c:numLit>
          </c:val>
          <c:extLst>
            <c:ext xmlns:c16="http://schemas.microsoft.com/office/drawing/2014/chart" uri="{C3380CC4-5D6E-409C-BE32-E72D297353CC}">
              <c16:uniqueId val="{00000002-CAAD-4A05-B388-BBE5AEA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974367"/>
        <c:axId val="1538179599"/>
      </c:barChart>
      <c:catAx>
        <c:axId val="15989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79599"/>
        <c:crosses val="autoZero"/>
        <c:auto val="1"/>
        <c:lblAlgn val="ctr"/>
        <c:lblOffset val="100"/>
        <c:noMultiLvlLbl val="0"/>
      </c:catAx>
      <c:valAx>
        <c:axId val="15381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7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MADE.xlsx]Sheet5!PivotTable5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Sheet5!$G$44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Sheet5!$F$45:$F$117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Sheet5!$G$45:$G$117</c:f>
              <c:numCache>
                <c:formatCode>General</c:formatCode>
                <c:ptCount val="72"/>
                <c:pt idx="0">
                  <c:v>4.1227642276422767</c:v>
                </c:pt>
                <c:pt idx="1">
                  <c:v>3.9333333333333322</c:v>
                </c:pt>
                <c:pt idx="2">
                  <c:v>4.1428571428571432</c:v>
                </c:pt>
                <c:pt idx="3">
                  <c:v>3.9714285714285715</c:v>
                </c:pt>
                <c:pt idx="4">
                  <c:v>4.2285714285714286</c:v>
                </c:pt>
                <c:pt idx="5">
                  <c:v>4.0500000000000007</c:v>
                </c:pt>
                <c:pt idx="6">
                  <c:v>4.0625</c:v>
                </c:pt>
                <c:pt idx="7">
                  <c:v>4.102631578947368</c:v>
                </c:pt>
                <c:pt idx="8">
                  <c:v>4.1428571428571432</c:v>
                </c:pt>
                <c:pt idx="9">
                  <c:v>4.0142857142857142</c:v>
                </c:pt>
                <c:pt idx="10">
                  <c:v>4.1326530612244907</c:v>
                </c:pt>
                <c:pt idx="11">
                  <c:v>4.1500000000000004</c:v>
                </c:pt>
                <c:pt idx="12">
                  <c:v>4.1857142857142859</c:v>
                </c:pt>
                <c:pt idx="13">
                  <c:v>4.2285714285714286</c:v>
                </c:pt>
                <c:pt idx="14">
                  <c:v>4.0625</c:v>
                </c:pt>
                <c:pt idx="15">
                  <c:v>3.9857142857142853</c:v>
                </c:pt>
                <c:pt idx="16">
                  <c:v>4.0714285714285712</c:v>
                </c:pt>
                <c:pt idx="17">
                  <c:v>3.9571428571428577</c:v>
                </c:pt>
                <c:pt idx="18">
                  <c:v>3.9625000000000004</c:v>
                </c:pt>
                <c:pt idx="19">
                  <c:v>4.2142857142857135</c:v>
                </c:pt>
                <c:pt idx="20">
                  <c:v>4.0999999999999996</c:v>
                </c:pt>
                <c:pt idx="21">
                  <c:v>4.0964285714285715</c:v>
                </c:pt>
                <c:pt idx="22">
                  <c:v>4.0500000000000007</c:v>
                </c:pt>
                <c:pt idx="23">
                  <c:v>4.0874999999999995</c:v>
                </c:pt>
                <c:pt idx="24">
                  <c:v>4.2142857142857135</c:v>
                </c:pt>
                <c:pt idx="25">
                  <c:v>4.083333333333333</c:v>
                </c:pt>
                <c:pt idx="26">
                  <c:v>3.9857142857142853</c:v>
                </c:pt>
                <c:pt idx="27">
                  <c:v>4.0714285714285712</c:v>
                </c:pt>
                <c:pt idx="28">
                  <c:v>4.1181818181818173</c:v>
                </c:pt>
                <c:pt idx="29">
                  <c:v>4.0428571428571427</c:v>
                </c:pt>
                <c:pt idx="30">
                  <c:v>4.2</c:v>
                </c:pt>
                <c:pt idx="31">
                  <c:v>4.1285714285714281</c:v>
                </c:pt>
                <c:pt idx="32">
                  <c:v>4.072916666666667</c:v>
                </c:pt>
                <c:pt idx="33">
                  <c:v>4.1714285714285717</c:v>
                </c:pt>
                <c:pt idx="34">
                  <c:v>4.1230769230769235</c:v>
                </c:pt>
                <c:pt idx="35">
                  <c:v>4.1809523809523812</c:v>
                </c:pt>
                <c:pt idx="36">
                  <c:v>4.0999999999999996</c:v>
                </c:pt>
                <c:pt idx="37">
                  <c:v>3.9571428571428577</c:v>
                </c:pt>
                <c:pt idx="38">
                  <c:v>4.1399999999999997</c:v>
                </c:pt>
                <c:pt idx="39">
                  <c:v>4.1111111111111107</c:v>
                </c:pt>
                <c:pt idx="40">
                  <c:v>4.0863636363636369</c:v>
                </c:pt>
                <c:pt idx="41">
                  <c:v>3.9666666666666668</c:v>
                </c:pt>
                <c:pt idx="42">
                  <c:v>4.081818181818182</c:v>
                </c:pt>
                <c:pt idx="43">
                  <c:v>4.3142857142857141</c:v>
                </c:pt>
                <c:pt idx="44">
                  <c:v>3.9931034482758618</c:v>
                </c:pt>
                <c:pt idx="45">
                  <c:v>4.1375000000000002</c:v>
                </c:pt>
                <c:pt idx="46">
                  <c:v>4.0285714285714285</c:v>
                </c:pt>
                <c:pt idx="47">
                  <c:v>3.9750000000000005</c:v>
                </c:pt>
                <c:pt idx="48">
                  <c:v>3.9857142857142853</c:v>
                </c:pt>
                <c:pt idx="49">
                  <c:v>4.1124999999999998</c:v>
                </c:pt>
                <c:pt idx="50">
                  <c:v>4.0199999999999987</c:v>
                </c:pt>
                <c:pt idx="51">
                  <c:v>4.0250000000000004</c:v>
                </c:pt>
                <c:pt idx="52">
                  <c:v>4.1375000000000002</c:v>
                </c:pt>
                <c:pt idx="53">
                  <c:v>4.0500000000000007</c:v>
                </c:pt>
                <c:pt idx="54">
                  <c:v>4.0142857142857142</c:v>
                </c:pt>
                <c:pt idx="55">
                  <c:v>4.1714285714285717</c:v>
                </c:pt>
                <c:pt idx="56">
                  <c:v>4.1243386243386269</c:v>
                </c:pt>
                <c:pt idx="57">
                  <c:v>4.1125000000000007</c:v>
                </c:pt>
                <c:pt idx="58">
                  <c:v>4.2374999999999998</c:v>
                </c:pt>
                <c:pt idx="59">
                  <c:v>4.0594594594594602</c:v>
                </c:pt>
                <c:pt idx="60">
                  <c:v>4.1714285714285717</c:v>
                </c:pt>
                <c:pt idx="61">
                  <c:v>4.0380952380952371</c:v>
                </c:pt>
                <c:pt idx="62">
                  <c:v>4.1187500000000004</c:v>
                </c:pt>
                <c:pt idx="63">
                  <c:v>4.0285714285714294</c:v>
                </c:pt>
                <c:pt idx="64">
                  <c:v>4</c:v>
                </c:pt>
                <c:pt idx="65">
                  <c:v>4.0999999999999996</c:v>
                </c:pt>
                <c:pt idx="66">
                  <c:v>4.2</c:v>
                </c:pt>
                <c:pt idx="67">
                  <c:v>4.105714285714285</c:v>
                </c:pt>
                <c:pt idx="68">
                  <c:v>4.0999999999999996</c:v>
                </c:pt>
                <c:pt idx="69">
                  <c:v>4.0047619047619047</c:v>
                </c:pt>
                <c:pt idx="70">
                  <c:v>4.0761904761904759</c:v>
                </c:pt>
                <c:pt idx="71">
                  <c:v>4.1448275862068957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C-4B12-9440-72350A3C5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4704"/>
        <c:axId val="1538189679"/>
      </c:lineChart>
      <c:catAx>
        <c:axId val="981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89679"/>
        <c:crosses val="autoZero"/>
        <c:auto val="1"/>
        <c:lblAlgn val="ctr"/>
        <c:lblOffset val="100"/>
        <c:noMultiLvlLbl val="0"/>
      </c:catAx>
      <c:valAx>
        <c:axId val="15381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MADE.xlsx]Sheet10!PivotTable7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Sheet10!$A$2:$A$74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Sheet10!$B$2:$B$74</c:f>
              <c:numCache>
                <c:formatCode>General</c:formatCode>
                <c:ptCount val="72"/>
                <c:pt idx="0">
                  <c:v>2817.6446341463411</c:v>
                </c:pt>
                <c:pt idx="1">
                  <c:v>2594.8000000000002</c:v>
                </c:pt>
                <c:pt idx="2">
                  <c:v>3210.7142857142858</c:v>
                </c:pt>
                <c:pt idx="3">
                  <c:v>5144.8571428571431</c:v>
                </c:pt>
                <c:pt idx="4">
                  <c:v>6257.2857142857147</c:v>
                </c:pt>
                <c:pt idx="5">
                  <c:v>4313.6071428571431</c:v>
                </c:pt>
                <c:pt idx="6">
                  <c:v>4222.625</c:v>
                </c:pt>
                <c:pt idx="7">
                  <c:v>3509.2105263157896</c:v>
                </c:pt>
                <c:pt idx="8">
                  <c:v>5901.136363636364</c:v>
                </c:pt>
                <c:pt idx="9">
                  <c:v>4237.1428571428569</c:v>
                </c:pt>
                <c:pt idx="10">
                  <c:v>2213.591836734694</c:v>
                </c:pt>
                <c:pt idx="11">
                  <c:v>11555.5</c:v>
                </c:pt>
                <c:pt idx="12">
                  <c:v>660</c:v>
                </c:pt>
                <c:pt idx="13">
                  <c:v>1355.5714285714287</c:v>
                </c:pt>
                <c:pt idx="14">
                  <c:v>1596.375</c:v>
                </c:pt>
                <c:pt idx="15">
                  <c:v>617.28571428571433</c:v>
                </c:pt>
                <c:pt idx="16">
                  <c:v>2516.4285714285716</c:v>
                </c:pt>
                <c:pt idx="17">
                  <c:v>1620</c:v>
                </c:pt>
                <c:pt idx="18">
                  <c:v>3293.625</c:v>
                </c:pt>
                <c:pt idx="19">
                  <c:v>973.14285714285711</c:v>
                </c:pt>
                <c:pt idx="20">
                  <c:v>4034</c:v>
                </c:pt>
                <c:pt idx="21">
                  <c:v>2464.9217857142858</c:v>
                </c:pt>
                <c:pt idx="22">
                  <c:v>3909</c:v>
                </c:pt>
                <c:pt idx="23">
                  <c:v>3887.125</c:v>
                </c:pt>
                <c:pt idx="24">
                  <c:v>2303.5714285714284</c:v>
                </c:pt>
                <c:pt idx="25">
                  <c:v>1509.7916666666667</c:v>
                </c:pt>
                <c:pt idx="26">
                  <c:v>4824</c:v>
                </c:pt>
                <c:pt idx="27">
                  <c:v>2498.5714285714284</c:v>
                </c:pt>
                <c:pt idx="28">
                  <c:v>6014.165</c:v>
                </c:pt>
                <c:pt idx="29">
                  <c:v>1164.2857142857142</c:v>
                </c:pt>
                <c:pt idx="30">
                  <c:v>5027.0142857142855</c:v>
                </c:pt>
                <c:pt idx="31">
                  <c:v>6962.4285714285716</c:v>
                </c:pt>
                <c:pt idx="32">
                  <c:v>1573.1585416666667</c:v>
                </c:pt>
                <c:pt idx="33">
                  <c:v>3057</c:v>
                </c:pt>
                <c:pt idx="34">
                  <c:v>2822.3269230769229</c:v>
                </c:pt>
                <c:pt idx="35">
                  <c:v>3243.1428571428573</c:v>
                </c:pt>
                <c:pt idx="36">
                  <c:v>452</c:v>
                </c:pt>
                <c:pt idx="37">
                  <c:v>2736.2857142857142</c:v>
                </c:pt>
                <c:pt idx="38">
                  <c:v>2362.5333333333333</c:v>
                </c:pt>
                <c:pt idx="39">
                  <c:v>2656.4488888888886</c:v>
                </c:pt>
                <c:pt idx="40">
                  <c:v>2724.6363636363635</c:v>
                </c:pt>
                <c:pt idx="41">
                  <c:v>3469.8</c:v>
                </c:pt>
                <c:pt idx="42">
                  <c:v>2944</c:v>
                </c:pt>
                <c:pt idx="43">
                  <c:v>5449</c:v>
                </c:pt>
                <c:pt idx="44">
                  <c:v>2841.1724137931033</c:v>
                </c:pt>
                <c:pt idx="45">
                  <c:v>4139.125</c:v>
                </c:pt>
                <c:pt idx="46">
                  <c:v>4560.6428571428569</c:v>
                </c:pt>
                <c:pt idx="47">
                  <c:v>735.625</c:v>
                </c:pt>
                <c:pt idx="48">
                  <c:v>1731.4285714285713</c:v>
                </c:pt>
                <c:pt idx="49">
                  <c:v>1085.125</c:v>
                </c:pt>
                <c:pt idx="50">
                  <c:v>6043.5428571428574</c:v>
                </c:pt>
                <c:pt idx="51">
                  <c:v>1521.75</c:v>
                </c:pt>
                <c:pt idx="52">
                  <c:v>5534.75</c:v>
                </c:pt>
                <c:pt idx="53">
                  <c:v>1394.625</c:v>
                </c:pt>
                <c:pt idx="54">
                  <c:v>1496.3485714285712</c:v>
                </c:pt>
                <c:pt idx="55">
                  <c:v>1542.2857142857142</c:v>
                </c:pt>
                <c:pt idx="56">
                  <c:v>2611.6237566137565</c:v>
                </c:pt>
                <c:pt idx="57">
                  <c:v>2353.3125</c:v>
                </c:pt>
                <c:pt idx="58">
                  <c:v>8611</c:v>
                </c:pt>
                <c:pt idx="59">
                  <c:v>3607</c:v>
                </c:pt>
                <c:pt idx="60">
                  <c:v>6596.1428571428569</c:v>
                </c:pt>
                <c:pt idx="61">
                  <c:v>3698.0504761904763</c:v>
                </c:pt>
                <c:pt idx="62">
                  <c:v>1448.9375</c:v>
                </c:pt>
                <c:pt idx="63">
                  <c:v>7575.7142857142853</c:v>
                </c:pt>
                <c:pt idx="64">
                  <c:v>5726.8571428571431</c:v>
                </c:pt>
                <c:pt idx="65">
                  <c:v>1518.4285714285713</c:v>
                </c:pt>
                <c:pt idx="66">
                  <c:v>5131.2857142857147</c:v>
                </c:pt>
                <c:pt idx="67">
                  <c:v>2272.4857142857145</c:v>
                </c:pt>
                <c:pt idx="68">
                  <c:v>7475.875</c:v>
                </c:pt>
                <c:pt idx="69">
                  <c:v>2016.3333333333333</c:v>
                </c:pt>
                <c:pt idx="70">
                  <c:v>4266.7619047619046</c:v>
                </c:pt>
                <c:pt idx="71">
                  <c:v>3531.3793103448274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000-A12D-6FA0B8E0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70192"/>
        <c:axId val="1538181519"/>
      </c:barChart>
      <c:catAx>
        <c:axId val="9797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81519"/>
        <c:crosses val="autoZero"/>
        <c:auto val="1"/>
        <c:lblAlgn val="ctr"/>
        <c:lblOffset val="100"/>
        <c:noMultiLvlLbl val="0"/>
      </c:catAx>
      <c:valAx>
        <c:axId val="153818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[Amazon_Analysis_Ready_Final I MADE.xlsx]Sheet11!PivotTable8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Average of discounted_price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Sheet11!$A$2:$A$74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Sheet11!$B$2:$B$74</c:f>
              <c:numCache>
                <c:formatCode>General</c:formatCode>
                <c:ptCount val="72"/>
                <c:pt idx="0">
                  <c:v>2817.6446341463411</c:v>
                </c:pt>
                <c:pt idx="1">
                  <c:v>2594.8000000000002</c:v>
                </c:pt>
                <c:pt idx="2">
                  <c:v>3210.7142857142858</c:v>
                </c:pt>
                <c:pt idx="3">
                  <c:v>5144.8571428571431</c:v>
                </c:pt>
                <c:pt idx="4">
                  <c:v>6257.2857142857147</c:v>
                </c:pt>
                <c:pt idx="5">
                  <c:v>4313.6071428571431</c:v>
                </c:pt>
                <c:pt idx="6">
                  <c:v>4222.625</c:v>
                </c:pt>
                <c:pt idx="7">
                  <c:v>3509.2105263157896</c:v>
                </c:pt>
                <c:pt idx="8">
                  <c:v>5901.136363636364</c:v>
                </c:pt>
                <c:pt idx="9">
                  <c:v>4237.1428571428569</c:v>
                </c:pt>
                <c:pt idx="10">
                  <c:v>2213.591836734694</c:v>
                </c:pt>
                <c:pt idx="11">
                  <c:v>11555.5</c:v>
                </c:pt>
                <c:pt idx="12">
                  <c:v>660</c:v>
                </c:pt>
                <c:pt idx="13">
                  <c:v>1355.5714285714287</c:v>
                </c:pt>
                <c:pt idx="14">
                  <c:v>1596.375</c:v>
                </c:pt>
                <c:pt idx="15">
                  <c:v>617.28571428571433</c:v>
                </c:pt>
                <c:pt idx="16">
                  <c:v>2516.4285714285716</c:v>
                </c:pt>
                <c:pt idx="17">
                  <c:v>1620</c:v>
                </c:pt>
                <c:pt idx="18">
                  <c:v>3293.625</c:v>
                </c:pt>
                <c:pt idx="19">
                  <c:v>973.14285714285711</c:v>
                </c:pt>
                <c:pt idx="20">
                  <c:v>4034</c:v>
                </c:pt>
                <c:pt idx="21">
                  <c:v>2464.9217857142858</c:v>
                </c:pt>
                <c:pt idx="22">
                  <c:v>3909</c:v>
                </c:pt>
                <c:pt idx="23">
                  <c:v>3887.125</c:v>
                </c:pt>
                <c:pt idx="24">
                  <c:v>2303.5714285714284</c:v>
                </c:pt>
                <c:pt idx="25">
                  <c:v>1509.7916666666667</c:v>
                </c:pt>
                <c:pt idx="26">
                  <c:v>4824</c:v>
                </c:pt>
                <c:pt idx="27">
                  <c:v>2498.5714285714284</c:v>
                </c:pt>
                <c:pt idx="28">
                  <c:v>6014.165</c:v>
                </c:pt>
                <c:pt idx="29">
                  <c:v>1164.2857142857142</c:v>
                </c:pt>
                <c:pt idx="30">
                  <c:v>5027.0142857142855</c:v>
                </c:pt>
                <c:pt idx="31">
                  <c:v>6962.4285714285716</c:v>
                </c:pt>
                <c:pt idx="32">
                  <c:v>1573.1585416666667</c:v>
                </c:pt>
                <c:pt idx="33">
                  <c:v>3057</c:v>
                </c:pt>
                <c:pt idx="34">
                  <c:v>2822.3269230769229</c:v>
                </c:pt>
                <c:pt idx="35">
                  <c:v>3243.1428571428573</c:v>
                </c:pt>
                <c:pt idx="36">
                  <c:v>452</c:v>
                </c:pt>
                <c:pt idx="37">
                  <c:v>2736.2857142857142</c:v>
                </c:pt>
                <c:pt idx="38">
                  <c:v>2362.5333333333333</c:v>
                </c:pt>
                <c:pt idx="39">
                  <c:v>2656.4488888888886</c:v>
                </c:pt>
                <c:pt idx="40">
                  <c:v>2724.6363636363635</c:v>
                </c:pt>
                <c:pt idx="41">
                  <c:v>3469.8</c:v>
                </c:pt>
                <c:pt idx="42">
                  <c:v>2944</c:v>
                </c:pt>
                <c:pt idx="43">
                  <c:v>5449</c:v>
                </c:pt>
                <c:pt idx="44">
                  <c:v>2841.1724137931033</c:v>
                </c:pt>
                <c:pt idx="45">
                  <c:v>4139.125</c:v>
                </c:pt>
                <c:pt idx="46">
                  <c:v>4560.6428571428569</c:v>
                </c:pt>
                <c:pt idx="47">
                  <c:v>735.625</c:v>
                </c:pt>
                <c:pt idx="48">
                  <c:v>1731.4285714285713</c:v>
                </c:pt>
                <c:pt idx="49">
                  <c:v>1085.125</c:v>
                </c:pt>
                <c:pt idx="50">
                  <c:v>6043.5428571428574</c:v>
                </c:pt>
                <c:pt idx="51">
                  <c:v>1521.75</c:v>
                </c:pt>
                <c:pt idx="52">
                  <c:v>5534.75</c:v>
                </c:pt>
                <c:pt idx="53">
                  <c:v>1394.625</c:v>
                </c:pt>
                <c:pt idx="54">
                  <c:v>1496.3485714285712</c:v>
                </c:pt>
                <c:pt idx="55">
                  <c:v>1542.2857142857142</c:v>
                </c:pt>
                <c:pt idx="56">
                  <c:v>2611.6237566137565</c:v>
                </c:pt>
                <c:pt idx="57">
                  <c:v>2353.3125</c:v>
                </c:pt>
                <c:pt idx="58">
                  <c:v>8611</c:v>
                </c:pt>
                <c:pt idx="59">
                  <c:v>3607</c:v>
                </c:pt>
                <c:pt idx="60">
                  <c:v>6596.1428571428569</c:v>
                </c:pt>
                <c:pt idx="61">
                  <c:v>3698.0504761904763</c:v>
                </c:pt>
                <c:pt idx="62">
                  <c:v>1448.9375</c:v>
                </c:pt>
                <c:pt idx="63">
                  <c:v>7575.7142857142853</c:v>
                </c:pt>
                <c:pt idx="64">
                  <c:v>5726.8571428571431</c:v>
                </c:pt>
                <c:pt idx="65">
                  <c:v>1518.4285714285713</c:v>
                </c:pt>
                <c:pt idx="66">
                  <c:v>5131.2857142857147</c:v>
                </c:pt>
                <c:pt idx="67">
                  <c:v>2272.4857142857145</c:v>
                </c:pt>
                <c:pt idx="68">
                  <c:v>7475.875</c:v>
                </c:pt>
                <c:pt idx="69">
                  <c:v>2016.3333333333333</c:v>
                </c:pt>
                <c:pt idx="70">
                  <c:v>4266.7619047619046</c:v>
                </c:pt>
                <c:pt idx="71">
                  <c:v>3531.3793103448274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D-4F9D-962F-8C0D1DE0B0D6}"/>
            </c:ext>
          </c:extLst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Sheet11!$A$2:$A$74</c:f>
              <c:strCache>
                <c:ptCount val="72"/>
                <c:pt idx="0">
                  <c:v>Accessories</c:v>
                </c:pt>
                <c:pt idx="1">
                  <c:v>Adapters</c:v>
                </c:pt>
                <c:pt idx="2">
                  <c:v>Adapters&amp;Multi-Outlets</c:v>
                </c:pt>
                <c:pt idx="3">
                  <c:v>AirConditioners</c:v>
                </c:pt>
                <c:pt idx="4">
                  <c:v>AirPurifiers</c:v>
                </c:pt>
                <c:pt idx="5">
                  <c:v>Audio&amp;VideoAccessories</c:v>
                </c:pt>
                <c:pt idx="6">
                  <c:v>AVReceivers&amp;Amplifiers</c:v>
                </c:pt>
                <c:pt idx="7">
                  <c:v>Cables&amp;Accessories</c:v>
                </c:pt>
                <c:pt idx="8">
                  <c:v>Calculators</c:v>
                </c:pt>
                <c:pt idx="9">
                  <c:v>Cases</c:v>
                </c:pt>
                <c:pt idx="10">
                  <c:v>Coffee,Tea&amp;Espresso</c:v>
                </c:pt>
                <c:pt idx="11">
                  <c:v>Condenser</c:v>
                </c:pt>
                <c:pt idx="12">
                  <c:v>CordManagement</c:v>
                </c:pt>
                <c:pt idx="13">
                  <c:v>DataCards&amp;Dongles</c:v>
                </c:pt>
                <c:pt idx="14">
                  <c:v>DisposableBatteries</c:v>
                </c:pt>
                <c:pt idx="15">
                  <c:v>Drawing&amp;PaintingSupplies</c:v>
                </c:pt>
                <c:pt idx="16">
                  <c:v>DrawingMaterials</c:v>
                </c:pt>
                <c:pt idx="17">
                  <c:v>Earpads</c:v>
                </c:pt>
                <c:pt idx="18">
                  <c:v>ExternalHardDisks</c:v>
                </c:pt>
                <c:pt idx="19">
                  <c:v>ExternalMemoryCardReaders</c:v>
                </c:pt>
                <c:pt idx="20">
                  <c:v>ExternalSolidStateDrives</c:v>
                </c:pt>
                <c:pt idx="21">
                  <c:v>Fans</c:v>
                </c:pt>
                <c:pt idx="22">
                  <c:v>Flashes</c:v>
                </c:pt>
                <c:pt idx="23">
                  <c:v>HardDiskBags</c:v>
                </c:pt>
                <c:pt idx="24">
                  <c:v>HardDriveAccessories</c:v>
                </c:pt>
                <c:pt idx="25">
                  <c:v>Headphones</c:v>
                </c:pt>
                <c:pt idx="26">
                  <c:v>HealthMonitors</c:v>
                </c:pt>
                <c:pt idx="27">
                  <c:v>Humidifiers</c:v>
                </c:pt>
                <c:pt idx="28">
                  <c:v>Inks,Toners&amp;Cartridges</c:v>
                </c:pt>
                <c:pt idx="29">
                  <c:v>InteriorAccessories</c:v>
                </c:pt>
                <c:pt idx="30">
                  <c:v>InternalHardDrives</c:v>
                </c:pt>
                <c:pt idx="31">
                  <c:v>InternalSolidStateDrives</c:v>
                </c:pt>
                <c:pt idx="32">
                  <c:v>Keyboards,Mice&amp;InputDevices</c:v>
                </c:pt>
                <c:pt idx="33">
                  <c:v>KitchenTools</c:v>
                </c:pt>
                <c:pt idx="34">
                  <c:v>LaptopAccessories</c:v>
                </c:pt>
                <c:pt idx="35">
                  <c:v>LaundryOrganization</c:v>
                </c:pt>
                <c:pt idx="36">
                  <c:v>MediaStreamingDevices</c:v>
                </c:pt>
                <c:pt idx="37">
                  <c:v>Memory</c:v>
                </c:pt>
                <c:pt idx="38">
                  <c:v>MemoryCards</c:v>
                </c:pt>
                <c:pt idx="39">
                  <c:v>MobileAccessories</c:v>
                </c:pt>
                <c:pt idx="40">
                  <c:v>NetworkAdapters</c:v>
                </c:pt>
                <c:pt idx="41">
                  <c:v>PaintingMaterials</c:v>
                </c:pt>
                <c:pt idx="42">
                  <c:v>Paper</c:v>
                </c:pt>
                <c:pt idx="43">
                  <c:v>Parts&amp;Accessories</c:v>
                </c:pt>
                <c:pt idx="44">
                  <c:v>PCGamingPeripherals</c:v>
                </c:pt>
                <c:pt idx="45">
                  <c:v>PenDrives</c:v>
                </c:pt>
                <c:pt idx="46">
                  <c:v>Printers</c:v>
                </c:pt>
                <c:pt idx="47">
                  <c:v>Projectors</c:v>
                </c:pt>
                <c:pt idx="48">
                  <c:v>RechargeableBatteries</c:v>
                </c:pt>
                <c:pt idx="49">
                  <c:v>Repeaters&amp;Extenders</c:v>
                </c:pt>
                <c:pt idx="50">
                  <c:v>RoomHeaters</c:v>
                </c:pt>
                <c:pt idx="51">
                  <c:v>Routers</c:v>
                </c:pt>
                <c:pt idx="52">
                  <c:v>SatelliteEquipment</c:v>
                </c:pt>
                <c:pt idx="53">
                  <c:v>Scrapbooking</c:v>
                </c:pt>
                <c:pt idx="54">
                  <c:v>SecurityCameras</c:v>
                </c:pt>
                <c:pt idx="55">
                  <c:v>SewingMachines&amp;Accessories</c:v>
                </c:pt>
                <c:pt idx="56">
                  <c:v>SmallKitchenAppliances</c:v>
                </c:pt>
                <c:pt idx="57">
                  <c:v>Smartphones&amp;BasicMobiles</c:v>
                </c:pt>
                <c:pt idx="58">
                  <c:v>SmartWatches</c:v>
                </c:pt>
                <c:pt idx="59">
                  <c:v>Speakers</c:v>
                </c:pt>
                <c:pt idx="60">
                  <c:v>SurgeProtectors</c:v>
                </c:pt>
                <c:pt idx="61">
                  <c:v>TabletAccessories</c:v>
                </c:pt>
                <c:pt idx="62">
                  <c:v>Televisions</c:v>
                </c:pt>
                <c:pt idx="63">
                  <c:v>TraditionalLaptops</c:v>
                </c:pt>
                <c:pt idx="64">
                  <c:v>UninterruptedPowerSupplies</c:v>
                </c:pt>
                <c:pt idx="65">
                  <c:v>USBGadgets</c:v>
                </c:pt>
                <c:pt idx="66">
                  <c:v>USBHubs</c:v>
                </c:pt>
                <c:pt idx="67">
                  <c:v>Vacuum,Cleaning&amp;Ironing</c:v>
                </c:pt>
                <c:pt idx="68">
                  <c:v>VideoCameras</c:v>
                </c:pt>
                <c:pt idx="69">
                  <c:v>WaterHeaters&amp;Geysers</c:v>
                </c:pt>
                <c:pt idx="70">
                  <c:v>WaterPurifiers&amp;Accessories</c:v>
                </c:pt>
                <c:pt idx="71">
                  <c:v>(blank)</c:v>
                </c:pt>
              </c:strCache>
            </c:strRef>
          </c:cat>
          <c:val>
            <c:numRef>
              <c:f>Sheet11!$C$2:$C$74</c:f>
              <c:numCache>
                <c:formatCode>General</c:formatCode>
                <c:ptCount val="72"/>
                <c:pt idx="0">
                  <c:v>4.1227642276422767</c:v>
                </c:pt>
                <c:pt idx="1">
                  <c:v>3.9333333333333322</c:v>
                </c:pt>
                <c:pt idx="2">
                  <c:v>4.1428571428571432</c:v>
                </c:pt>
                <c:pt idx="3">
                  <c:v>3.9714285714285715</c:v>
                </c:pt>
                <c:pt idx="4">
                  <c:v>4.2285714285714286</c:v>
                </c:pt>
                <c:pt idx="5">
                  <c:v>4.0500000000000007</c:v>
                </c:pt>
                <c:pt idx="6">
                  <c:v>4.0625</c:v>
                </c:pt>
                <c:pt idx="7">
                  <c:v>4.102631578947368</c:v>
                </c:pt>
                <c:pt idx="8">
                  <c:v>4.1428571428571432</c:v>
                </c:pt>
                <c:pt idx="9">
                  <c:v>4.0142857142857142</c:v>
                </c:pt>
                <c:pt idx="10">
                  <c:v>4.1326530612244907</c:v>
                </c:pt>
                <c:pt idx="11">
                  <c:v>4.1500000000000004</c:v>
                </c:pt>
                <c:pt idx="12">
                  <c:v>4.1857142857142859</c:v>
                </c:pt>
                <c:pt idx="13">
                  <c:v>4.2285714285714286</c:v>
                </c:pt>
                <c:pt idx="14">
                  <c:v>4.0625</c:v>
                </c:pt>
                <c:pt idx="15">
                  <c:v>3.9857142857142853</c:v>
                </c:pt>
                <c:pt idx="16">
                  <c:v>4.0714285714285712</c:v>
                </c:pt>
                <c:pt idx="17">
                  <c:v>3.9571428571428577</c:v>
                </c:pt>
                <c:pt idx="18">
                  <c:v>3.9625000000000004</c:v>
                </c:pt>
                <c:pt idx="19">
                  <c:v>4.2142857142857135</c:v>
                </c:pt>
                <c:pt idx="20">
                  <c:v>4.0999999999999996</c:v>
                </c:pt>
                <c:pt idx="21">
                  <c:v>4.0964285714285715</c:v>
                </c:pt>
                <c:pt idx="22">
                  <c:v>4.0500000000000007</c:v>
                </c:pt>
                <c:pt idx="23">
                  <c:v>4.0874999999999995</c:v>
                </c:pt>
                <c:pt idx="24">
                  <c:v>4.2142857142857135</c:v>
                </c:pt>
                <c:pt idx="25">
                  <c:v>4.083333333333333</c:v>
                </c:pt>
                <c:pt idx="26">
                  <c:v>3.9857142857142853</c:v>
                </c:pt>
                <c:pt idx="27">
                  <c:v>4.0714285714285712</c:v>
                </c:pt>
                <c:pt idx="28">
                  <c:v>4.1181818181818173</c:v>
                </c:pt>
                <c:pt idx="29">
                  <c:v>4.0428571428571427</c:v>
                </c:pt>
                <c:pt idx="30">
                  <c:v>4.2</c:v>
                </c:pt>
                <c:pt idx="31">
                  <c:v>4.1285714285714281</c:v>
                </c:pt>
                <c:pt idx="32">
                  <c:v>4.072916666666667</c:v>
                </c:pt>
                <c:pt idx="33">
                  <c:v>4.1714285714285717</c:v>
                </c:pt>
                <c:pt idx="34">
                  <c:v>4.1230769230769235</c:v>
                </c:pt>
                <c:pt idx="35">
                  <c:v>4.1809523809523812</c:v>
                </c:pt>
                <c:pt idx="36">
                  <c:v>4.0999999999999996</c:v>
                </c:pt>
                <c:pt idx="37">
                  <c:v>3.9571428571428577</c:v>
                </c:pt>
                <c:pt idx="38">
                  <c:v>4.1399999999999997</c:v>
                </c:pt>
                <c:pt idx="39">
                  <c:v>4.1111111111111107</c:v>
                </c:pt>
                <c:pt idx="40">
                  <c:v>4.0863636363636369</c:v>
                </c:pt>
                <c:pt idx="41">
                  <c:v>3.9666666666666668</c:v>
                </c:pt>
                <c:pt idx="42">
                  <c:v>4.081818181818182</c:v>
                </c:pt>
                <c:pt idx="43">
                  <c:v>4.3142857142857141</c:v>
                </c:pt>
                <c:pt idx="44">
                  <c:v>3.9931034482758618</c:v>
                </c:pt>
                <c:pt idx="45">
                  <c:v>4.1375000000000002</c:v>
                </c:pt>
                <c:pt idx="46">
                  <c:v>4.0285714285714285</c:v>
                </c:pt>
                <c:pt idx="47">
                  <c:v>3.9750000000000005</c:v>
                </c:pt>
                <c:pt idx="48">
                  <c:v>3.9857142857142853</c:v>
                </c:pt>
                <c:pt idx="49">
                  <c:v>4.1124999999999998</c:v>
                </c:pt>
                <c:pt idx="50">
                  <c:v>4.0199999999999987</c:v>
                </c:pt>
                <c:pt idx="51">
                  <c:v>4.0250000000000004</c:v>
                </c:pt>
                <c:pt idx="52">
                  <c:v>4.1375000000000002</c:v>
                </c:pt>
                <c:pt idx="53">
                  <c:v>4.0500000000000007</c:v>
                </c:pt>
                <c:pt idx="54">
                  <c:v>4.0142857142857142</c:v>
                </c:pt>
                <c:pt idx="55">
                  <c:v>4.1714285714285717</c:v>
                </c:pt>
                <c:pt idx="56">
                  <c:v>4.1243386243386269</c:v>
                </c:pt>
                <c:pt idx="57">
                  <c:v>4.1125000000000007</c:v>
                </c:pt>
                <c:pt idx="58">
                  <c:v>4.2374999999999998</c:v>
                </c:pt>
                <c:pt idx="59">
                  <c:v>4.0594594594594602</c:v>
                </c:pt>
                <c:pt idx="60">
                  <c:v>4.1714285714285717</c:v>
                </c:pt>
                <c:pt idx="61">
                  <c:v>4.0380952380952371</c:v>
                </c:pt>
                <c:pt idx="62">
                  <c:v>4.1187500000000004</c:v>
                </c:pt>
                <c:pt idx="63">
                  <c:v>4.0285714285714294</c:v>
                </c:pt>
                <c:pt idx="64">
                  <c:v>4</c:v>
                </c:pt>
                <c:pt idx="65">
                  <c:v>4.0999999999999996</c:v>
                </c:pt>
                <c:pt idx="66">
                  <c:v>4.2</c:v>
                </c:pt>
                <c:pt idx="67">
                  <c:v>4.105714285714285</c:v>
                </c:pt>
                <c:pt idx="68">
                  <c:v>4.0999999999999996</c:v>
                </c:pt>
                <c:pt idx="69">
                  <c:v>4.0047619047619047</c:v>
                </c:pt>
                <c:pt idx="70">
                  <c:v>4.0761904761904759</c:v>
                </c:pt>
                <c:pt idx="71">
                  <c:v>4.1448275862068957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D-4F9D-962F-8C0D1DE0B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08464"/>
        <c:axId val="1538200239"/>
      </c:barChart>
      <c:catAx>
        <c:axId val="981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00239"/>
        <c:crosses val="autoZero"/>
        <c:auto val="1"/>
        <c:lblAlgn val="ctr"/>
        <c:lblOffset val="100"/>
        <c:noMultiLvlLbl val="0"/>
      </c:catAx>
      <c:valAx>
        <c:axId val="15382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1</xdr:row>
      <xdr:rowOff>0</xdr:rowOff>
    </xdr:from>
    <xdr:to>
      <xdr:col>26</xdr:col>
      <xdr:colOff>304800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F4AFA0-CFD1-4453-8A0E-0E9C64047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103909</xdr:colOff>
      <xdr:row>21</xdr:row>
      <xdr:rowOff>9006</xdr:rowOff>
    </xdr:from>
    <xdr:to>
      <xdr:col>14</xdr:col>
      <xdr:colOff>405245</xdr:colOff>
      <xdr:row>34</xdr:row>
      <xdr:rowOff>108066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A97811-8569-412C-BC27-17FB141A1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169718</xdr:colOff>
      <xdr:row>21</xdr:row>
      <xdr:rowOff>164869</xdr:rowOff>
    </xdr:from>
    <xdr:to>
      <xdr:col>25</xdr:col>
      <xdr:colOff>471054</xdr:colOff>
      <xdr:row>36</xdr:row>
      <xdr:rowOff>164869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55366A-3D35-4E03-99A9-5D308164B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420415</xdr:colOff>
      <xdr:row>3</xdr:row>
      <xdr:rowOff>131379</xdr:rowOff>
    </xdr:from>
    <xdr:to>
      <xdr:col>37</xdr:col>
      <xdr:colOff>201448</xdr:colOff>
      <xdr:row>20</xdr:row>
      <xdr:rowOff>140138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FF8FE5-D61B-44F2-8A58-6FC7EA6F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17</xdr:col>
      <xdr:colOff>87586</xdr:colOff>
      <xdr:row>15</xdr:row>
      <xdr:rowOff>168165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43076AF-541E-4C52-BC0A-9D218084A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41910</xdr:rowOff>
    </xdr:from>
    <xdr:to>
      <xdr:col>4</xdr:col>
      <xdr:colOff>2407920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FD8DE-BA74-2249-49DF-3549D7F50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54</xdr:row>
      <xdr:rowOff>41910</xdr:rowOff>
    </xdr:from>
    <xdr:to>
      <xdr:col>11</xdr:col>
      <xdr:colOff>22860</xdr:colOff>
      <xdr:row>69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92CD8-CE0D-CC9B-2E68-5DB26EB79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362505</xdr:colOff>
      <xdr:row>0</xdr:row>
      <xdr:rowOff>81379</xdr:rowOff>
    </xdr:from>
    <xdr:to>
      <xdr:col>13</xdr:col>
      <xdr:colOff>60665</xdr:colOff>
      <xdr:row>15</xdr:row>
      <xdr:rowOff>81379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700EF-4027-0D4B-8791-2F281938F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362505</xdr:colOff>
      <xdr:row>17</xdr:row>
      <xdr:rowOff>59184</xdr:rowOff>
    </xdr:from>
    <xdr:to>
      <xdr:col>13</xdr:col>
      <xdr:colOff>303320</xdr:colOff>
      <xdr:row>28</xdr:row>
      <xdr:rowOff>133165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1B1937-A6B7-4F7E-84D7-4A5BC2925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1520300</xdr:colOff>
      <xdr:row>48</xdr:row>
      <xdr:rowOff>4439</xdr:rowOff>
    </xdr:from>
    <xdr:to>
      <xdr:col>10</xdr:col>
      <xdr:colOff>70281</xdr:colOff>
      <xdr:row>62</xdr:row>
      <xdr:rowOff>158319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AB07E5-C0B7-BAB1-A044-E79ECE0B6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F005D-77CF-2695-3239-F546E95BD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283FA-B0F7-AAA7-8737-D8927E650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z dubey" refreshedDate="46205.999640740738" createdVersion="8" refreshedVersion="8" minRefreshableVersion="3" recordCount="1466" xr:uid="{DDF182CD-FD54-4BE0-BE38-A28EB8F303B0}">
  <cacheSource type="worksheet">
    <worksheetSource ref="A1:Q1048576" sheet="DATASET"/>
  </cacheSource>
  <cacheFields count="17">
    <cacheField name="product_id" numFmtId="0">
      <sharedItems containsBlank="1"/>
    </cacheField>
    <cacheField name="Product" numFmtId="0">
      <sharedItems containsBlank="1"/>
    </cacheField>
    <cacheField name="category" numFmtId="0">
      <sharedItems containsBlank="1" count="72">
        <s v="Cables&amp;Accessories"/>
        <s v="NetworkAdapters"/>
        <s v="Accessories"/>
        <s v="Televisions"/>
        <s v="Projectors"/>
        <s v="SatelliteEquipment"/>
        <s v="MediaStreamingDevices"/>
        <s v="AVReceivers&amp;Amplifiers"/>
        <s v="Speakers"/>
        <s v="SmartWatches"/>
        <s v="MobileAccessories"/>
        <s v="Smartphones&amp;BasicMobiles"/>
        <s v="MemoryCards"/>
        <s v="Headphones"/>
        <s v="LaptopAccessories"/>
        <s v="Adapters"/>
        <s v="PenDrives"/>
        <s v="Keyboards,Mice&amp;InputDevices"/>
        <s v="Condenser"/>
        <s v="DisposableBatteries"/>
        <s v="Paper"/>
        <s v="Scrapbooking"/>
        <s v="ExternalHardDisks"/>
        <s v="VideoCameras"/>
        <s v="Calculators"/>
        <s v="Repeaters&amp;Extenders"/>
        <s v="Inks,Toners&amp;Cartridges"/>
        <s v="PCGamingPeripherals"/>
        <s v="PaintingMaterials"/>
        <s v="HardDiskBags"/>
        <s v="Flashes"/>
        <m/>
        <s v="Routers"/>
        <s v="RechargeableBatteries"/>
        <s v="USBGadgets"/>
        <s v="SecurityCameras"/>
        <s v="TabletAccessories"/>
        <s v="USBHubs"/>
        <s v="Audio&amp;VideoAccessories"/>
        <s v="ExternalMemoryCardReaders"/>
        <s v="Memory"/>
        <s v="UninterruptedPowerSupplies"/>
        <s v="Cases"/>
        <s v="Adapters&amp;Multi-Outlets"/>
        <s v="InternalSolidStateDrives"/>
        <s v="DataCards&amp;Dongles"/>
        <s v="DrawingMaterials"/>
        <s v="InternalHardDrives"/>
        <s v="Printers"/>
        <s v="Earpads"/>
        <s v="Drawing&amp;PaintingSupplies"/>
        <s v="ExternalSolidStateDrives"/>
        <s v="SurgeProtectors"/>
        <s v="CordManagement"/>
        <s v="HardDriveAccessories"/>
        <s v="TraditionalLaptops"/>
        <s v="SmallKitchenAppliances"/>
        <s v="RoomHeaters"/>
        <s v="Vacuum,Cleaning&amp;Ironing"/>
        <s v="KitchenTools"/>
        <s v="WaterHeaters&amp;Geysers"/>
        <s v="LaundryOrganization"/>
        <s v="Fans"/>
        <s v="Coffee,Tea&amp;Espresso"/>
        <s v="WaterPurifiers&amp;Accessories"/>
        <s v="InteriorAccessories"/>
        <s v="AirPurifiers"/>
        <s v="SewingMachines&amp;Accessories"/>
        <s v="HealthMonitors"/>
        <s v="Humidifiers"/>
        <s v="AirConditioners"/>
        <s v="Parts&amp;Accessories"/>
      </sharedItems>
    </cacheField>
    <cacheField name="product type" numFmtId="0">
      <sharedItems containsBlank="1"/>
    </cacheField>
    <cacheField name="actual_price" numFmtId="164">
      <sharedItems containsString="0" containsBlank="1" containsNumber="1" minValue="39" maxValue="139900"/>
    </cacheField>
    <cacheField name="discounted_price" numFmtId="44">
      <sharedItems containsString="0" containsBlank="1" containsNumber="1" minValue="39" maxValue="77990"/>
    </cacheField>
    <cacheField name="expected revenue" numFmtId="44">
      <sharedItems containsString="0" containsBlank="1" containsNumber="1" minValue="59" maxValue="496300"/>
    </cacheField>
    <cacheField name="actual revenue" numFmtId="44">
      <sharedItems containsString="0" containsBlank="1" containsNumber="1" minValue="59" maxValue="335930"/>
    </cacheField>
    <cacheField name="discount given" numFmtId="164">
      <sharedItems containsString="0" containsBlank="1" containsNumber="1" minValue="0" maxValue="166362"/>
    </cacheField>
    <cacheField name="profit/loss" numFmtId="164">
      <sharedItems containsString="0" containsBlank="1" containsNumber="1" minValue="-167307" maxValue="0"/>
    </cacheField>
    <cacheField name="discount_percentage" numFmtId="0">
      <sharedItems containsString="0" containsBlank="1" containsNumber="1" minValue="0" maxValue="0.94"/>
    </cacheField>
    <cacheField name="rating" numFmtId="0">
      <sharedItems containsBlank="1" containsMixedTypes="1" containsNumber="1" minValue="2" maxValue="5"/>
    </cacheField>
    <cacheField name="rating_count" numFmtId="0">
      <sharedItems containsString="0" containsBlank="1" containsNumber="1" containsInteger="1" minValue="2" maxValue="426973"/>
    </cacheField>
    <cacheField name="User" numFmtId="0">
      <sharedItems containsBlank="1"/>
    </cacheField>
    <cacheField name="no. of users" numFmtId="0">
      <sharedItems containsString="0" containsBlank="1" containsNumber="1" containsInteger="1" minValue="1" maxValue="8"/>
    </cacheField>
    <cacheField name="Image link" numFmtId="0">
      <sharedItems containsBlank="1"/>
    </cacheField>
    <cacheField name="productlink" numFmtId="0">
      <sharedItems containsBlank="1"/>
    </cacheField>
  </cacheFields>
  <extLst>
    <ext xmlns:x14="http://schemas.microsoft.com/office/spreadsheetml/2009/9/main" uri="{725AE2AE-9491-48be-B2B4-4EB974FC3084}">
      <x14:pivotCacheDefinition pivotCacheId="18419531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6">
  <r>
    <s v="B07JW9H4J1"/>
    <s v="Wayona Nylon Braided USB"/>
    <x v="0"/>
    <s v="Cables"/>
    <n v="1099"/>
    <n v="399"/>
    <n v="4396"/>
    <n v="1596"/>
    <n v="2813.44"/>
    <n v="-2800"/>
    <n v="0.64"/>
    <n v="4.2"/>
    <n v="24269"/>
    <s v="Manav,Adarsh gupta,Sundeep,S.Sayeed"/>
    <n v="4"/>
    <e v="#REF!"/>
    <e v="#REF!"/>
  </r>
  <r>
    <s v="B098NS6PVG"/>
    <s v="Ambrane Unbreakable 60W /"/>
    <x v="1"/>
    <s v="WirelessUSBAdapters"/>
    <n v="349"/>
    <n v="199"/>
    <n v="1047"/>
    <n v="597"/>
    <n v="450.21"/>
    <n v="-450"/>
    <n v="0.43"/>
    <n v="4"/>
    <n v="43994"/>
    <s v="ArdKn,Nirbhay kumar,Sagar"/>
    <n v="3"/>
    <e v="#REF!"/>
    <e v="#REF!"/>
  </r>
  <r>
    <s v="B096MSW6CT"/>
    <s v="Sounce Fast Phone Charging"/>
    <x v="2"/>
    <s v="Cables"/>
    <n v="1899"/>
    <n v="199"/>
    <n v="9495"/>
    <n v="995"/>
    <n v="8545.5"/>
    <n v="-8500"/>
    <n v="0.9"/>
    <n v="3.9"/>
    <n v="7928"/>
    <s v="Kunal,Himanshu,viswanath,sai niharka,saqib"/>
    <n v="5"/>
    <e v="#REF!"/>
    <e v="#REF!"/>
  </r>
  <r>
    <s v="B08HDJ86NZ"/>
    <s v="boAt Deuce USB 300"/>
    <x v="3"/>
    <s v="SmartTelevisions"/>
    <n v="699"/>
    <n v="329"/>
    <n v="2796"/>
    <n v="1316"/>
    <n v="1481.88"/>
    <n v="-1480"/>
    <n v="0.53"/>
    <n v="4.2"/>
    <n v="94363"/>
    <s v="Omkar dhale,JD,HEMALATHA,Ajwadh"/>
    <n v="4"/>
    <e v="#REF!"/>
    <e v="#REF!"/>
  </r>
  <r>
    <s v="B08CF3B7N1"/>
    <s v="Portronics Konnect L 1.2M"/>
    <x v="2"/>
    <s v="RemoteControls"/>
    <n v="399"/>
    <n v="154"/>
    <n v="1197"/>
    <n v="462"/>
    <n v="730.17"/>
    <n v="-735"/>
    <n v="0.61"/>
    <n v="4.2"/>
    <n v="16905"/>
    <s v="rahuls6099,Swasat Borah,Ajay"/>
    <n v="3"/>
    <e v="#REF!"/>
    <e v="#REF!"/>
  </r>
  <r>
    <s v="B08Y1TFSP6"/>
    <s v="pTron Solero TB301 3A"/>
    <x v="3"/>
    <s v="StandardTelevisions"/>
    <n v="1000"/>
    <n v="149"/>
    <n v="4000"/>
    <n v="596"/>
    <n v="3400"/>
    <n v="-3404"/>
    <n v="0.85"/>
    <n v="3.9"/>
    <n v="24871"/>
    <s v="Jayesh,Rajesh k.,Soopy,amazon"/>
    <n v="4"/>
    <e v="#REF!"/>
    <e v="#REF!"/>
  </r>
  <r>
    <s v="B08WRWPM22"/>
    <s v="boAt Micro USB 55"/>
    <x v="2"/>
    <s v="TVMounts,Stands&amp;Turntables"/>
    <n v="499"/>
    <n v="176.63"/>
    <n v="998"/>
    <n v="353.26"/>
    <n v="648.70000000000005"/>
    <n v="-644.74"/>
    <n v="0.65"/>
    <n v="4.0999999999999996"/>
    <n v="15188"/>
    <s v="Vivek kumar,Amazon"/>
    <n v="2"/>
    <e v="#REF!"/>
    <e v="#REF!"/>
  </r>
  <r>
    <s v="B08DDRGWTJ"/>
    <s v="MI Usb Type-C Cable"/>
    <x v="2"/>
    <s v="Cables"/>
    <n v="299"/>
    <n v="229"/>
    <n v="299"/>
    <n v="229"/>
    <n v="68.77"/>
    <n v="-70"/>
    <n v="0.23"/>
    <n v="4.3"/>
    <n v="30411"/>
    <s v="Pavan A"/>
    <n v="1"/>
    <e v="#REF!"/>
    <e v="#REF!"/>
  </r>
  <r>
    <s v="B008IFXQFU"/>
    <s v="TP-Link USB WiFi Adapter"/>
    <x v="2"/>
    <s v="SpeakerAccessories"/>
    <n v="999"/>
    <n v="499"/>
    <n v="1998"/>
    <n v="998"/>
    <n v="999"/>
    <n v="-1000"/>
    <n v="0.5"/>
    <n v="4.2"/>
    <n v="179691"/>
    <s v="Azhar JuMan,Anirudh"/>
    <n v="2"/>
    <e v="#REF!"/>
    <e v="#REF!"/>
  </r>
  <r>
    <s v="B082LZGK39"/>
    <s v="Ambrane Unbreakable 60W /"/>
    <x v="2"/>
    <s v="Cables"/>
    <n v="299"/>
    <n v="199"/>
    <n v="897"/>
    <n v="597"/>
    <n v="296.01"/>
    <n v="-300"/>
    <n v="0.33"/>
    <n v="4"/>
    <n v="43994"/>
    <s v="ArdKn,Nirbhay kumar,Sagar"/>
    <n v="3"/>
    <e v="#REF!"/>
    <e v="#REF!"/>
  </r>
  <r>
    <s v="B08CF3D7QR"/>
    <s v="Portronics Konnect L POR-1081"/>
    <x v="4"/>
    <m/>
    <n v="339"/>
    <n v="154"/>
    <n v="1356"/>
    <n v="616"/>
    <n v="745.80000000000007"/>
    <n v="-740"/>
    <n v="0.55000000000000004"/>
    <n v="4.3"/>
    <n v="13391"/>
    <s v="Tanya,Anu,Akshay,Vishal Sagara"/>
    <n v="4"/>
    <e v="#REF!"/>
    <e v="#REF!"/>
  </r>
  <r>
    <s v="B0789LZTCJ"/>
    <s v="boAt Rugged v3 Extra"/>
    <x v="2"/>
    <s v="Adapters"/>
    <n v="799"/>
    <n v="299"/>
    <n v="3196"/>
    <n v="1196"/>
    <n v="2013.48"/>
    <n v="-2000"/>
    <n v="0.63"/>
    <n v="4.2"/>
    <n v="94363"/>
    <s v="Omkar dhale,JD,HEMALATHA,Ajwadh"/>
    <n v="4"/>
    <e v="#REF!"/>
    <e v="#REF!"/>
  </r>
  <r>
    <s v="B07KSMBL2H"/>
    <s v="AmazonBasics Flexible Premium HDMI"/>
    <x v="5"/>
    <s v="SatelliteReceivers"/>
    <n v="700"/>
    <n v="219"/>
    <n v="1400"/>
    <n v="438"/>
    <n v="965.99999999999989"/>
    <n v="-962"/>
    <n v="0.69"/>
    <n v="4.4000000000000004"/>
    <n v="426973"/>
    <s v="Rishav Gossain,Shashank"/>
    <n v="2"/>
    <e v="#REF!"/>
    <e v="#REF!"/>
  </r>
  <r>
    <s v="B085DTN6R2"/>
    <s v="Portronics Konnect CL 20W"/>
    <x v="0"/>
    <s v="Cables"/>
    <n v="899"/>
    <n v="350"/>
    <n v="5394"/>
    <n v="2100"/>
    <n v="3290.34"/>
    <n v="-3294"/>
    <n v="0.61"/>
    <n v="4.2"/>
    <n v="2262"/>
    <s v="Priya,Mansi,Plaban,Vivek,Taufique Ahmed,Praveen"/>
    <n v="6"/>
    <e v="#REF!"/>
    <e v="#REF!"/>
  </r>
  <r>
    <s v="B09KLVMZ3B"/>
    <s v="Portronics Konnect L 1.2M"/>
    <x v="2"/>
    <s v="Cables"/>
    <n v="399"/>
    <n v="159"/>
    <n v="798"/>
    <n v="318"/>
    <n v="478.79999999999995"/>
    <n v="-480"/>
    <n v="0.6"/>
    <n v="4.0999999999999996"/>
    <n v="4768"/>
    <s v="Deepaak Singh,siva"/>
    <n v="2"/>
    <e v="#REF!"/>
    <e v="#REF!"/>
  </r>
  <r>
    <s v="B083342NKJ"/>
    <s v="MI Braided USB Type-C"/>
    <x v="6"/>
    <s v="StreamingClients"/>
    <n v="399"/>
    <n v="349"/>
    <n v="399"/>
    <n v="349"/>
    <n v="51.870000000000005"/>
    <n v="-50"/>
    <n v="0.13"/>
    <n v="4.4000000000000004"/>
    <n v="18757"/>
    <s v="Birendra ku"/>
    <n v="1"/>
    <e v="#REF!"/>
    <e v="#REF!"/>
  </r>
  <r>
    <s v="B0B6F7LX4C"/>
    <s v="MI 80 cm"/>
    <x v="7"/>
    <m/>
    <n v="24999"/>
    <n v="13999"/>
    <n v="49998"/>
    <n v="27998"/>
    <n v="21999.119999999999"/>
    <n v="-22000"/>
    <n v="0.44"/>
    <n v="4.2"/>
    <n v="32840"/>
    <s v="Manoj maddheshiya,Manoj"/>
    <n v="2"/>
    <e v="#REF!"/>
    <e v="#REF!"/>
  </r>
  <r>
    <s v="B082LSVT4B"/>
    <s v="Ambrane Unbreakable 60W /"/>
    <x v="8"/>
    <s v="TowerSpeakers"/>
    <n v="399"/>
    <n v="249"/>
    <n v="1197"/>
    <n v="747"/>
    <n v="454.86"/>
    <n v="-450"/>
    <n v="0.38"/>
    <n v="4"/>
    <n v="43994"/>
    <s v="ArdKn,Nirbhay kumar,Sagar"/>
    <n v="3"/>
    <e v="#REF!"/>
    <e v="#REF!"/>
  </r>
  <r>
    <s v="B08WRBG3XW"/>
    <s v="boAt Type C A325"/>
    <x v="2"/>
    <s v="3DGlasses"/>
    <n v="499"/>
    <n v="199"/>
    <n v="998"/>
    <n v="398"/>
    <n v="598.79999999999995"/>
    <n v="-600"/>
    <n v="0.6"/>
    <n v="4.0999999999999996"/>
    <n v="13045"/>
    <s v="Rohan Narkar,JAGWINDER"/>
    <n v="2"/>
    <e v="#REF!"/>
    <e v="#REF!"/>
  </r>
  <r>
    <s v="B08DPLCM6T"/>
    <s v="LG 80 cm"/>
    <x v="9"/>
    <m/>
    <n v="21990"/>
    <n v="13490"/>
    <n v="65970"/>
    <n v="40470"/>
    <n v="25728.300000000003"/>
    <n v="-25500"/>
    <n v="0.39"/>
    <n v="4.3"/>
    <n v="11976"/>
    <s v="NIRMAL.N,Manoj kumar,SOMNATH"/>
    <n v="3"/>
    <e v="#REF!"/>
    <e v="#REF!"/>
  </r>
  <r>
    <s v="B09C6HXFC1"/>
    <s v="Duracell USB Lightning Apple"/>
    <x v="10"/>
    <s v="Chargers"/>
    <n v="1799"/>
    <n v="970"/>
    <n v="3598"/>
    <n v="1940"/>
    <n v="1655.0800000000002"/>
    <n v="-1658"/>
    <n v="0.46"/>
    <n v="4.5"/>
    <n v="815"/>
    <s v="Prasannavijayaraghavan G.,Preet"/>
    <n v="2"/>
    <e v="#REF!"/>
    <e v="#REF!"/>
  </r>
  <r>
    <s v="B085194JFL"/>
    <s v="tizum HDMI to VGA"/>
    <x v="11"/>
    <s v="Smartphones"/>
    <n v="499"/>
    <n v="279"/>
    <n v="1497"/>
    <n v="837"/>
    <n v="658.68000000000006"/>
    <n v="-660"/>
    <n v="0.44"/>
    <n v="3.7"/>
    <n v="10962"/>
    <s v="aditya d.,Paranthaman,ashik"/>
    <n v="3"/>
    <e v="#REF!"/>
    <e v="#REF!"/>
  </r>
  <r>
    <s v="B09F6S8BT6"/>
    <s v="Samsung 80 cm"/>
    <x v="12"/>
    <s v="MicroSD"/>
    <n v="22900"/>
    <n v="13490"/>
    <n v="45800"/>
    <n v="26980"/>
    <n v="18778"/>
    <n v="-18820"/>
    <n v="0.41"/>
    <n v="4.3"/>
    <n v="16299"/>
    <s v="Rahman Ali,MARIYA"/>
    <n v="2"/>
    <e v="#REF!"/>
    <e v="#REF!"/>
  </r>
  <r>
    <s v="B09NHVCHS9"/>
    <s v="Flix Micro Usb Cable"/>
    <x v="11"/>
    <s v="BasicMobiles"/>
    <n v="199"/>
    <n v="59"/>
    <n v="597"/>
    <n v="177"/>
    <n v="417.9"/>
    <n v="-420"/>
    <n v="0.7"/>
    <n v="4"/>
    <n v="9378"/>
    <s v="$@|\|TO$|-|,Sethu madhav,Akash"/>
    <n v="3"/>
    <e v="#REF!"/>
    <e v="#REF!"/>
  </r>
  <r>
    <s v="B0B1YVCJ2Y"/>
    <s v="Acer 80 cm"/>
    <x v="13"/>
    <s v="In-Ear"/>
    <n v="19990"/>
    <n v="11499"/>
    <n v="99950"/>
    <n v="57495"/>
    <n v="41979"/>
    <n v="-42455"/>
    <n v="0.42"/>
    <n v="4.3"/>
    <n v="4703"/>
    <s v="Ayush,ROHIT A.,Kedar,Haran,Santosh"/>
    <n v="5"/>
    <e v="#REF!"/>
    <e v="#REF!"/>
  </r>
  <r>
    <s v="B01M4GGIVU"/>
    <s v="Tizum High Speed HDMI"/>
    <x v="10"/>
    <s v="Chargers"/>
    <n v="699"/>
    <n v="199"/>
    <n v="2097"/>
    <n v="597"/>
    <n v="1509.84"/>
    <n v="-1500"/>
    <n v="0.72"/>
    <n v="4.2"/>
    <n v="12153"/>
    <s v="Yashpreet Singh,Abiram,Aakaash"/>
    <n v="3"/>
    <e v="#REF!"/>
    <e v="#REF!"/>
  </r>
  <r>
    <s v="B08B42LWKN"/>
    <s v="OnePlus 80 cm"/>
    <x v="10"/>
    <s v="AutomobileAccessories"/>
    <n v="19999"/>
    <n v="14999"/>
    <n v="39998"/>
    <n v="29998"/>
    <n v="9999.5"/>
    <n v="-10000"/>
    <n v="0.25"/>
    <n v="4.2"/>
    <n v="34899"/>
    <s v="ATHARVA BONDRE,Sujitkumar"/>
    <n v="2"/>
    <e v="#REF!"/>
    <e v="#REF!"/>
  </r>
  <r>
    <s v="B094JNXNPV"/>
    <s v="Ambrane Unbreakable 3 in"/>
    <x v="10"/>
    <s v="Chargers"/>
    <n v="399"/>
    <n v="299"/>
    <n v="1596"/>
    <n v="1196"/>
    <n v="399"/>
    <n v="-400"/>
    <n v="0.25"/>
    <n v="4"/>
    <n v="2766"/>
    <s v="Anand sarma,lokeshnist,C,SAI"/>
    <n v="4"/>
    <e v="#REF!"/>
    <e v="#REF!"/>
  </r>
  <r>
    <s v="B09W5XR9RT"/>
    <s v="Duracell USB C To"/>
    <x v="10"/>
    <s v="Cables&amp;Adapters"/>
    <n v="1999"/>
    <n v="970"/>
    <n v="3998"/>
    <n v="1940"/>
    <n v="2038.98"/>
    <n v="-2058"/>
    <n v="0.51"/>
    <n v="4.4000000000000004"/>
    <n v="184"/>
    <s v="Amazon Customer,Govind"/>
    <n v="2"/>
    <e v="#REF!"/>
    <e v="#REF!"/>
  </r>
  <r>
    <s v="B077Z65HSD"/>
    <s v="boAt A400 USB Type-C"/>
    <x v="10"/>
    <s v="Photo&amp;VideoAccessories"/>
    <n v="999"/>
    <n v="299"/>
    <n v="2997"/>
    <n v="897"/>
    <n v="2097.8999999999996"/>
    <n v="-2100"/>
    <n v="0.7"/>
    <n v="4.3"/>
    <n v="20850"/>
    <s v="GHOST,Amazon Customer,A"/>
    <n v="3"/>
    <e v="#REF!"/>
    <e v="#REF!"/>
  </r>
  <r>
    <s v="B00NH11PEY"/>
    <s v="AmazonBasics USB 2.0 -"/>
    <x v="10"/>
    <s v="Photo&amp;VideoAccessories"/>
    <n v="750"/>
    <n v="199"/>
    <n v="6000"/>
    <n v="1592"/>
    <n v="4380"/>
    <n v="-4408"/>
    <n v="0.73"/>
    <n v="4.5"/>
    <n v="74976"/>
    <s v="Pravin Kumar,Maestrov,rag,Mukundha2good,Amazon_Shopper,Sonic,Pratap,Amazon"/>
    <n v="8"/>
    <e v="#REF!"/>
    <e v="#REF!"/>
  </r>
  <r>
    <s v="B09CMM3VGK"/>
    <s v="Ambrane 60W / 3A"/>
    <x v="10"/>
    <s v="Stands"/>
    <n v="499"/>
    <n v="179"/>
    <n v="1497"/>
    <n v="537"/>
    <n v="958.08"/>
    <n v="-960"/>
    <n v="0.64"/>
    <n v="4"/>
    <n v="1934"/>
    <s v="Rishabh,Amazon Customer,Darpan"/>
    <n v="3"/>
    <e v="#REF!"/>
    <e v="#REF!"/>
  </r>
  <r>
    <s v="B08QSC1XY8"/>
    <s v="Zoul USB C 60W"/>
    <x v="0"/>
    <s v="CableConnectionProtectors"/>
    <n v="1099"/>
    <n v="389"/>
    <n v="4396"/>
    <n v="1556"/>
    <n v="2857.4"/>
    <n v="-2840"/>
    <n v="0.65"/>
    <n v="4.3"/>
    <n v="974"/>
    <s v="Pratyush Pahuja,Thiyagarajan,yeses,Amazon"/>
    <n v="4"/>
    <e v="#REF!"/>
    <e v="#REF!"/>
  </r>
  <r>
    <s v="B008FWZGSG"/>
    <s v="Samsung Original Type C"/>
    <x v="10"/>
    <s v="DÃ©cor"/>
    <n v="599"/>
    <n v="599"/>
    <n v="1198"/>
    <n v="1198"/>
    <n v="0"/>
    <n v="0"/>
    <n v="0"/>
    <n v="4.3"/>
    <n v="355"/>
    <s v="Verified Buyer,Avishek"/>
    <n v="2"/>
    <e v="#REF!"/>
    <e v="#REF!"/>
  </r>
  <r>
    <s v="B0B4HJNPV4"/>
    <s v="pTron Solero T351 3.5Amps"/>
    <x v="10"/>
    <s v="Maintenance,Upkeep&amp;Repairs"/>
    <n v="999"/>
    <n v="199"/>
    <n v="4995"/>
    <n v="995"/>
    <n v="3996"/>
    <n v="-4000"/>
    <n v="0.8"/>
    <n v="3.9"/>
    <n v="1075"/>
    <s v="Placeholder,à¤¶à¥à¤°à¥€PKà¤œà¥€,Gauri salkar,aQeel,Ashish"/>
    <n v="5"/>
    <e v="#REF!"/>
    <e v="#REF!"/>
  </r>
  <r>
    <s v="B08Y1SJVV5"/>
    <s v="pTron Solero MB301 3A"/>
    <x v="10"/>
    <s v="StylusPens"/>
    <n v="666.66"/>
    <n v="99"/>
    <n v="2666.64"/>
    <n v="396"/>
    <n v="2266.6439999999998"/>
    <n v="-2270.64"/>
    <n v="0.85"/>
    <n v="3.9"/>
    <n v="24871"/>
    <s v="Jayesh,Rajesh k.,Soopy,amazon"/>
    <n v="4"/>
    <e v="#REF!"/>
    <e v="#REF!"/>
  </r>
  <r>
    <s v="B07XLCFSSN"/>
    <s v="Amazonbasics Nylon Braided Usb-C"/>
    <x v="10"/>
    <s v="Mounts"/>
    <n v="1900"/>
    <n v="899"/>
    <n v="5700"/>
    <n v="2697"/>
    <n v="3021"/>
    <n v="-3003"/>
    <n v="0.53"/>
    <n v="4.4000000000000004"/>
    <n v="13552"/>
    <s v="Wraith,Krishna Engineering,Kindle"/>
    <n v="3"/>
    <e v="#REF!"/>
    <e v="#REF!"/>
  </r>
  <r>
    <s v="B09RZS1NQT"/>
    <s v="Sounce 65W OnePlus Dash"/>
    <x v="10"/>
    <s v="Cases&amp;Covers"/>
    <n v="999"/>
    <n v="199"/>
    <n v="3996"/>
    <n v="796"/>
    <n v="3196.8"/>
    <n v="-3200"/>
    <n v="0.8"/>
    <n v="4"/>
    <n v="576"/>
    <s v="Anmol,Vani,Tejas Jha,Rishabh"/>
    <n v="4"/>
    <e v="#REF!"/>
    <e v="#REF!"/>
  </r>
  <r>
    <s v="B0B3MMYHYW"/>
    <s v="OnePlus 126 cm"/>
    <x v="10"/>
    <s v="Mounts"/>
    <n v="45999"/>
    <n v="32999"/>
    <n v="91998"/>
    <n v="65998"/>
    <n v="25759.440000000002"/>
    <n v="-26000"/>
    <n v="0.28000000000000003"/>
    <n v="4.2"/>
    <n v="7298"/>
    <s v="Abhishek Kumar,Arun"/>
    <n v="2"/>
    <e v="#REF!"/>
    <e v="#REF!"/>
  </r>
  <r>
    <s v="B09C6HWG18"/>
    <s v="Duracell Type C To"/>
    <x v="13"/>
    <s v="On-Ear"/>
    <n v="1999"/>
    <n v="970"/>
    <n v="1999"/>
    <n v="970"/>
    <n v="1019.49"/>
    <n v="-1029"/>
    <n v="0.51"/>
    <n v="4.2"/>
    <n v="462"/>
    <s v="Koushal K"/>
    <n v="1"/>
    <e v="#REF!"/>
    <e v="#REF!"/>
  </r>
  <r>
    <s v="B00NH11KIK"/>
    <s v="AmazonBasics USB 2.0 Cable"/>
    <x v="14"/>
    <s v="CameraPrivacyCovers"/>
    <n v="695"/>
    <n v="209"/>
    <n v="4865"/>
    <n v="1463"/>
    <n v="3405.4999999999995"/>
    <n v="-3402"/>
    <n v="0.7"/>
    <n v="4.5"/>
    <n v="107687"/>
    <s v="Shiva,Uzef,kottala samuel,Renjith,Dhivakaran,Mark,Utkarsh"/>
    <n v="7"/>
    <e v="#REF!"/>
    <e v="#REF!"/>
  </r>
  <r>
    <s v="B09JPC82QC"/>
    <s v="Mi 108 cm"/>
    <x v="15"/>
    <m/>
    <n v="34999"/>
    <n v="19999"/>
    <n v="104997"/>
    <n v="59997"/>
    <n v="45148.71"/>
    <n v="-45000"/>
    <n v="0.43"/>
    <n v="4.3"/>
    <n v="27151"/>
    <s v="Sameer Patil,TechnoLoon,Deepti"/>
    <n v="3"/>
    <e v="#REF!"/>
    <e v="#REF!"/>
  </r>
  <r>
    <s v="B07JW1Y6XV"/>
    <s v="Wayona Nylon Braided 3A"/>
    <x v="10"/>
    <s v="DÃ©cor"/>
    <n v="1099"/>
    <n v="399"/>
    <n v="4396"/>
    <n v="1596"/>
    <n v="2813.44"/>
    <n v="-2800"/>
    <n v="0.64"/>
    <n v="4.2"/>
    <n v="24269"/>
    <s v="Manav,Adarsh gupta,Sundeep,S.Sayeed"/>
    <n v="4"/>
    <e v="#REF!"/>
    <e v="#REF!"/>
  </r>
  <r>
    <s v="B07KRCW6LZ"/>
    <s v="TP-Link Nano AC600 USB"/>
    <x v="10"/>
    <s v="Mounts"/>
    <n v="1599"/>
    <n v="999"/>
    <n v="3198"/>
    <n v="1998"/>
    <n v="1215.24"/>
    <n v="-1200"/>
    <n v="0.38"/>
    <n v="4.3"/>
    <n v="12093"/>
    <s v="Paul Joe,Simon"/>
    <n v="2"/>
    <e v="#REF!"/>
    <e v="#REF!"/>
  </r>
  <r>
    <s v="B09NJN8L25"/>
    <s v="FLiX"/>
    <x v="16"/>
    <m/>
    <n v="199"/>
    <n v="59"/>
    <n v="597"/>
    <n v="177"/>
    <n v="417.9"/>
    <n v="-420"/>
    <n v="0.7"/>
    <n v="4"/>
    <n v="9378"/>
    <s v="$@|\|TO$|-|,Sethu madhav,Akash"/>
    <n v="3"/>
    <e v="#REF!"/>
    <e v="#REF!"/>
  </r>
  <r>
    <s v="B07XJYYH7L"/>
    <s v="Wecool Nylon Braided Multifunction"/>
    <x v="17"/>
    <s v="Mice"/>
    <n v="999"/>
    <n v="333"/>
    <n v="3996"/>
    <n v="1332"/>
    <n v="2677.32"/>
    <n v="-2664"/>
    <n v="0.67"/>
    <n v="3.3"/>
    <n v="9792"/>
    <s v="Amazon Customer,DHONDU,Saurabh,Promod"/>
    <n v="4"/>
    <e v="#REF!"/>
    <e v="#REF!"/>
  </r>
  <r>
    <s v="B002PD61Y4"/>
    <s v="D-Link DWA-131 300 Mbps"/>
    <x v="17"/>
    <s v="GraphicTablets"/>
    <n v="1208"/>
    <n v="507"/>
    <n v="4832"/>
    <n v="2028"/>
    <n v="2802.56"/>
    <n v="-2804"/>
    <n v="0.57999999999999996"/>
    <n v="4.0999999999999996"/>
    <n v="8131"/>
    <s v="nilesh,EAGLE,Manoj KNS,Titus"/>
    <n v="4"/>
    <e v="#REF!"/>
    <e v="#REF!"/>
  </r>
  <r>
    <s v="B014I8SSD0"/>
    <s v="Amazon Basics High-Speed HDMI"/>
    <x v="14"/>
    <s v="Lapdesks"/>
    <n v="475"/>
    <n v="309"/>
    <n v="950"/>
    <n v="618"/>
    <n v="332.5"/>
    <n v="-332"/>
    <n v="0.35"/>
    <n v="4.4000000000000004"/>
    <n v="426973"/>
    <s v="Rishav Gossain,Shashank"/>
    <n v="2"/>
    <e v="#REF!"/>
    <e v="#REF!"/>
  </r>
  <r>
    <s v="B09L8DSSFH"/>
    <s v="7SEVENÂ® Compatible for Samsung"/>
    <x v="14"/>
    <s v="NotebookComputerStands"/>
    <n v="999"/>
    <n v="399"/>
    <n v="2997"/>
    <n v="1197"/>
    <n v="1798.1999999999998"/>
    <n v="-1800"/>
    <n v="0.6"/>
    <n v="3.6"/>
    <n v="493"/>
    <s v="MONTY,Qais Makani,Rajat"/>
    <n v="3"/>
    <e v="#REF!"/>
    <e v="#REF!"/>
  </r>
  <r>
    <s v="B07232M876"/>
    <s v="Amazonbasics Micro Usb Fast"/>
    <x v="17"/>
    <s v="Keyboards"/>
    <n v="395"/>
    <n v="199"/>
    <n v="1975"/>
    <n v="995"/>
    <n v="987.5"/>
    <n v="-980"/>
    <n v="0.5"/>
    <n v="4.2"/>
    <n v="92595"/>
    <s v="Neeraj Vishwakarma,Siddharth,SD1908,Mukundha2good,manjunath"/>
    <n v="5"/>
    <e v="#REF!"/>
    <e v="#REF!"/>
  </r>
  <r>
    <s v="B07P681N66"/>
    <s v="TP-Link AC600 600 Mbps"/>
    <x v="18"/>
    <m/>
    <n v="2199"/>
    <n v="1199"/>
    <n v="6597"/>
    <n v="3597"/>
    <n v="2968.65"/>
    <n v="-3000"/>
    <n v="0.45"/>
    <n v="4.4000000000000004"/>
    <n v="24780"/>
    <s v="Anonymous,Sugam Agrawal,Diganta"/>
    <n v="3"/>
    <e v="#REF!"/>
    <e v="#REF!"/>
  </r>
  <r>
    <s v="B0711PVX6Z"/>
    <s v="AmazonBasics Micro USB Fast"/>
    <x v="19"/>
    <m/>
    <n v="500"/>
    <n v="179"/>
    <n v="2500"/>
    <n v="895"/>
    <n v="1600"/>
    <n v="-1605"/>
    <n v="0.64"/>
    <n v="4.2"/>
    <n v="92595"/>
    <s v="Neeraj Vishwakarma,Siddharth,SD1908,Mukundha2good,manjunath"/>
    <n v="5"/>
    <e v="#REF!"/>
    <e v="#REF!"/>
  </r>
  <r>
    <s v="B082T6V3DT"/>
    <s v="AmazonBasics New Release Nylon"/>
    <x v="20"/>
    <s v="Stationery"/>
    <n v="2100"/>
    <n v="799"/>
    <n v="6300"/>
    <n v="2397"/>
    <n v="3906"/>
    <n v="-3903"/>
    <n v="0.62"/>
    <n v="4.3"/>
    <n v="8188"/>
    <s v="Arun verma,Arv,Aashna"/>
    <n v="3"/>
    <e v="#REF!"/>
    <e v="#REF!"/>
  </r>
  <r>
    <s v="B07MKFNHKG"/>
    <s v="VW 80 cm"/>
    <x v="21"/>
    <s v="Tape"/>
    <n v="12999"/>
    <n v="6999"/>
    <n v="38997"/>
    <n v="20997"/>
    <n v="17938.62"/>
    <n v="-18000"/>
    <n v="0.46"/>
    <n v="4.2"/>
    <n v="4003"/>
    <s v="Amazon Customer,Yousuf,Raja"/>
    <n v="3"/>
    <e v="#REF!"/>
    <e v="#REF!"/>
  </r>
  <r>
    <s v="B0BFWGBX61"/>
    <s v="Ambrane Unbreakable 3A Fast"/>
    <x v="17"/>
    <s v="Keyboard&amp;MouseSets"/>
    <n v="349"/>
    <n v="199"/>
    <n v="698"/>
    <n v="398"/>
    <n v="300.14"/>
    <n v="-300"/>
    <n v="0.43"/>
    <n v="4.0999999999999996"/>
    <n v="314"/>
    <s v="Vipan Agnihotri,Hitender"/>
    <n v="2"/>
    <e v="#REF!"/>
    <e v="#REF!"/>
  </r>
  <r>
    <s v="B01N90RZ4M"/>
    <s v="Tata Sky Universal Remote"/>
    <x v="22"/>
    <m/>
    <n v="499"/>
    <n v="230"/>
    <n v="1996"/>
    <n v="920"/>
    <n v="1077.8400000000001"/>
    <n v="-1076"/>
    <n v="0.54"/>
    <n v="3.7"/>
    <n v="2960"/>
    <s v="Jacob.,Dinesh Ahuja,Ashith,Pravin"/>
    <n v="4"/>
    <e v="#REF!"/>
    <e v="#REF!"/>
  </r>
  <r>
    <s v="B0088TKTY2"/>
    <s v="TP-LINK WiFi Dongle 300"/>
    <x v="23"/>
    <m/>
    <n v="1399"/>
    <n v="649"/>
    <n v="2798"/>
    <n v="1298"/>
    <n v="1510.92"/>
    <n v="-1500"/>
    <n v="0.54"/>
    <n v="4.2"/>
    <n v="179691"/>
    <s v="Azhar JuMan,Anirudh"/>
    <n v="2"/>
    <e v="#REF!"/>
    <e v="#REF!"/>
  </r>
  <r>
    <s v="B09Q5SWVBJ"/>
    <s v="OnePlus 80 cm"/>
    <x v="2"/>
    <s v="Tripods&amp;Monopods"/>
    <n v="21999"/>
    <n v="15999"/>
    <n v="43998"/>
    <n v="31998"/>
    <n v="11879.460000000001"/>
    <n v="-12000"/>
    <n v="0.27"/>
    <n v="4.2"/>
    <n v="34899"/>
    <s v="ATHARVA BONDRE,Sujitkumar"/>
    <n v="2"/>
    <e v="#REF!"/>
    <e v="#REF!"/>
  </r>
  <r>
    <s v="B0B4DT8MKT"/>
    <s v="Wecool Unbreakable 3 in"/>
    <x v="24"/>
    <s v="Scientific"/>
    <n v="1499"/>
    <n v="348"/>
    <n v="2998"/>
    <n v="696"/>
    <n v="2308.46"/>
    <n v="-2302"/>
    <n v="0.77"/>
    <n v="4.2"/>
    <n v="656"/>
    <s v="nisar,Pralipta Kumar"/>
    <n v="2"/>
    <e v="#REF!"/>
    <e v="#REF!"/>
  </r>
  <r>
    <s v="B08CDKQ8T6"/>
    <s v="Portronics Konnect L 1.2Mtr,"/>
    <x v="25"/>
    <m/>
    <n v="349"/>
    <n v="154"/>
    <n v="698"/>
    <n v="308"/>
    <n v="390.88000000000005"/>
    <n v="-390"/>
    <n v="0.56000000000000005"/>
    <n v="4.3"/>
    <n v="7064"/>
    <s v="Arun S.,Jeevan"/>
    <n v="2"/>
    <e v="#REF!"/>
    <e v="#REF!"/>
  </r>
  <r>
    <s v="B07B275VN9"/>
    <s v="Airtel DigitalTV DTH Television,"/>
    <x v="2"/>
    <s v="Tripods&amp;Monopods"/>
    <n v="799"/>
    <n v="179"/>
    <n v="2397"/>
    <n v="537"/>
    <n v="1869.66"/>
    <n v="-1860"/>
    <n v="0.78"/>
    <n v="3.7"/>
    <n v="2201"/>
    <s v="Periyasamy,Madhusudhanan,S Salman"/>
    <n v="3"/>
    <e v="#REF!"/>
    <e v="#REF!"/>
  </r>
  <r>
    <s v="B0B15CPR37"/>
    <s v="Samsung 108 cm"/>
    <x v="26"/>
    <s v="InkjetInkCartridges"/>
    <n v="47900"/>
    <n v="32990"/>
    <n v="335300"/>
    <n v="230930"/>
    <n v="103943"/>
    <n v="-104370"/>
    <n v="0.31"/>
    <n v="4.3"/>
    <n v="7109"/>
    <s v="Binu,Sabjan,Ramkapil,User,Amazon Customer,ganesh,basavaraj"/>
    <n v="7"/>
    <e v="#REF!"/>
    <e v="#REF!"/>
  </r>
  <r>
    <s v="B0994GFWBH"/>
    <s v="Lapster 1.5 mtr USB"/>
    <x v="17"/>
    <s v="Keyboard&amp;MiceAccessories"/>
    <n v="999"/>
    <n v="139"/>
    <n v="2997"/>
    <n v="417"/>
    <n v="2577.42"/>
    <n v="-2580"/>
    <n v="0.86"/>
    <n v="4"/>
    <n v="1313"/>
    <s v="pruthvi natraj,Phani,Amazon"/>
    <n v="3"/>
    <e v="#REF!"/>
    <e v="#REF!"/>
  </r>
  <r>
    <s v="B01GGKZ0V6"/>
    <s v="AmazonBasics USB Type-C to"/>
    <x v="27"/>
    <s v="GamingMice"/>
    <n v="845"/>
    <n v="329"/>
    <n v="1690"/>
    <n v="658"/>
    <n v="1030.9000000000001"/>
    <n v="-1032"/>
    <n v="0.61"/>
    <n v="4.2"/>
    <n v="29746"/>
    <s v="harpreet,Y Kiran"/>
    <n v="2"/>
    <e v="#REF!"/>
    <e v="#REF!"/>
  </r>
  <r>
    <s v="B09F9YQQ7B"/>
    <s v="Redmi 80 cm"/>
    <x v="28"/>
    <s v="Paints"/>
    <n v="24999"/>
    <n v="13999"/>
    <n v="74997"/>
    <n v="41997"/>
    <n v="32998.68"/>
    <n v="-33000"/>
    <n v="0.44"/>
    <n v="4.2"/>
    <n v="45238"/>
    <s v="prateeq,Suraj Chand,viswanath"/>
    <n v="3"/>
    <e v="#REF!"/>
    <e v="#REF!"/>
  </r>
  <r>
    <s v="B014I8SX4Y"/>
    <s v="Amazon Basics High-Speed HDMI"/>
    <x v="17"/>
    <s v="Keyboard&amp;MiceAccessories"/>
    <n v="1400"/>
    <n v="309"/>
    <n v="2800"/>
    <n v="618"/>
    <n v="2184"/>
    <n v="-2182"/>
    <n v="0.78"/>
    <n v="4.4000000000000004"/>
    <n v="426973"/>
    <s v="Rishav Gossain,Shashank"/>
    <n v="2"/>
    <e v="#REF!"/>
    <e v="#REF!"/>
  </r>
  <r>
    <s v="B09Q8HMKZX"/>
    <s v="Portronics Konnect L 20W"/>
    <x v="29"/>
    <m/>
    <n v="699"/>
    <n v="263"/>
    <n v="2796"/>
    <n v="1052"/>
    <n v="1733.52"/>
    <n v="-1744"/>
    <n v="0.62"/>
    <n v="4.0999999999999996"/>
    <n v="450"/>
    <s v="Thenmozhi,manish,Brajesh Jha,sushil"/>
    <n v="4"/>
    <e v="#REF!"/>
    <e v="#REF!"/>
  </r>
  <r>
    <s v="B0B9XN9S3W"/>
    <s v="Acer 80 cm"/>
    <x v="30"/>
    <s v="Macro&amp;RinglightFlashes"/>
    <n v="14990"/>
    <n v="7999"/>
    <n v="14990"/>
    <n v="7999"/>
    <n v="7045.2999999999993"/>
    <n v="-6991"/>
    <n v="0.47"/>
    <n v="4.3"/>
    <n v="457"/>
    <s v="ARUN KUMAR"/>
    <n v="1"/>
    <e v="#REF!"/>
    <e v="#REF!"/>
  </r>
  <r>
    <s v="B07966M8XH"/>
    <s v="Model-P4 6 Way Swivel"/>
    <x v="31"/>
    <m/>
    <n v="2999"/>
    <n v="1599"/>
    <n v="5998"/>
    <n v="3198"/>
    <n v="2819.06"/>
    <n v="-2800"/>
    <n v="0.47"/>
    <n v="4.2"/>
    <n v="2727"/>
    <s v="Prashant Pradhan,Raghavendra"/>
    <n v="2"/>
    <e v="#REF!"/>
    <e v="#REF!"/>
  </r>
  <r>
    <s v="B01GGKYKQM"/>
    <s v="Amazon Basics USB Type-C"/>
    <x v="32"/>
    <m/>
    <n v="700"/>
    <n v="219"/>
    <n v="5600"/>
    <n v="1752"/>
    <n v="3863.9999999999995"/>
    <n v="-3848"/>
    <n v="0.69"/>
    <n v="4.3"/>
    <n v="20053"/>
    <s v="Hremant,Anjaneyulu,Madhav,NOTTADRIS,Deepak,P,M.SASIKUMAR,S.Suresh"/>
    <n v="8"/>
    <e v="#REF!"/>
    <e v="#REF!"/>
  </r>
  <r>
    <s v="B0B86CDHL1"/>
    <s v="oraimo 65W Type C"/>
    <x v="13"/>
    <s v="Over-Ear"/>
    <n v="899"/>
    <n v="349"/>
    <n v="1798"/>
    <n v="698"/>
    <n v="1096.78"/>
    <n v="-1100"/>
    <n v="0.61"/>
    <n v="4.5"/>
    <n v="149"/>
    <s v="Ravi Shankar,Prakash"/>
    <n v="2"/>
    <e v="#REF!"/>
    <e v="#REF!"/>
  </r>
  <r>
    <s v="B0B5ZF3NRK"/>
    <s v="CEDO 65W OnePlus Dash"/>
    <x v="8"/>
    <s v="BluetoothSpeakers"/>
    <n v="599"/>
    <n v="349"/>
    <n v="2396"/>
    <n v="1396"/>
    <n v="1006.3199999999999"/>
    <n v="-1000"/>
    <n v="0.42"/>
    <n v="4.0999999999999996"/>
    <n v="210"/>
    <s v="Satyanarayana,mohd irfan,Pankaj,Shirish"/>
    <n v="4"/>
    <e v="#REF!"/>
    <e v="#REF!"/>
  </r>
  <r>
    <s v="B09RFC46VP"/>
    <s v="Redmi 108 cm"/>
    <x v="31"/>
    <m/>
    <n v="42999"/>
    <n v="26999"/>
    <n v="128997"/>
    <n v="80997"/>
    <n v="47728.89"/>
    <n v="-48000"/>
    <n v="0.37"/>
    <n v="4.2"/>
    <n v="45238"/>
    <s v="prateeq,Suraj Chand,viswanath"/>
    <n v="3"/>
    <e v="#REF!"/>
    <e v="#REF!"/>
  </r>
  <r>
    <s v="B08R69VDHT"/>
    <s v="Pinnaclz Original Combo of"/>
    <x v="20"/>
    <s v="Stationery"/>
    <n v="499"/>
    <n v="115"/>
    <n v="499"/>
    <n v="115"/>
    <n v="384.23"/>
    <n v="-384"/>
    <n v="0.77"/>
    <n v="4"/>
    <n v="7732"/>
    <s v="Vijayan C"/>
    <n v="1"/>
    <e v="#REF!"/>
    <e v="#REF!"/>
  </r>
  <r>
    <s v="B09RWZRCP1"/>
    <s v="boAt Type C A750"/>
    <x v="33"/>
    <m/>
    <n v="999"/>
    <n v="399"/>
    <n v="1998"/>
    <n v="798"/>
    <n v="1198.8"/>
    <n v="-1200"/>
    <n v="0.6"/>
    <n v="4.0999999999999996"/>
    <n v="1780"/>
    <s v="livin sebi,Anand"/>
    <n v="2"/>
    <e v="#REF!"/>
    <e v="#REF!"/>
  </r>
  <r>
    <s v="B09CMP1SC8"/>
    <s v="Ambrane 2 in 1"/>
    <x v="1"/>
    <s v="BluetoothAdapters"/>
    <n v="499"/>
    <n v="199"/>
    <n v="499"/>
    <n v="199"/>
    <n v="299.39999999999998"/>
    <n v="-300"/>
    <n v="0.6"/>
    <n v="4.0999999999999996"/>
    <n v="602"/>
    <s v="Gopal krishna"/>
    <n v="1"/>
    <e v="#REF!"/>
    <e v="#REF!"/>
  </r>
  <r>
    <s v="B09YLXYP7Y"/>
    <s v="Ambrane 60W / 3A"/>
    <x v="15"/>
    <s v="USBtoUSBAdapters"/>
    <n v="399"/>
    <n v="179"/>
    <n v="798"/>
    <n v="358"/>
    <n v="438.90000000000003"/>
    <n v="-440"/>
    <n v="0.55000000000000004"/>
    <n v="4"/>
    <n v="1423"/>
    <s v="Actual user,Shanti"/>
    <n v="2"/>
    <e v="#REF!"/>
    <e v="#REF!"/>
  </r>
  <r>
    <s v="B09ZPM4C2C"/>
    <s v="TCL 80 cm"/>
    <x v="2"/>
    <s v="Tripods&amp;Monopods"/>
    <n v="30990"/>
    <n v="10901"/>
    <n v="30990"/>
    <n v="10901"/>
    <n v="20143.5"/>
    <n v="-20089"/>
    <n v="0.65"/>
    <n v="4.0999999999999996"/>
    <n v="398"/>
    <s v="Nilesh K"/>
    <n v="1"/>
    <e v="#REF!"/>
    <e v="#REF!"/>
  </r>
  <r>
    <s v="B0B2DJDCPX"/>
    <s v="SWAPKART Fast Charging Cable"/>
    <x v="2"/>
    <s v="Film"/>
    <n v="499"/>
    <n v="209"/>
    <n v="1497"/>
    <n v="627"/>
    <n v="868.25999999999988"/>
    <n v="-870"/>
    <n v="0.57999999999999996"/>
    <n v="3.9"/>
    <n v="536"/>
    <s v="Vinay,Amazon Customer,Naveenkumar"/>
    <n v="3"/>
    <e v="#REF!"/>
    <e v="#REF!"/>
  </r>
  <r>
    <s v="B0BCZCQTJX"/>
    <s v="Firestick Remote"/>
    <x v="31"/>
    <m/>
    <n v="3999"/>
    <n v="1434"/>
    <n v="3999"/>
    <n v="1434"/>
    <n v="2559.36"/>
    <n v="-2565"/>
    <n v="0.64"/>
    <n v="4"/>
    <n v="32"/>
    <s v="Dharminder Singh"/>
    <n v="1"/>
    <e v="#REF!"/>
    <e v="#REF!"/>
  </r>
  <r>
    <s v="B07LGT55SJ"/>
    <s v="Wayona Usb Nylon Braided"/>
    <x v="34"/>
    <s v="Lamps"/>
    <n v="1099"/>
    <n v="399"/>
    <n v="4396"/>
    <n v="1596"/>
    <n v="2813.44"/>
    <n v="-2800"/>
    <n v="0.64"/>
    <n v="4.2"/>
    <n v="24269"/>
    <s v="Manav,Adarsh gupta,Sundeep,S.Sayeed"/>
    <n v="4"/>
    <e v="#REF!"/>
    <e v="#REF!"/>
  </r>
  <r>
    <s v="B09NKZXMWJ"/>
    <s v="Flix"/>
    <x v="2"/>
    <s v="Cleaners"/>
    <n v="249"/>
    <n v="139"/>
    <n v="747"/>
    <n v="417"/>
    <n v="328.68"/>
    <n v="-330"/>
    <n v="0.44"/>
    <n v="4"/>
    <n v="9378"/>
    <s v="$@|\|TO$|-|,Sethu madhav,Akash"/>
    <n v="3"/>
    <e v="#REF!"/>
    <e v="#REF!"/>
  </r>
  <r>
    <s v="B08QX1CC14"/>
    <s v="SKYWALL 81.28 cm"/>
    <x v="35"/>
    <s v="DomeCameras"/>
    <n v="19125"/>
    <n v="7299"/>
    <n v="38250"/>
    <n v="14598"/>
    <n v="23715"/>
    <n v="-23652"/>
    <n v="0.62"/>
    <n v="3.4"/>
    <n v="902"/>
    <s v="Naresh Patel,Bhaskar"/>
    <n v="2"/>
    <e v="#REF!"/>
    <e v="#REF!"/>
  </r>
  <r>
    <s v="B0974H97TJ"/>
    <s v="boAt A 350 Type"/>
    <x v="36"/>
    <s v="ScreenProtectors"/>
    <n v="799"/>
    <n v="299"/>
    <n v="5593"/>
    <n v="2093"/>
    <n v="3523.59"/>
    <n v="-3500"/>
    <n v="0.63"/>
    <n v="4.4000000000000004"/>
    <n v="28791"/>
    <s v="ð•µð–†ð–™ð–Žð–“ ð•®ð–ð–†ð–‰ð–ð–†,palpandia153,Arvind,Nithyadhakshina,Basha_Neerati,shaker,Amazon"/>
    <n v="7"/>
    <e v="#REF!"/>
    <e v="#REF!"/>
  </r>
  <r>
    <s v="B07GVGTSLN"/>
    <s v="Wayona Usb Type C"/>
    <x v="27"/>
    <s v="Gamepads"/>
    <n v="1299"/>
    <n v="325"/>
    <n v="2598"/>
    <n v="650"/>
    <n v="1948.5"/>
    <n v="-1948"/>
    <n v="0.75"/>
    <n v="4.2"/>
    <n v="10576"/>
    <s v="Sunil Funde,Biju"/>
    <n v="2"/>
    <e v="#REF!"/>
    <e v="#REF!"/>
  </r>
  <r>
    <s v="B09VCHLSJF"/>
    <s v="OnePlus 108 cm"/>
    <x v="24"/>
    <s v="Basic"/>
    <n v="39999"/>
    <n v="29999"/>
    <n v="79998"/>
    <n v="59998"/>
    <n v="19999.5"/>
    <n v="-20000"/>
    <n v="0.25"/>
    <n v="4.2"/>
    <n v="7298"/>
    <s v="Abhishek Kumar,Arun"/>
    <n v="2"/>
    <e v="#REF!"/>
    <e v="#REF!"/>
  </r>
  <r>
    <s v="B0B1YZX72F"/>
    <s v="Acer 127 cm"/>
    <x v="37"/>
    <m/>
    <n v="40990"/>
    <n v="27999"/>
    <n v="204950"/>
    <n v="139995"/>
    <n v="65584"/>
    <n v="-64955"/>
    <n v="0.32"/>
    <n v="4.3"/>
    <n v="4703"/>
    <s v="Ayush,ROHIT A.,Kedar,Haran,Santosh"/>
    <n v="5"/>
    <e v="#REF!"/>
    <e v="#REF!"/>
  </r>
  <r>
    <s v="B092BJMT8Q"/>
    <s v="Samsung 108 cm"/>
    <x v="38"/>
    <s v="PCMicrophones"/>
    <n v="52900"/>
    <n v="30990"/>
    <n v="370300"/>
    <n v="216930"/>
    <n v="151823"/>
    <n v="-153370"/>
    <n v="0.41"/>
    <n v="4.3"/>
    <n v="7109"/>
    <s v="Binu,Sabjan,Ramkapil,User,Amazon Customer,ganesh,basavaraj"/>
    <n v="7"/>
    <e v="#REF!"/>
    <e v="#REF!"/>
  </r>
  <r>
    <s v="B0BMXMLSMM"/>
    <s v="Lapster 65W compatible for"/>
    <x v="8"/>
    <s v="OutdoorSpeakers"/>
    <n v="999"/>
    <n v="199"/>
    <n v="3996"/>
    <n v="796"/>
    <n v="3196.8"/>
    <n v="-3200"/>
    <n v="0.8"/>
    <n v="4.5"/>
    <n v="127"/>
    <s v="Nadhiyarasan,Saurabh Aggarwal,Dibya,Sai"/>
    <n v="4"/>
    <e v="#REF!"/>
    <e v="#REF!"/>
  </r>
  <r>
    <s v="B07JH1C41D"/>
    <s v="Wayona Nylon Braided"/>
    <x v="14"/>
    <s v="Bags&amp;Sleeves"/>
    <n v="1999"/>
    <n v="649"/>
    <n v="7996"/>
    <n v="2596"/>
    <n v="5437.2800000000007"/>
    <n v="-5400"/>
    <n v="0.68"/>
    <n v="4.2"/>
    <n v="24269"/>
    <s v="Manav,Adarsh gupta,Sundeep,S.Sayeed"/>
    <n v="4"/>
    <e v="#REF!"/>
    <e v="#REF!"/>
  </r>
  <r>
    <s v="B0141EZMAI"/>
    <s v="Gizga Essentials USB WiFi"/>
    <x v="39"/>
    <m/>
    <n v="800"/>
    <n v="269"/>
    <n v="3200"/>
    <n v="1076"/>
    <n v="2112"/>
    <n v="-2124"/>
    <n v="0.66"/>
    <n v="3.6"/>
    <n v="10134"/>
    <s v="SQL,ARUN KUMAR,veer,Ravi"/>
    <n v="4"/>
    <e v="#REF!"/>
    <e v="#REF!"/>
  </r>
  <r>
    <s v="B09Q5P2MT3"/>
    <s v="OnePlus 108 cm"/>
    <x v="0"/>
    <s v="Cables"/>
    <n v="31999"/>
    <n v="24999"/>
    <n v="63998"/>
    <n v="49998"/>
    <n v="14079.56"/>
    <n v="-14000"/>
    <n v="0.22"/>
    <n v="4.2"/>
    <n v="34899"/>
    <s v="ATHARVA BONDRE,Sujitkumar"/>
    <n v="2"/>
    <e v="#REF!"/>
    <e v="#REF!"/>
  </r>
  <r>
    <s v="B08HDH26JX"/>
    <s v="boAt Deuce USB 300"/>
    <x v="40"/>
    <m/>
    <n v="699"/>
    <n v="299"/>
    <n v="2796"/>
    <n v="1196"/>
    <n v="1593.7199999999998"/>
    <n v="-1600"/>
    <n v="0.56999999999999995"/>
    <n v="4.2"/>
    <n v="94363"/>
    <s v="Omkar dhale,JD,HEMALATHA,Ajwadh"/>
    <n v="4"/>
    <e v="#REF!"/>
    <e v="#REF!"/>
  </r>
  <r>
    <s v="B09VT6JKRP"/>
    <s v="Lapster USB 3.0 A"/>
    <x v="41"/>
    <m/>
    <n v="999"/>
    <n v="199"/>
    <n v="4995"/>
    <n v="995"/>
    <n v="3996"/>
    <n v="-4000"/>
    <n v="0.8"/>
    <n v="4.0999999999999996"/>
    <n v="425"/>
    <s v="Vivek Ramachandran,Pavan,Rahul,Push,Yuthika"/>
    <n v="5"/>
    <e v="#REF!"/>
    <e v="#REF!"/>
  </r>
  <r>
    <s v="B09T3KB6JZ"/>
    <s v="TCL 100 cm"/>
    <x v="42"/>
    <m/>
    <n v="40990"/>
    <n v="18990"/>
    <n v="40990"/>
    <n v="18990"/>
    <n v="22134.600000000002"/>
    <n v="-22000"/>
    <n v="0.54"/>
    <n v="4.2"/>
    <n v="6659"/>
    <s v="KIRAN BABU"/>
    <n v="1"/>
    <e v="#REF!"/>
    <e v="#REF!"/>
  </r>
  <r>
    <s v="B093QCY6YJ"/>
    <s v="ZEBRONICS ZEB-USB150WF1 WiFi USB"/>
    <x v="12"/>
    <s v="SecureDigitalCards"/>
    <n v="349"/>
    <n v="290"/>
    <n v="1047"/>
    <n v="870"/>
    <n v="177.99"/>
    <n v="-177"/>
    <n v="0.17"/>
    <n v="3.7"/>
    <n v="1977"/>
    <s v="Mohseen Qureshi,Karan,Pranav"/>
    <n v="3"/>
    <e v="#REF!"/>
    <e v="#REF!"/>
  </r>
  <r>
    <s v="B093ZNQZ2Y"/>
    <s v="LOHAYA Remote Compatible for"/>
    <x v="10"/>
    <s v="Photo&amp;VideoAccessories"/>
    <n v="799"/>
    <n v="249"/>
    <n v="2397"/>
    <n v="747"/>
    <n v="1653.9299999999998"/>
    <n v="-1650"/>
    <n v="0.69"/>
    <n v="3.8"/>
    <n v="1079"/>
    <s v="mohamednathar,Amazon Customer,Ashwini"/>
    <n v="3"/>
    <e v="#REF!"/>
    <e v="#REF!"/>
  </r>
  <r>
    <s v="B08LKS3LSP"/>
    <s v="Gilary Multi Charging Cable,"/>
    <x v="38"/>
    <s v="Webcams&amp;VoIPEquipment"/>
    <n v="999"/>
    <n v="345"/>
    <n v="2997"/>
    <n v="1035"/>
    <n v="1948.0500000000002"/>
    <n v="-1962"/>
    <n v="0.65"/>
    <n v="3.7"/>
    <n v="1097"/>
    <s v="kishore movva,Nithya,Balaji"/>
    <n v="3"/>
    <e v="#REF!"/>
    <e v="#REF!"/>
  </r>
  <r>
    <s v="B00V4BGDKU"/>
    <s v="TP-Link UE300 USB 3.0"/>
    <x v="14"/>
    <s v="CoolingPads"/>
    <n v="1899"/>
    <n v="1099"/>
    <n v="3798"/>
    <n v="2198"/>
    <n v="1595.1599999999999"/>
    <n v="-1600"/>
    <n v="0.42"/>
    <n v="4.5"/>
    <n v="22420"/>
    <s v="MOINUL H.,Jayendra"/>
    <n v="2"/>
    <e v="#REF!"/>
    <e v="#REF!"/>
  </r>
  <r>
    <s v="B08CHKQ8D4"/>
    <s v="Wayona Type C to"/>
    <x v="14"/>
    <m/>
    <n v="1499"/>
    <n v="719"/>
    <n v="2998"/>
    <n v="1438"/>
    <n v="1558.96"/>
    <n v="-1560"/>
    <n v="0.52"/>
    <n v="4.0999999999999996"/>
    <n v="1045"/>
    <s v="Kiran Kolla,Vishal"/>
    <n v="2"/>
    <e v="#REF!"/>
    <e v="#REF!"/>
  </r>
  <r>
    <s v="B09BW334ML"/>
    <s v="Dealfreez Case Compatible with"/>
    <x v="36"/>
    <s v="Stands"/>
    <n v="1499"/>
    <n v="349"/>
    <n v="2998"/>
    <n v="698"/>
    <n v="2308.46"/>
    <n v="-2300"/>
    <n v="0.77"/>
    <n v="4.3"/>
    <n v="4145"/>
    <s v="parvinder singh,Rishikesh"/>
    <n v="2"/>
    <e v="#REF!"/>
    <e v="#REF!"/>
  </r>
  <r>
    <s v="B082T6GVLJ"/>
    <s v="Amazon Basics New Release"/>
    <x v="43"/>
    <m/>
    <n v="1809"/>
    <n v="849"/>
    <n v="3618"/>
    <n v="1698"/>
    <n v="1917.5400000000002"/>
    <n v="-1920"/>
    <n v="0.53"/>
    <n v="4.3"/>
    <n v="6547"/>
    <s v="Ananya S.,Anirban"/>
    <n v="2"/>
    <e v="#REF!"/>
    <e v="#REF!"/>
  </r>
  <r>
    <s v="B07DL1KC3H"/>
    <s v="Isoelite Remote Compatible for"/>
    <x v="20"/>
    <s v="Copy&amp;PrintingPaper"/>
    <n v="899"/>
    <n v="299"/>
    <n v="3596"/>
    <n v="1196"/>
    <n v="2409.3200000000002"/>
    <n v="-2400"/>
    <n v="0.67"/>
    <n v="4"/>
    <n v="1588"/>
    <s v="Pritam Roy,AdyZon,pradeep4uall,purnendu"/>
    <n v="4"/>
    <e v="#REF!"/>
    <e v="#REF!"/>
  </r>
  <r>
    <s v="B0B6F98KJJ"/>
    <s v="MI 100 cm"/>
    <x v="44"/>
    <m/>
    <n v="29999"/>
    <n v="21999"/>
    <n v="59998"/>
    <n v="43998"/>
    <n v="16199.460000000001"/>
    <n v="-16000"/>
    <n v="0.27"/>
    <n v="4.2"/>
    <n v="32840"/>
    <s v="Manoj maddheshiya,Manoj"/>
    <n v="2"/>
    <e v="#REF!"/>
    <e v="#REF!"/>
  </r>
  <r>
    <s v="B07JNVF678"/>
    <s v="Wayona Nylon Braided USB"/>
    <x v="8"/>
    <s v="MultimediaSpeakerSystems"/>
    <n v="999"/>
    <n v="349"/>
    <n v="3996"/>
    <n v="1396"/>
    <n v="2597.4"/>
    <n v="-2600"/>
    <n v="0.65"/>
    <n v="4.2"/>
    <n v="13120"/>
    <s v="Pratik,Amazon Customer,Abhishek,Derrick"/>
    <n v="4"/>
    <e v="#REF!"/>
    <e v="#REF!"/>
  </r>
  <r>
    <s v="B09QGZFBPM"/>
    <s v="Wayona Type C To"/>
    <x v="45"/>
    <m/>
    <n v="999"/>
    <n v="399"/>
    <n v="2997"/>
    <n v="1197"/>
    <n v="1798.1999999999998"/>
    <n v="-1800"/>
    <n v="0.6"/>
    <n v="4.3"/>
    <n v="2806"/>
    <s v="sameer Dubey,virender,Amazon"/>
    <n v="3"/>
    <e v="#REF!"/>
    <e v="#REF!"/>
  </r>
  <r>
    <s v="B07JGDB5M1"/>
    <s v="Wayona Nylon Braided 2M"/>
    <x v="14"/>
    <s v="LaptopChargers&amp;PowerSupplies"/>
    <n v="1299"/>
    <n v="449"/>
    <n v="5196"/>
    <n v="1796"/>
    <n v="3377.4"/>
    <n v="-3400"/>
    <n v="0.65"/>
    <n v="4.2"/>
    <n v="24269"/>
    <s v="Manav,Adarsh gupta,Sundeep,S.Sayeed"/>
    <n v="4"/>
    <e v="#REF!"/>
    <e v="#REF!"/>
  </r>
  <r>
    <s v="B0981XSZJ7"/>
    <s v="CROSSVOLT Compatible Dash/Warp Data"/>
    <x v="38"/>
    <s v="PCSpeakers"/>
    <n v="999"/>
    <n v="299"/>
    <n v="3996"/>
    <n v="1196"/>
    <n v="2797.2"/>
    <n v="-2800"/>
    <n v="0.7"/>
    <n v="4.3"/>
    <n v="766"/>
    <s v="AkashP.,Hrishikesh, pune,ROHIT"/>
    <n v="4"/>
    <e v="#REF!"/>
    <e v="#REF!"/>
  </r>
  <r>
    <s v="B0B9XLX8VR"/>
    <s v="VU 139 cm"/>
    <x v="2"/>
    <s v="Batteries&amp;Chargers"/>
    <n v="65000"/>
    <n v="37999"/>
    <n v="195000"/>
    <n v="113997"/>
    <n v="81900"/>
    <n v="-81003"/>
    <n v="0.42"/>
    <n v="4.3"/>
    <n v="3587"/>
    <s v="UtdBuzz,Mukund Nagvenkar,S.R"/>
    <n v="3"/>
    <e v="#REF!"/>
    <e v="#REF!"/>
  </r>
  <r>
    <s v="B08Y5KXR6Z"/>
    <s v="PTron Solero T241 2.4A"/>
    <x v="36"/>
    <s v="Bags,Cases&amp;Sleeves"/>
    <n v="800"/>
    <n v="99"/>
    <n v="3200"/>
    <n v="396"/>
    <n v="2816"/>
    <n v="-2804"/>
    <n v="0.88"/>
    <n v="3.9"/>
    <n v="24871"/>
    <s v="Jayesh,Rajesh k.,Soopy,amazon"/>
    <n v="4"/>
    <e v="#REF!"/>
    <e v="#REF!"/>
  </r>
  <r>
    <s v="B09F6VHQXB"/>
    <s v="Croma 80 cm"/>
    <x v="46"/>
    <s v="DrawingMedia"/>
    <n v="20000"/>
    <n v="7390"/>
    <n v="60000"/>
    <n v="22170"/>
    <n v="37800"/>
    <n v="-37830"/>
    <n v="0.63"/>
    <n v="4.0999999999999996"/>
    <n v="2581"/>
    <s v="Ankit,Rishi Kapoor,Amazon"/>
    <n v="3"/>
    <e v="#REF!"/>
    <e v="#REF!"/>
  </r>
  <r>
    <s v="B0974G5Q2Y"/>
    <s v="boAt Laptop, Smartphone Type-c"/>
    <x v="47"/>
    <m/>
    <n v="999"/>
    <n v="273.10000000000002"/>
    <n v="2997"/>
    <n v="819.30000000000007"/>
    <n v="2187.81"/>
    <n v="-2177.6999999999998"/>
    <n v="0.73"/>
    <n v="4.3"/>
    <n v="20850"/>
    <s v="GHOST,Amazon Customer,A"/>
    <n v="3"/>
    <e v="#REF!"/>
    <e v="#REF!"/>
  </r>
  <r>
    <s v="B09YL9SN9B"/>
    <s v="LG 80 cm"/>
    <x v="48"/>
    <m/>
    <n v="23990"/>
    <n v="15990"/>
    <n v="71970"/>
    <n v="47970"/>
    <n v="23750.100000000002"/>
    <n v="-24000"/>
    <n v="0.33"/>
    <n v="4.3"/>
    <n v="1035"/>
    <s v="Rishi V,Placeholder,Benoy"/>
    <n v="3"/>
    <e v="#REF!"/>
    <e v="#REF!"/>
  </r>
  <r>
    <s v="B09RX1FK54"/>
    <s v="boAt Type C A750"/>
    <x v="46"/>
    <s v="DrawingMedia"/>
    <n v="999"/>
    <n v="399"/>
    <n v="1998"/>
    <n v="798"/>
    <n v="1198.8"/>
    <n v="-1200"/>
    <n v="0.6"/>
    <n v="4.0999999999999996"/>
    <n v="1780"/>
    <s v="livin sebi,Anand"/>
    <n v="2"/>
    <e v="#REF!"/>
    <e v="#REF!"/>
  </r>
  <r>
    <s v="B09TT6BFDX"/>
    <s v="Cotbolt Silicone Protective Case"/>
    <x v="0"/>
    <s v="Cables"/>
    <n v="1999"/>
    <n v="399"/>
    <n v="9995"/>
    <n v="1995"/>
    <n v="7996"/>
    <n v="-8000"/>
    <n v="0.8"/>
    <n v="4.5"/>
    <n v="505"/>
    <s v="ravi,Raju,arun,Customer reviews,Anirban"/>
    <n v="5"/>
    <e v="#REF!"/>
    <e v="#REF!"/>
  </r>
  <r>
    <s v="B09KH58JZR"/>
    <s v="Portronics Konnect L POR-1403"/>
    <x v="38"/>
    <s v="PCHeadsets"/>
    <n v="399"/>
    <n v="210"/>
    <n v="798"/>
    <n v="420"/>
    <n v="375.06"/>
    <n v="-378"/>
    <n v="0.47"/>
    <n v="4.0999999999999996"/>
    <n v="1717"/>
    <s v="Rathod Lakhan,Manas"/>
    <n v="2"/>
    <e v="#REF!"/>
    <e v="#REF!"/>
  </r>
  <r>
    <s v="B09DDCQFMT"/>
    <s v="Electvision Remote Control Compatible"/>
    <x v="27"/>
    <s v="GamingKeyboards"/>
    <n v="1999"/>
    <n v="1299"/>
    <n v="3998"/>
    <n v="2598"/>
    <n v="1399.3"/>
    <n v="-1400"/>
    <n v="0.35"/>
    <n v="3.6"/>
    <n v="590"/>
    <s v="Anand Tiwari,Dr"/>
    <n v="2"/>
    <e v="#REF!"/>
    <e v="#REF!"/>
  </r>
  <r>
    <s v="B08RP2L2NL"/>
    <s v="King Shine Multi Retractable"/>
    <x v="8"/>
    <s v="SoundbarSpeakers"/>
    <n v="999"/>
    <n v="347"/>
    <n v="1998"/>
    <n v="694"/>
    <n v="1298.7"/>
    <n v="-1304"/>
    <n v="0.65"/>
    <n v="3.5"/>
    <n v="1121"/>
    <s v="PARVEJ MALLICK,Akshay"/>
    <n v="2"/>
    <e v="#REF!"/>
    <e v="#REF!"/>
  </r>
  <r>
    <s v="B0B4G2MWSB"/>
    <s v="Lapster 5 pin mini"/>
    <x v="49"/>
    <m/>
    <n v="999"/>
    <n v="149"/>
    <n v="2997"/>
    <n v="447"/>
    <n v="2547.4499999999998"/>
    <n v="-2550"/>
    <n v="0.85"/>
    <n v="4"/>
    <n v="1313"/>
    <s v="pruthvi natraj,Phani,Amazon"/>
    <n v="3"/>
    <e v="#REF!"/>
    <e v="#REF!"/>
  </r>
  <r>
    <s v="B0B21C4BMX"/>
    <s v="Portronics Konnect Spydr 31"/>
    <x v="48"/>
    <s v="InkjetPrinters"/>
    <n v="899"/>
    <n v="228"/>
    <n v="1798"/>
    <n v="456"/>
    <n v="1348.5"/>
    <n v="-1342"/>
    <n v="0.75"/>
    <n v="3.8"/>
    <n v="132"/>
    <s v="SyedShoaib Afnan,Deepak"/>
    <n v="2"/>
    <e v="#REF!"/>
    <e v="#REF!"/>
  </r>
  <r>
    <s v="B084MZXJNK"/>
    <s v="Belkin Apple Certified Lightning"/>
    <x v="50"/>
    <s v="ColouringPens&amp;Markers"/>
    <n v="1999"/>
    <n v="1599"/>
    <n v="7996"/>
    <n v="6396"/>
    <n v="1599.2"/>
    <n v="-1600"/>
    <n v="0.2"/>
    <n v="4.4000000000000004"/>
    <n v="1951"/>
    <s v="Ganesh,P P.,anas,Dr"/>
    <n v="4"/>
    <e v="#REF!"/>
    <e v="#REF!"/>
  </r>
  <r>
    <s v="B0BHZCNC4P"/>
    <s v="Remote Control Compatible for"/>
    <x v="27"/>
    <s v="Headsets"/>
    <n v="3999"/>
    <n v="1499"/>
    <n v="11997"/>
    <n v="4497"/>
    <n v="7558.11"/>
    <n v="-7500"/>
    <n v="0.63"/>
    <n v="3.7"/>
    <n v="37"/>
    <s v="Abhishek Shode,Mahendra,Vishal"/>
    <n v="3"/>
    <e v="#REF!"/>
    <e v="#REF!"/>
  </r>
  <r>
    <s v="B0B16KD737"/>
    <s v="VW 80 cm"/>
    <x v="51"/>
    <m/>
    <n v="15999"/>
    <n v="8499"/>
    <n v="31998"/>
    <n v="16998"/>
    <n v="15039.06"/>
    <n v="-15000"/>
    <n v="0.47"/>
    <n v="4.3"/>
    <n v="592"/>
    <s v="Denzil Varghese,Amazon"/>
    <n v="2"/>
    <e v="#REF!"/>
    <e v="#REF!"/>
  </r>
  <r>
    <s v="B099K9ZX65"/>
    <s v="Hisense 108 cm"/>
    <x v="1"/>
    <s v="PowerLANAdapters"/>
    <n v="44990"/>
    <n v="20990"/>
    <n v="134970"/>
    <n v="62970"/>
    <n v="71534.100000000006"/>
    <n v="-72000"/>
    <n v="0.53"/>
    <n v="4.0999999999999996"/>
    <n v="1259"/>
    <s v="Ravi Naresh,anup,Chinmay"/>
    <n v="3"/>
    <e v="#REF!"/>
    <e v="#REF!"/>
  </r>
  <r>
    <s v="B08Y55LPBF"/>
    <s v="Redmi 126 cm"/>
    <x v="26"/>
    <s v="InkjetInkRefills&amp;Kits"/>
    <n v="44999"/>
    <n v="32999"/>
    <n v="134997"/>
    <n v="98997"/>
    <n v="36449.19"/>
    <n v="-36000"/>
    <n v="0.27"/>
    <n v="4.2"/>
    <n v="45238"/>
    <s v="prateeq,Suraj Chand,viswanath"/>
    <n v="3"/>
    <e v="#REF!"/>
    <e v="#REF!"/>
  </r>
  <r>
    <s v="B015OW3M1W"/>
    <s v="AmazonBasics 6-Feet DisplayPort"/>
    <x v="2"/>
    <s v="PhotoStudio&amp;Lighting"/>
    <n v="1700"/>
    <n v="799"/>
    <n v="5100"/>
    <n v="2397"/>
    <n v="2703"/>
    <n v="-2703"/>
    <n v="0.53"/>
    <n v="4.0999999999999996"/>
    <n v="28638"/>
    <s v="Ranjeet Singh,Placeholder,Niranjan"/>
    <n v="3"/>
    <e v="#REF!"/>
    <e v="#REF!"/>
  </r>
  <r>
    <s v="B01D5H8ZI8"/>
    <s v="AmazonBasics 3 Feet High"/>
    <x v="24"/>
    <s v="Financial&amp;Business"/>
    <n v="595"/>
    <n v="229"/>
    <n v="1190"/>
    <n v="458"/>
    <n v="737.8"/>
    <n v="-732"/>
    <n v="0.62"/>
    <n v="4.3"/>
    <n v="12835"/>
    <s v="Amazon Customer,Jagmeet"/>
    <n v="2"/>
    <e v="#REF!"/>
    <e v="#REF!"/>
  </r>
  <r>
    <s v="B09X1M3DHX"/>
    <s v="iFFALCON 80 cm"/>
    <x v="52"/>
    <m/>
    <n v="27990"/>
    <n v="9999"/>
    <n v="55980"/>
    <n v="19998"/>
    <n v="35827.200000000004"/>
    <n v="-35982"/>
    <n v="0.64"/>
    <n v="4.2"/>
    <n v="1269"/>
    <s v="giribabu,Dhuna Charan"/>
    <n v="2"/>
    <e v="#REF!"/>
    <e v="#REF!"/>
  </r>
  <r>
    <s v="B09MM6P76N"/>
    <s v="7SEVENÂ® Compatible Lg Smart"/>
    <x v="31"/>
    <m/>
    <n v="599"/>
    <n v="349"/>
    <n v="1198"/>
    <n v="698"/>
    <n v="503.15999999999997"/>
    <n v="-500"/>
    <n v="0.42"/>
    <n v="4.2"/>
    <n v="284"/>
    <s v="Swapnil N,Abhishek"/>
    <n v="2"/>
    <e v="#REF!"/>
    <e v="#REF!"/>
  </r>
  <r>
    <s v="B01D5H8LDM"/>
    <s v="AmazonBasics 3.5mm to 2-Male"/>
    <x v="53"/>
    <m/>
    <n v="1200"/>
    <n v="489"/>
    <n v="1200"/>
    <n v="489"/>
    <n v="708"/>
    <n v="-711"/>
    <n v="0.59"/>
    <n v="4.4000000000000004"/>
    <n v="69538"/>
    <s v="Madhu Sudan"/>
    <n v="1"/>
    <e v="#REF!"/>
    <e v="#REF!"/>
  </r>
  <r>
    <s v="B0B1YY6JJL"/>
    <s v="Acer 109 cm"/>
    <x v="28"/>
    <m/>
    <n v="34990"/>
    <n v="23999"/>
    <n v="174950"/>
    <n v="119995"/>
    <n v="54234.5"/>
    <n v="-54955"/>
    <n v="0.31"/>
    <n v="4.3"/>
    <n v="4703"/>
    <s v="Ayush,ROHIT A.,Kedar,Haran,Santosh"/>
    <n v="5"/>
    <e v="#REF!"/>
    <e v="#REF!"/>
  </r>
  <r>
    <s v="B09QGZM8QB"/>
    <s v="Wayona Usb Type C"/>
    <x v="26"/>
    <s v="TonerCartridges"/>
    <n v="999"/>
    <n v="399"/>
    <n v="2997"/>
    <n v="1197"/>
    <n v="1798.1999999999998"/>
    <n v="-1800"/>
    <n v="0.6"/>
    <n v="4.3"/>
    <n v="2806"/>
    <s v="sameer Dubey,virender,Amazon"/>
    <n v="3"/>
    <e v="#REF!"/>
    <e v="#REF!"/>
  </r>
  <r>
    <s v="B08L4SBJRY"/>
    <s v="Saifsmart Outlet Wall Mount"/>
    <x v="54"/>
    <s v="Caddies"/>
    <n v="1299"/>
    <n v="349"/>
    <n v="5196"/>
    <n v="1396"/>
    <n v="3793.08"/>
    <n v="-3800"/>
    <n v="0.73"/>
    <n v="4"/>
    <n v="3295"/>
    <s v="Arun,Shailendra,SHIVA PALTHI,Harish"/>
    <n v="4"/>
    <e v="#REF!"/>
    <e v="#REF!"/>
  </r>
  <r>
    <s v="B09X79PP8F"/>
    <s v="MI 2-in-1 USB Type"/>
    <x v="55"/>
    <m/>
    <n v="299"/>
    <n v="179"/>
    <n v="598"/>
    <n v="358"/>
    <n v="239.20000000000002"/>
    <n v="-240"/>
    <n v="0.4"/>
    <n v="3.9"/>
    <n v="81"/>
    <s v="Amazon Customer,Amrit"/>
    <n v="2"/>
    <e v="#REF!"/>
    <e v="#REF!"/>
  </r>
  <r>
    <s v="B082T6GVG9"/>
    <s v="AmazonBasics New Release ABS"/>
    <x v="56"/>
    <s v="Kettles&amp;HotWaterDispensers"/>
    <n v="1500"/>
    <n v="689"/>
    <n v="4500"/>
    <n v="2067"/>
    <n v="2430"/>
    <n v="-2433"/>
    <n v="0.54"/>
    <n v="4.2"/>
    <n v="42301"/>
    <s v="Ranjith,Amazon Customer,Rajneesh"/>
    <n v="3"/>
    <e v="#REF!"/>
    <e v="#REF!"/>
  </r>
  <r>
    <s v="B0B3XY5YT4"/>
    <s v="LG 108 cm"/>
    <x v="57"/>
    <s v="ElectricHeaters"/>
    <n v="49990"/>
    <n v="30990"/>
    <n v="149970"/>
    <n v="92970"/>
    <n v="56988.600000000006"/>
    <n v="-57000"/>
    <n v="0.38"/>
    <n v="4.3"/>
    <n v="1376"/>
    <s v="Raj Mohammed,Samson,Haroon"/>
    <n v="3"/>
    <e v="#REF!"/>
    <e v="#REF!"/>
  </r>
  <r>
    <s v="B0B4HKH19N"/>
    <s v="pTron Solero 331 3.4Amps"/>
    <x v="57"/>
    <s v="FanHeaters"/>
    <n v="931"/>
    <n v="249"/>
    <n v="4655"/>
    <n v="1245"/>
    <n v="3398.15"/>
    <n v="-3410"/>
    <n v="0.73"/>
    <n v="3.9"/>
    <n v="1075"/>
    <s v="Placeholder,à¤¶à¥à¤°à¥€PKà¤œà¥€,Gauri salkar,aQeel,Ashish"/>
    <n v="5"/>
    <e v="#REF!"/>
    <e v="#REF!"/>
  </r>
  <r>
    <s v="B08TGG316Z"/>
    <s v="10k 8k 4k HDMI"/>
    <x v="58"/>
    <s v="Irons,Steamers&amp;Accessories"/>
    <n v="2399"/>
    <n v="999"/>
    <n v="7197"/>
    <n v="2997"/>
    <n v="4174.2599999999993"/>
    <n v="-4200"/>
    <n v="0.57999999999999996"/>
    <n v="4.5999999999999996"/>
    <n v="3664"/>
    <s v="Mandar Joglekar,Vasanth,Well"/>
    <n v="3"/>
    <e v="#REF!"/>
    <e v="#REF!"/>
  </r>
  <r>
    <s v="B071VMP1Z4"/>
    <s v="LRIPL Compatible Sony Bravia"/>
    <x v="56"/>
    <s v="DigitalKitchenScales"/>
    <n v="399"/>
    <n v="399"/>
    <n v="1197"/>
    <n v="1197"/>
    <n v="0"/>
    <n v="0"/>
    <n v="0"/>
    <n v="3.9"/>
    <n v="1951"/>
    <s v="Vishal Nagpal,sharmila,Amazon"/>
    <n v="3"/>
    <e v="#REF!"/>
    <e v="#REF!"/>
  </r>
  <r>
    <s v="B071SDRGWL"/>
    <s v="boAt Type-c A400 Type-c"/>
    <x v="59"/>
    <s v="ManualChoppers&amp;Chippers"/>
    <n v="699"/>
    <n v="349"/>
    <n v="2097"/>
    <n v="1047"/>
    <n v="1048.5"/>
    <n v="-1050"/>
    <n v="0.5"/>
    <n v="4.3"/>
    <n v="20850"/>
    <s v="GHOST,Amazon Customer,A"/>
    <n v="3"/>
    <e v="#REF!"/>
    <e v="#REF!"/>
  </r>
  <r>
    <s v="B08PSQRW2T"/>
    <s v="Zoul Type C to"/>
    <x v="56"/>
    <s v="InductionCooktop"/>
    <n v="1099"/>
    <n v="399"/>
    <n v="4396"/>
    <n v="1596"/>
    <n v="2813.44"/>
    <n v="-2800"/>
    <n v="0.64"/>
    <n v="4.0999999999999996"/>
    <n v="2685"/>
    <s v="Abhay Goyal,Apurva,Shilpa,Vishnu"/>
    <n v="4"/>
    <e v="#REF!"/>
    <e v="#REF!"/>
  </r>
  <r>
    <s v="B0859M539M"/>
    <s v="TP-LINK AC1300 Archer T3U"/>
    <x v="56"/>
    <s v="HandBlenders"/>
    <n v="2999"/>
    <n v="1699"/>
    <n v="8997"/>
    <n v="5097"/>
    <n v="3868.71"/>
    <n v="-3900"/>
    <n v="0.43"/>
    <n v="4.4000000000000004"/>
    <n v="24780"/>
    <s v="Anonymous,Sugam Agrawal,Diganta"/>
    <n v="3"/>
    <e v="#REF!"/>
    <e v="#REF!"/>
  </r>
  <r>
    <s v="B08RX8G496"/>
    <s v="LRIPL Mi Remote Control"/>
    <x v="58"/>
    <s v="Irons,Steamers&amp;Accessories"/>
    <n v="1099"/>
    <n v="655"/>
    <n v="3297"/>
    <n v="1965"/>
    <n v="1318.8000000000002"/>
    <n v="-1332"/>
    <n v="0.4"/>
    <n v="3.2"/>
    <n v="285"/>
    <s v="Girija Mohapatra,ShanChan83,Jai"/>
    <n v="3"/>
    <e v="#REF!"/>
    <e v="#REF!"/>
  </r>
  <r>
    <s v="B002SZEOLG"/>
    <s v="TP-Link Nano USB WiFi"/>
    <x v="56"/>
    <s v="MixerGrinders"/>
    <n v="1339"/>
    <n v="749"/>
    <n v="2678"/>
    <n v="1498"/>
    <n v="1178.32"/>
    <n v="-1180"/>
    <n v="0.44"/>
    <n v="4.2"/>
    <n v="179692"/>
    <s v="Azhar JuMan,Anirudh"/>
    <n v="2"/>
    <e v="#REF!"/>
    <e v="#REF!"/>
  </r>
  <r>
    <s v="B08CS3BT4L"/>
    <s v="Kodak 80 cm"/>
    <x v="60"/>
    <s v="InstantWaterHeaters"/>
    <n v="12999"/>
    <n v="9999"/>
    <n v="38997"/>
    <n v="29997"/>
    <n v="8969.31"/>
    <n v="-9000"/>
    <n v="0.23"/>
    <n v="4.2"/>
    <n v="6088"/>
    <s v="Fateh,Fauzia kahkashan,Prakash"/>
    <n v="3"/>
    <e v="#REF!"/>
    <e v="#REF!"/>
  </r>
  <r>
    <s v="B00RFWNJMC"/>
    <s v="Airtel DigitalTV DTH Remote"/>
    <x v="57"/>
    <m/>
    <n v="499"/>
    <n v="195"/>
    <n v="1497"/>
    <n v="585"/>
    <n v="913.17"/>
    <n v="-912"/>
    <n v="0.61"/>
    <n v="3.7"/>
    <n v="1383"/>
    <s v="ABHAY SINGH,kapil,Amazon"/>
    <n v="3"/>
    <e v="#REF!"/>
    <e v="#REF!"/>
  </r>
  <r>
    <s v="B082T6GXS5"/>
    <s v="AmazonBasics New Release Nylon"/>
    <x v="56"/>
    <s v="Kettles&amp;HotWaterDispensers"/>
    <n v="2100"/>
    <n v="999"/>
    <n v="4200"/>
    <n v="1998"/>
    <n v="2184"/>
    <n v="-2202"/>
    <n v="0.52"/>
    <n v="4.5"/>
    <n v="5492"/>
    <s v="Brian Visvasam,CHAITHANYA"/>
    <n v="2"/>
    <e v="#REF!"/>
    <e v="#REF!"/>
  </r>
  <r>
    <s v="B09CMQRQM6"/>
    <s v="Ambrane Fast 100W Output"/>
    <x v="60"/>
    <s v="StorageWaterHeaters"/>
    <n v="899"/>
    <n v="499"/>
    <n v="1798"/>
    <n v="998"/>
    <n v="791.12"/>
    <n v="-800"/>
    <n v="0.44"/>
    <n v="4.2"/>
    <n v="919"/>
    <s v="Siddhartha G.,BABU"/>
    <n v="2"/>
    <e v="#REF!"/>
    <e v="#REF!"/>
  </r>
  <r>
    <s v="B005LJQMCK"/>
    <s v="BlueRigger Digital Optical Audio"/>
    <x v="60"/>
    <s v="ImmersionRods"/>
    <n v="599"/>
    <n v="416"/>
    <n v="1797"/>
    <n v="1248"/>
    <n v="557.06999999999994"/>
    <n v="-549"/>
    <n v="0.31"/>
    <n v="4.2"/>
    <n v="30023"/>
    <s v="Mahender Singh,Vinay,Supratim"/>
    <n v="3"/>
    <e v="#REF!"/>
    <e v="#REF!"/>
  </r>
  <r>
    <s v="B09C6H53KH"/>
    <s v="Duracell Type-C To Micro"/>
    <x v="56"/>
    <s v="DeepFatFryers"/>
    <n v="699"/>
    <n v="368"/>
    <n v="1398"/>
    <n v="736"/>
    <n v="657.06"/>
    <n v="-662"/>
    <n v="0.47"/>
    <n v="4.2"/>
    <n v="387"/>
    <s v="Sreejith ks,chetan"/>
    <n v="2"/>
    <e v="#REF!"/>
    <e v="#REF!"/>
  </r>
  <r>
    <s v="B0BB3CBFBM"/>
    <s v="VU 138 cm"/>
    <x v="61"/>
    <s v="LaundryBaskets"/>
    <n v="65000"/>
    <n v="29990"/>
    <n v="130000"/>
    <n v="59980"/>
    <n v="70200"/>
    <n v="-70020"/>
    <n v="0.54"/>
    <n v="4.0999999999999996"/>
    <n v="211"/>
    <s v="CH Venkatesh,nihar"/>
    <n v="2"/>
    <e v="#REF!"/>
    <e v="#REF!"/>
  </r>
  <r>
    <s v="B08QSDKFGQ"/>
    <s v="Zoul USB Type C"/>
    <x v="56"/>
    <s v="JuicerMixerGrinders"/>
    <n v="1099"/>
    <n v="339"/>
    <n v="4396"/>
    <n v="1356"/>
    <n v="3033.24"/>
    <n v="-3040"/>
    <n v="0.69"/>
    <n v="4.3"/>
    <n v="974"/>
    <s v="Pratyush Pahuja,Thiyagarajan,yeses,Amazon"/>
    <n v="4"/>
    <e v="#REF!"/>
    <e v="#REF!"/>
  </r>
  <r>
    <s v="B08PV1X771"/>
    <s v="Samsung 80 cm"/>
    <x v="58"/>
    <s v="Vacuums&amp;FloorCare"/>
    <n v="20900"/>
    <n v="15490"/>
    <n v="41800"/>
    <n v="30980"/>
    <n v="10868"/>
    <n v="-10820"/>
    <n v="0.26"/>
    <n v="4.3"/>
    <n v="16299"/>
    <s v="Rahman Ali,MARIYA"/>
    <n v="2"/>
    <e v="#REF!"/>
    <e v="#REF!"/>
  </r>
  <r>
    <s v="B07YTNKVJQ"/>
    <s v="MI Xiaomi USB Type"/>
    <x v="56"/>
    <s v="EggBoilers"/>
    <n v="1299"/>
    <n v="499"/>
    <n v="1299"/>
    <n v="499"/>
    <n v="805.38"/>
    <n v="-800"/>
    <n v="0.62"/>
    <n v="4.3"/>
    <n v="30411"/>
    <s v="Pavan A"/>
    <n v="1"/>
    <e v="#REF!"/>
    <e v="#REF!"/>
  </r>
  <r>
    <s v="B0117H7GZ6"/>
    <s v="GENERIC Ultra-Mini Bluetooth CSR"/>
    <x v="56"/>
    <s v="SandwichMakers"/>
    <n v="399"/>
    <n v="249"/>
    <n v="399"/>
    <n v="249"/>
    <n v="151.62"/>
    <n v="-150"/>
    <n v="0.38"/>
    <n v="3.4"/>
    <n v="4642"/>
    <s v="Akmathambil |"/>
    <n v="1"/>
    <e v="#REF!"/>
    <e v="#REF!"/>
  </r>
  <r>
    <s v="B09XJ1LM7R"/>
    <s v="7SEVENÂ® Compatible for Tata"/>
    <x v="56"/>
    <s v="MiniFoodProcessors&amp;Choppers"/>
    <n v="799"/>
    <n v="399"/>
    <n v="799"/>
    <n v="399"/>
    <n v="399.5"/>
    <n v="-400"/>
    <n v="0.5"/>
    <n v="4.3"/>
    <n v="12"/>
    <s v="anurag jain"/>
    <n v="1"/>
    <e v="#REF!"/>
    <e v="#REF!"/>
  </r>
  <r>
    <s v="B084N133Y7"/>
    <s v="Belkin Apple Certified Lightning"/>
    <x v="56"/>
    <s v="DigitalKitchenScales"/>
    <n v="1999"/>
    <n v="1499"/>
    <n v="7996"/>
    <n v="5996"/>
    <n v="1999"/>
    <n v="-2000"/>
    <n v="0.25"/>
    <n v="4.4000000000000004"/>
    <n v="1951"/>
    <s v="Ganesh,P P.,anas,Dr"/>
    <n v="4"/>
    <e v="#REF!"/>
    <e v="#REF!"/>
  </r>
  <r>
    <s v="B088Z1YWBC"/>
    <s v="EGate i9 Pro-Max 1080p"/>
    <x v="56"/>
    <s v="VacuumSealers"/>
    <n v="15990"/>
    <n v="9490"/>
    <n v="31980"/>
    <n v="18980"/>
    <n v="13111.8"/>
    <n v="-13000"/>
    <n v="0.41"/>
    <n v="3.9"/>
    <n v="10480"/>
    <s v="Amazon Customer,Manasi"/>
    <n v="2"/>
    <e v="#REF!"/>
    <e v="#REF!"/>
  </r>
  <r>
    <s v="B07VSG5SXZ"/>
    <s v="ZEBRONICS HAA2021 HDMI version"/>
    <x v="62"/>
    <s v="CeilingFans"/>
    <n v="1499"/>
    <n v="637"/>
    <n v="4497"/>
    <n v="1911"/>
    <n v="2608.2599999999998"/>
    <n v="-2586"/>
    <n v="0.57999999999999996"/>
    <n v="4.0999999999999996"/>
    <n v="24"/>
    <s v="Amazon Customer,Gowthami,Pradeep"/>
    <n v="3"/>
    <e v="#REF!"/>
    <e v="#REF!"/>
  </r>
  <r>
    <s v="B08RWCZ6SY"/>
    <s v="7SEVENÂ® Compatible for Sony"/>
    <x v="58"/>
    <s v="PressureWashers,Steam&amp;WindowCleaners"/>
    <n v="899"/>
    <n v="399"/>
    <n v="899"/>
    <n v="399"/>
    <n v="503.44000000000005"/>
    <n v="-500"/>
    <n v="0.56000000000000005"/>
    <n v="3.9"/>
    <n v="254"/>
    <s v="T A"/>
    <n v="1"/>
    <e v="#REF!"/>
    <e v="#REF!"/>
  </r>
  <r>
    <s v="B07KSB1MLX"/>
    <s v="AmazonBasics Digital Optical Coax"/>
    <x v="57"/>
    <s v="HalogenHeaters"/>
    <n v="1600"/>
    <n v="1089"/>
    <n v="3200"/>
    <n v="2178"/>
    <n v="1024"/>
    <n v="-1022"/>
    <n v="0.32"/>
    <n v="4"/>
    <n v="3565"/>
    <s v="Amazon Customer,Sarma"/>
    <n v="2"/>
    <e v="#REF!"/>
    <e v="#REF!"/>
  </r>
  <r>
    <s v="B081FG1QYX"/>
    <s v="Wayona Type C Cable"/>
    <x v="56"/>
    <s v="Pop-upToasters"/>
    <n v="999"/>
    <n v="339"/>
    <n v="7992"/>
    <n v="2712"/>
    <n v="5274.72"/>
    <n v="-5280"/>
    <n v="0.66"/>
    <n v="4.3"/>
    <n v="6255"/>
    <s v="SMG,Rohit,roy,Sukumar Ballavolu,Jeeva,Sirajdurvesh,Adhikundhan,Manjit"/>
    <n v="8"/>
    <e v="#REF!"/>
    <e v="#REF!"/>
  </r>
  <r>
    <s v="B08R69WBN7"/>
    <s v="Pinnaclz Original Combo of"/>
    <x v="57"/>
    <s v="HeatConvectors"/>
    <n v="499"/>
    <n v="149"/>
    <n v="499"/>
    <n v="149"/>
    <n v="349.29999999999995"/>
    <n v="-350"/>
    <n v="0.7"/>
    <n v="4"/>
    <n v="7732"/>
    <s v="Vijayan C"/>
    <n v="1"/>
    <e v="#REF!"/>
    <e v="#REF!"/>
  </r>
  <r>
    <s v="B0B3RHX6B6"/>
    <s v="Ambrane BCL-15 Lightning Cable"/>
    <x v="63"/>
    <s v="CoffeeGrinders"/>
    <n v="399"/>
    <n v="149"/>
    <n v="798"/>
    <n v="298"/>
    <n v="502.74"/>
    <n v="-500"/>
    <n v="0.63"/>
    <n v="3.9"/>
    <n v="57"/>
    <s v="Nik Xavier,Muhammed"/>
    <n v="2"/>
    <e v="#REF!"/>
    <e v="#REF!"/>
  </r>
  <r>
    <s v="B084N18QZY"/>
    <s v="Belkin USB C to"/>
    <x v="62"/>
    <s v="ExhaustFans"/>
    <n v="849"/>
    <n v="599"/>
    <n v="3396"/>
    <n v="2396"/>
    <n v="984.83999999999992"/>
    <n v="-1000"/>
    <n v="0.28999999999999998"/>
    <n v="4.5"/>
    <n v="577"/>
    <s v="Khan, BA,Vaibhav,ANIL"/>
    <n v="4"/>
    <e v="#REF!"/>
    <e v="#REF!"/>
  </r>
  <r>
    <s v="B081NHWT6Z"/>
    <s v="LOHAYA Television Remote Compatible"/>
    <x v="63"/>
    <s v="DripCoffeeMachines"/>
    <n v="1199"/>
    <n v="299"/>
    <n v="4796"/>
    <n v="1196"/>
    <n v="3597"/>
    <n v="-3600"/>
    <n v="0.75"/>
    <n v="3.9"/>
    <n v="1193"/>
    <s v="Pinky,girish,Sajin Thomas,Amazon"/>
    <n v="4"/>
    <e v="#REF!"/>
    <e v="#REF!"/>
  </r>
  <r>
    <s v="B07JPJJZ2H"/>
    <s v="Wayona Nylon Braided Lightning"/>
    <x v="64"/>
    <s v="WaterPurifierAccessories"/>
    <n v="1299"/>
    <n v="399"/>
    <n v="5196"/>
    <n v="1596"/>
    <n v="3585.24"/>
    <n v="-3600"/>
    <n v="0.69"/>
    <n v="4.2"/>
    <n v="13120"/>
    <s v="Pratik,Amazon Customer,Abhishek,Derrick"/>
    <n v="4"/>
    <e v="#REF!"/>
    <e v="#REF!"/>
  </r>
  <r>
    <s v="B09JKNF147"/>
    <s v="Electvision Remote Control Compatible"/>
    <x v="64"/>
    <s v="WaterCartridges"/>
    <n v="1999"/>
    <n v="339"/>
    <n v="7996"/>
    <n v="1356"/>
    <n v="6636.6799999999994"/>
    <n v="-6640"/>
    <n v="0.83"/>
    <n v="4"/>
    <n v="343"/>
    <s v="MANIK SK,Niranjan,renpuppypaws,Ayushi"/>
    <n v="4"/>
    <e v="#REF!"/>
    <e v="#REF!"/>
  </r>
  <r>
    <s v="B0B9959XF3"/>
    <s v="Acer 80 cm"/>
    <x v="56"/>
    <s v="Rice&amp;PastaCookers"/>
    <n v="22990"/>
    <n v="12499"/>
    <n v="45980"/>
    <n v="24998"/>
    <n v="21150.799999999999"/>
    <n v="-20982"/>
    <n v="0.46"/>
    <n v="4.3"/>
    <n v="1611"/>
    <s v="Moon Tej,Aditya"/>
    <n v="2"/>
    <e v="#REF!"/>
    <e v="#REF!"/>
  </r>
  <r>
    <s v="B09PNR6F8Q"/>
    <s v="realme 10W Fast Charging"/>
    <x v="65"/>
    <s v="AirPurifiers&amp;Ionizers"/>
    <n v="399"/>
    <n v="249"/>
    <n v="399"/>
    <n v="249"/>
    <n v="151.62"/>
    <n v="-150"/>
    <n v="0.38"/>
    <n v="4"/>
    <n v="6558"/>
    <s v="Ajinkya M"/>
    <n v="1"/>
    <e v="#REF!"/>
    <e v="#REF!"/>
  </r>
  <r>
    <s v="B07M69276N"/>
    <s v="TP-Link AC1300 USB WiFi"/>
    <x v="66"/>
    <s v="HEPAAirPurifiers"/>
    <n v="2499"/>
    <n v="1399"/>
    <n v="12495"/>
    <n v="6995"/>
    <n v="5497.7999999999993"/>
    <n v="-5500"/>
    <n v="0.44"/>
    <n v="4.4000000000000004"/>
    <n v="23169"/>
    <s v="Shweta Bairagi,Sarathi,Abhishek,AAR,Deepak"/>
    <n v="5"/>
    <e v="#REF!"/>
    <e v="#REF!"/>
  </r>
  <r>
    <s v="B0B1YZ9CB8"/>
    <s v="Acer 139 cm"/>
    <x v="64"/>
    <s v="WaterFilters&amp;Purifiers"/>
    <n v="47990"/>
    <n v="32999"/>
    <n v="239950"/>
    <n v="164995"/>
    <n v="74384.5"/>
    <n v="-74955"/>
    <n v="0.31"/>
    <n v="4.3"/>
    <n v="4703"/>
    <s v="Ayush,ROHIT A.,Kedar,Haran,Santosh"/>
    <n v="5"/>
    <e v="#REF!"/>
    <e v="#REF!"/>
  </r>
  <r>
    <s v="B09YLYB9PB"/>
    <s v="Ambrane 60W / 3A"/>
    <x v="61"/>
    <s v="LaundryBags"/>
    <n v="399"/>
    <n v="149"/>
    <n v="798"/>
    <n v="298"/>
    <n v="502.74"/>
    <n v="-500"/>
    <n v="0.63"/>
    <n v="4"/>
    <n v="1423"/>
    <s v="Actual user,Shanti"/>
    <n v="2"/>
    <e v="#REF!"/>
    <e v="#REF!"/>
  </r>
  <r>
    <s v="B08CTNJ985"/>
    <s v="Wayona USB Type C"/>
    <x v="67"/>
    <s v="Sewing&amp;EmbroideryMachines"/>
    <n v="999"/>
    <n v="325"/>
    <n v="1998"/>
    <n v="650"/>
    <n v="1338.66"/>
    <n v="-1348"/>
    <n v="0.67"/>
    <n v="4.3"/>
    <n v="2651"/>
    <s v="Soumya R.,sivaramakrishnan"/>
    <n v="2"/>
    <e v="#REF!"/>
    <e v="#REF!"/>
  </r>
  <r>
    <s v="B0BP7XLX48"/>
    <s v="Syncwire LTG to USB"/>
    <x v="61"/>
    <s v="IroningAccessories"/>
    <n v="1999"/>
    <n v="399"/>
    <n v="3998"/>
    <n v="798"/>
    <n v="3198.4"/>
    <n v="-3200"/>
    <n v="0.8"/>
    <n v="5"/>
    <n v="5"/>
    <s v="Amazon Customer,kamal"/>
    <n v="2"/>
    <e v="#REF!"/>
    <e v="#REF!"/>
  </r>
  <r>
    <s v="B09LHXNZLR"/>
    <s v="Skadioo WiFi Adapter for"/>
    <x v="56"/>
    <s v="HandMixers"/>
    <n v="499"/>
    <n v="199"/>
    <n v="998"/>
    <n v="398"/>
    <n v="598.79999999999995"/>
    <n v="-600"/>
    <n v="0.6"/>
    <n v="3.7"/>
    <n v="612"/>
    <s v="POTNURU RAJINI,swapnil"/>
    <n v="2"/>
    <e v="#REF!"/>
    <e v="#REF!"/>
  </r>
  <r>
    <s v="B0B3N8VG24"/>
    <s v="FLiX"/>
    <x v="56"/>
    <s v="Mills&amp;Grinders"/>
    <n v="299"/>
    <n v="88"/>
    <n v="897"/>
    <n v="264"/>
    <n v="636.87"/>
    <n v="-633"/>
    <n v="0.71"/>
    <n v="4"/>
    <n v="9378"/>
    <s v="$@|\|TO$|-|,Sethu madhav,Akash"/>
    <n v="3"/>
    <e v="#REF!"/>
    <e v="#REF!"/>
  </r>
  <r>
    <s v="B08PSVBB2X"/>
    <s v="Zoul USB C to"/>
    <x v="56"/>
    <s v="OvenToasterGrills"/>
    <n v="1099"/>
    <n v="399"/>
    <n v="4396"/>
    <n v="1596"/>
    <n v="2813.44"/>
    <n v="-2800"/>
    <n v="0.64"/>
    <n v="4.0999999999999996"/>
    <n v="2685"/>
    <s v="Abhay Goyal,Apurva,Shilpa,Vishnu"/>
    <n v="4"/>
    <e v="#REF!"/>
    <e v="#REF!"/>
  </r>
  <r>
    <s v="B0B3MQXNFB"/>
    <s v="FLiX"/>
    <x v="56"/>
    <s v="Juicers"/>
    <n v="199"/>
    <n v="57.89"/>
    <n v="597"/>
    <n v="173.67000000000002"/>
    <n v="423.87"/>
    <n v="-423.33"/>
    <n v="0.71"/>
    <n v="4"/>
    <n v="9378"/>
    <s v="$@|\|TO$|-|,Sethu madhav,Akash"/>
    <n v="3"/>
    <e v="#REF!"/>
    <e v="#REF!"/>
  </r>
  <r>
    <s v="B08XMSKKMM"/>
    <s v="7SEVENÂ® Bluetooth Voice Command"/>
    <x v="56"/>
    <m/>
    <n v="1999"/>
    <n v="799"/>
    <n v="9995"/>
    <n v="3995"/>
    <n v="5996.9999999999991"/>
    <n v="-6000"/>
    <n v="0.6"/>
    <n v="3.3"/>
    <n v="576"/>
    <s v="ravi,Alex,Vineet M.,chakri,Siddhartha"/>
    <n v="5"/>
    <e v="#REF!"/>
    <e v="#REF!"/>
  </r>
  <r>
    <s v="B09L8DT7D6"/>
    <s v="Sony TV - Remote"/>
    <x v="68"/>
    <s v="WeighingScales"/>
    <n v="499"/>
    <n v="205"/>
    <n v="2495"/>
    <n v="1025"/>
    <n v="1472.0499999999997"/>
    <n v="-1470"/>
    <n v="0.59"/>
    <n v="3.8"/>
    <n v="313"/>
    <s v="S R.,JK,balaji,kishore,SANJEEV"/>
    <n v="5"/>
    <e v="#REF!"/>
    <e v="#REF!"/>
  </r>
  <r>
    <s v="B00GE55L22"/>
    <s v="Storite USB 3.0 Cable"/>
    <x v="63"/>
    <s v="EspressoMachines"/>
    <n v="699"/>
    <n v="299"/>
    <n v="2097"/>
    <n v="897"/>
    <n v="1195.29"/>
    <n v="-1200"/>
    <n v="0.56999999999999995"/>
    <n v="4.0999999999999996"/>
    <n v="2957"/>
    <s v="Abhirup,SHANMUGANANDA RAMAN,Srijit"/>
    <n v="3"/>
    <e v="#REF!"/>
    <e v="#REF!"/>
  </r>
  <r>
    <s v="B0162K34H2"/>
    <s v="boAt LTG 500 Apple"/>
    <x v="62"/>
    <s v="TableFans"/>
    <n v="999"/>
    <n v="849"/>
    <n v="4995"/>
    <n v="4245"/>
    <n v="749.25"/>
    <n v="-750"/>
    <n v="0.15"/>
    <n v="4.0999999999999996"/>
    <n v="6736"/>
    <s v="Aaditya,Ajinkya Kumbhar,Sanchada,Shubham,Gaurav"/>
    <n v="5"/>
    <e v="#REF!"/>
    <e v="#REF!"/>
  </r>
  <r>
    <s v="B0B8SRZ5SV"/>
    <s v="AmazonBasics USB C to"/>
    <x v="63"/>
    <s v="MilkFrothers"/>
    <n v="1999"/>
    <n v="949"/>
    <n v="5997"/>
    <n v="2847"/>
    <n v="3178.41"/>
    <n v="-3150"/>
    <n v="0.53"/>
    <n v="4.4000000000000004"/>
    <n v="13552"/>
    <s v="Wraith,Krishna Engineering,Kindle"/>
    <n v="3"/>
    <e v="#REF!"/>
    <e v="#REF!"/>
  </r>
  <r>
    <s v="B07CWNJLPC"/>
    <s v="AmazonBasics Double Braided Nylon"/>
    <x v="69"/>
    <m/>
    <n v="1200"/>
    <n v="499"/>
    <n v="2400"/>
    <n v="998"/>
    <n v="1392"/>
    <n v="-1402"/>
    <n v="0.57999999999999996"/>
    <n v="4.3"/>
    <n v="5451"/>
    <s v="Gaurab Chakraborty,Pratik"/>
    <n v="2"/>
    <e v="#REF!"/>
    <e v="#REF!"/>
  </r>
  <r>
    <s v="B00NH12R1O"/>
    <s v="Amazon Basics USB 3.0"/>
    <x v="56"/>
    <s v="SmallApplianceParts&amp;Accessories"/>
    <n v="485"/>
    <n v="299"/>
    <n v="970"/>
    <n v="598"/>
    <n v="368.6"/>
    <n v="-372"/>
    <n v="0.38"/>
    <n v="4.3"/>
    <n v="10911"/>
    <s v="Partha biswas,kamlesh"/>
    <n v="2"/>
    <e v="#REF!"/>
    <e v="#REF!"/>
  </r>
  <r>
    <s v="B0B8SSC5D9"/>
    <s v="AmazonBasics USB C to"/>
    <x v="56"/>
    <s v="YogurtMakers"/>
    <n v="1999"/>
    <n v="949"/>
    <n v="5997"/>
    <n v="2847"/>
    <n v="3178.41"/>
    <n v="-3150"/>
    <n v="0.53"/>
    <n v="4.4000000000000004"/>
    <n v="13552"/>
    <s v="Wraith,Krishna Engineering,Kindle"/>
    <n v="3"/>
    <e v="#REF!"/>
    <e v="#REF!"/>
  </r>
  <r>
    <s v="B08WKG2MWT"/>
    <s v="Wayona Usb C 65W"/>
    <x v="56"/>
    <s v="Juicers"/>
    <n v="1099"/>
    <n v="379"/>
    <n v="3297"/>
    <n v="1137"/>
    <n v="2176.02"/>
    <n v="-2160"/>
    <n v="0.66"/>
    <n v="4.3"/>
    <n v="2806"/>
    <s v="sameer Dubey,virender,Amazon"/>
    <n v="3"/>
    <e v="#REF!"/>
    <e v="#REF!"/>
  </r>
  <r>
    <s v="B0B466C3G4"/>
    <s v="Karbonn 80 cm"/>
    <x v="70"/>
    <s v="Split-SystemAirConditioners"/>
    <n v="18990"/>
    <n v="8990"/>
    <n v="37980"/>
    <n v="17980"/>
    <n v="20129.400000000001"/>
    <n v="-20000"/>
    <n v="0.53"/>
    <n v="3.9"/>
    <n v="350"/>
    <s v="Sunil Jeurkar,Bhashker"/>
    <n v="2"/>
    <e v="#REF!"/>
    <e v="#REF!"/>
  </r>
  <r>
    <s v="B005LJQMZC"/>
    <s v="BlueRigger Digital Optical Audio"/>
    <x v="56"/>
    <s v="SmallApplianceParts&amp;Accessories"/>
    <n v="1999"/>
    <n v="486"/>
    <n v="5997"/>
    <n v="1458"/>
    <n v="4557.72"/>
    <n v="-4539"/>
    <n v="0.76"/>
    <n v="4.2"/>
    <n v="30023"/>
    <s v="Mahender Singh,Vinay,Supratim"/>
    <n v="3"/>
    <e v="#REF!"/>
    <e v="#REF!"/>
  </r>
  <r>
    <s v="B07MDRGHWQ"/>
    <s v="VW 60 cm"/>
    <x v="56"/>
    <s v="WaffleMakers&amp;Irons"/>
    <n v="11000"/>
    <n v="5699"/>
    <n v="33000"/>
    <n v="17097"/>
    <n v="15840"/>
    <n v="-15903"/>
    <n v="0.48"/>
    <n v="4.2"/>
    <n v="4003"/>
    <s v="Amazon Customer,Yousuf,Raja"/>
    <n v="3"/>
    <e v="#REF!"/>
    <e v="#REF!"/>
  </r>
  <r>
    <s v="B07DC4RZPY"/>
    <s v="Amazon Basics USB A"/>
    <x v="63"/>
    <s v="StovetopEspressoPots"/>
    <n v="1999"/>
    <n v="709"/>
    <n v="5997"/>
    <n v="2127"/>
    <n v="3898.05"/>
    <n v="-3870"/>
    <n v="0.65"/>
    <n v="4.0999999999999996"/>
    <n v="178817"/>
    <s v="Pete25,Bhanu,Naveen Kr"/>
    <n v="3"/>
    <e v="#REF!"/>
    <e v="#REF!"/>
  </r>
  <r>
    <s v="B0B15GSPQW"/>
    <s v="Samsung 138 cm"/>
    <x v="63"/>
    <s v="CoffeeMakerAccessories"/>
    <n v="70900"/>
    <n v="47990"/>
    <n v="496300"/>
    <n v="335930"/>
    <n v="158816"/>
    <n v="-160370"/>
    <n v="0.32"/>
    <n v="4.3"/>
    <n v="7109"/>
    <s v="Binu,Sabjan,Ramkapil,User,Amazon Customer,ganesh,basavaraj"/>
    <n v="7"/>
    <e v="#REF!"/>
    <e v="#REF!"/>
  </r>
  <r>
    <s v="B08GJNM9N7"/>
    <s v="LOHAYA Television Remote Compatible"/>
    <x v="63"/>
    <s v="CoffeePresses"/>
    <n v="1199"/>
    <n v="299"/>
    <n v="1199"/>
    <n v="299"/>
    <n v="899.25"/>
    <n v="-900"/>
    <n v="0.75"/>
    <n v="3.7"/>
    <n v="490"/>
    <s v="Saswat kumar"/>
    <n v="1"/>
    <e v="#REF!"/>
    <e v="#REF!"/>
  </r>
  <r>
    <s v="B09C6FML9B"/>
    <s v="Duracell Micro USB 3A"/>
    <x v="56"/>
    <s v="RotiMakers"/>
    <n v="599"/>
    <n v="320"/>
    <n v="1198"/>
    <n v="640"/>
    <n v="563.05999999999995"/>
    <n v="-558"/>
    <n v="0.47"/>
    <n v="4.0999999999999996"/>
    <n v="491"/>
    <s v="Dr. R.,Ajay"/>
    <n v="2"/>
    <e v="#REF!"/>
    <e v="#REF!"/>
  </r>
  <r>
    <s v="B0B65MJ45G"/>
    <s v="Zebronics CU3100V Fast charging"/>
    <x v="71"/>
    <s v="FanParts&amp;Accessories"/>
    <n v="549"/>
    <n v="139"/>
    <n v="1098"/>
    <n v="278"/>
    <n v="823.5"/>
    <n v="-820"/>
    <n v="0.75"/>
    <n v="3.9"/>
    <n v="61"/>
    <s v="samarth shukla,Sanjeev"/>
    <n v="2"/>
    <e v="#REF!"/>
    <e v="#REF!"/>
  </r>
  <r>
    <s v="B08P9RYPLR"/>
    <s v="FLiX"/>
    <x v="56"/>
    <s v="StandMixers"/>
    <n v="249"/>
    <n v="129"/>
    <n v="747"/>
    <n v="387"/>
    <n v="358.56"/>
    <n v="-360"/>
    <n v="0.48"/>
    <n v="4"/>
    <n v="9378"/>
    <s v="$@|\|TO$|-|,Sethu madhav,Akash"/>
    <n v="3"/>
    <e v="#REF!"/>
    <e v="#REF!"/>
  </r>
  <r>
    <s v="B0B6F8HHR6"/>
    <s v="MI 108 cm"/>
    <x v="62"/>
    <s v="PedestalFans"/>
    <n v="35999"/>
    <n v="24999"/>
    <n v="71998"/>
    <n v="49998"/>
    <n v="22319.38"/>
    <n v="-22000"/>
    <n v="0.31"/>
    <n v="4.2"/>
    <n v="32840"/>
    <s v="Manoj maddheshiya,Manoj"/>
    <n v="2"/>
    <e v="#REF!"/>
    <e v="#REF!"/>
  </r>
  <r>
    <s v="B084MZXJN6"/>
    <s v="Belkin Apple Certified Lightning"/>
    <x v="58"/>
    <s v="Vacuums&amp;FloorCare"/>
    <n v="1699"/>
    <n v="999"/>
    <n v="5097"/>
    <n v="2997"/>
    <n v="2089.7699999999995"/>
    <n v="-2100"/>
    <n v="0.41"/>
    <n v="4.4000000000000004"/>
    <n v="7318"/>
    <s v="VM,Dilip,The Mango"/>
    <n v="3"/>
    <e v="#REF!"/>
    <e v="#REF!"/>
  </r>
  <r>
    <s v="B08XMG618K"/>
    <s v="Time Office Scanner Replacement"/>
    <x v="0"/>
    <s v="Cables"/>
    <n v="499"/>
    <n v="225"/>
    <n v="998"/>
    <n v="450"/>
    <n v="548.90000000000009"/>
    <n v="-548"/>
    <n v="0.55000000000000004"/>
    <n v="4.0999999999999996"/>
    <n v="789"/>
    <s v="Raja Vankadara,velidandi"/>
    <n v="2"/>
    <e v="#REF!"/>
    <e v="#REF!"/>
  </r>
  <r>
    <s v="B0BCKWZ884"/>
    <s v="Caldipree Silicone Case Cover"/>
    <x v="1"/>
    <s v="WirelessUSBAdapters"/>
    <n v="2999"/>
    <n v="547"/>
    <n v="8997"/>
    <n v="1641"/>
    <n v="7377.5399999999991"/>
    <n v="-7356"/>
    <n v="0.82"/>
    <n v="4.3"/>
    <n v="407"/>
    <s v="padmaprasaad,rahul kumria,dharmesh"/>
    <n v="3"/>
    <e v="#REF!"/>
    <e v="#REF!"/>
  </r>
  <r>
    <s v="B00GGGOYEK"/>
    <s v="Storite USB 2.0 A"/>
    <x v="2"/>
    <s v="Cables"/>
    <n v="699"/>
    <n v="259"/>
    <n v="1398"/>
    <n v="518"/>
    <n v="880.74"/>
    <n v="-880"/>
    <n v="0.63"/>
    <n v="3.8"/>
    <n v="2399"/>
    <s v="Angsuman DUtta,Amjath"/>
    <n v="2"/>
    <e v="#REF!"/>
    <e v="#REF!"/>
  </r>
  <r>
    <s v="B07ZR4S1G4"/>
    <s v="Universal Remote Control for"/>
    <x v="3"/>
    <s v="SmartTelevisions"/>
    <n v="699"/>
    <n v="239"/>
    <n v="2796"/>
    <n v="956"/>
    <n v="1845.3600000000001"/>
    <n v="-1840"/>
    <n v="0.66"/>
    <n v="4.4000000000000004"/>
    <n v="2640"/>
    <s v="Srinivas Pasumarthi,AM,Khushboo,Geetanjali"/>
    <n v="4"/>
    <e v="#REF!"/>
    <e v="#REF!"/>
  </r>
  <r>
    <s v="B09C635BMM"/>
    <s v="Cotbolt Silicone Case Cover"/>
    <x v="2"/>
    <s v="RemoteControls"/>
    <n v="999"/>
    <n v="349"/>
    <n v="1998"/>
    <n v="698"/>
    <n v="1298.7"/>
    <n v="-1300"/>
    <n v="0.65"/>
    <n v="4"/>
    <n v="839"/>
    <s v="Surya Praveen,Suraj"/>
    <n v="2"/>
    <e v="#REF!"/>
    <e v="#REF!"/>
  </r>
  <r>
    <s v="B00GG59HU2"/>
    <s v="BlueRigger High Speed HDMI"/>
    <x v="3"/>
    <s v="StandardTelevisions"/>
    <n v="599"/>
    <n v="467"/>
    <n v="1797"/>
    <n v="1401"/>
    <n v="395.34000000000003"/>
    <n v="-396"/>
    <n v="0.22"/>
    <n v="4.4000000000000004"/>
    <n v="44054"/>
    <s v="Kakulie,Amjath sp,Saj"/>
    <n v="3"/>
    <e v="#REF!"/>
    <e v="#REF!"/>
  </r>
  <r>
    <s v="B00RGLI0ZS"/>
    <s v="Amkette 30 Pin to"/>
    <x v="2"/>
    <s v="TVMounts,Stands&amp;Turntables"/>
    <n v="599"/>
    <n v="449"/>
    <n v="1797"/>
    <n v="1347"/>
    <n v="449.25"/>
    <n v="-450"/>
    <n v="0.25"/>
    <n v="4"/>
    <n v="3231"/>
    <s v="R Ramesh,Virender,Hemkant"/>
    <n v="3"/>
    <e v="#REF!"/>
    <e v="#REF!"/>
  </r>
  <r>
    <s v="B09ZPJT8B2"/>
    <s v="TCL 80 cm"/>
    <x v="2"/>
    <s v="Cables"/>
    <n v="31990"/>
    <n v="11990"/>
    <n v="159950"/>
    <n v="59950"/>
    <n v="100768.5"/>
    <n v="-100000"/>
    <n v="0.63"/>
    <n v="4.2"/>
    <n v="64"/>
    <s v="Seyadhu Hussain,Vikky,BG,Sreejith,Thakor"/>
    <n v="5"/>
    <e v="#REF!"/>
    <e v="#REF!"/>
  </r>
  <r>
    <s v="B07HZ2QCGR"/>
    <s v="POPIO Type C Dash"/>
    <x v="2"/>
    <s v="SpeakerAccessories"/>
    <n v="599"/>
    <n v="350"/>
    <n v="4193"/>
    <n v="2450"/>
    <n v="1761.06"/>
    <n v="-1743"/>
    <n v="0.42"/>
    <n v="3.9"/>
    <n v="8314"/>
    <s v="Digvijay Kharbas,D,Vibhor,Asha,RoRo,tanya,Sai"/>
    <n v="7"/>
    <e v="#REF!"/>
    <e v="#REF!"/>
  </r>
  <r>
    <s v="B095244Q22"/>
    <s v="MYVN LTG to USB"/>
    <x v="2"/>
    <s v="Cables"/>
    <n v="999"/>
    <n v="252"/>
    <n v="4995"/>
    <n v="1260"/>
    <n v="3746.25"/>
    <n v="-3735"/>
    <n v="0.75"/>
    <n v="3.7"/>
    <n v="2249"/>
    <s v="jagadish,Rishabh,Sakshi,Amazon Customer,Boina"/>
    <n v="5"/>
    <e v="#REF!"/>
    <e v="#REF!"/>
  </r>
  <r>
    <s v="B08CKW1KH9"/>
    <s v="Tata Sky Universal Remote"/>
    <x v="4"/>
    <m/>
    <n v="599"/>
    <n v="204"/>
    <n v="2396"/>
    <n v="816"/>
    <n v="1581.3600000000001"/>
    <n v="-1580"/>
    <n v="0.66"/>
    <n v="3.6"/>
    <n v="339"/>
    <s v="Amazon Customer,JKSingh,Aryan,sridhar"/>
    <n v="4"/>
    <e v="#REF!"/>
    <e v="#REF!"/>
  </r>
  <r>
    <s v="B0BLV1GNLN"/>
    <s v="WZATCO Pixel | Portable"/>
    <x v="2"/>
    <s v="Adapters"/>
    <n v="9990"/>
    <n v="6490"/>
    <n v="29970"/>
    <n v="19470"/>
    <n v="10489.5"/>
    <n v="-10500"/>
    <n v="0.35"/>
    <n v="4"/>
    <n v="27"/>
    <s v="Arul Prakash,rashid,Amazon"/>
    <n v="3"/>
    <e v="#REF!"/>
    <e v="#REF!"/>
  </r>
  <r>
    <s v="B08RHPDNVV"/>
    <s v="7SEVENÂ® Compatible Tata Sky"/>
    <x v="5"/>
    <s v="SatelliteReceivers"/>
    <n v="599"/>
    <n v="235"/>
    <n v="1198"/>
    <n v="470"/>
    <n v="730.78"/>
    <n v="-728"/>
    <n v="0.61"/>
    <n v="3.5"/>
    <n v="197"/>
    <s v="Amazon Customer,Soniya"/>
    <n v="2"/>
    <e v="#REF!"/>
    <e v="#REF!"/>
  </r>
  <r>
    <s v="B00NH13Q8W"/>
    <s v="AmazonBasics USB 2.0 Extension"/>
    <x v="0"/>
    <s v="Cables"/>
    <n v="800"/>
    <n v="299"/>
    <n v="6400"/>
    <n v="2392"/>
    <n v="4032"/>
    <n v="-4008"/>
    <n v="0.63"/>
    <n v="4.5"/>
    <n v="74977"/>
    <s v="Pravin Kumar,Maestrov,rag,Mukundha2good,Amazon_Shopper,Sonic,Pratap,Amazon"/>
    <n v="8"/>
    <e v="#REF!"/>
    <e v="#REF!"/>
  </r>
  <r>
    <s v="B0B8SSZ76F"/>
    <s v="Amazon Basics USB C"/>
    <x v="2"/>
    <s v="Cables"/>
    <n v="1999"/>
    <n v="799"/>
    <n v="1999"/>
    <n v="799"/>
    <n v="1199.3999999999999"/>
    <n v="-1200"/>
    <n v="0.6"/>
    <n v="4.2"/>
    <n v="8583"/>
    <s v="That Crazy"/>
    <n v="1"/>
    <e v="#REF!"/>
    <e v="#REF!"/>
  </r>
  <r>
    <s v="B0841KQR1Z"/>
    <s v="Crypoâ„¢ Universal Remote Compatible"/>
    <x v="6"/>
    <s v="StreamingClients"/>
    <n v="999"/>
    <n v="299"/>
    <n v="2997"/>
    <n v="897"/>
    <n v="2097.8999999999996"/>
    <n v="-2100"/>
    <n v="0.7"/>
    <n v="3.8"/>
    <n v="928"/>
    <s v="Sangita,Radha Senthilkumar,Deepak"/>
    <n v="3"/>
    <e v="#REF!"/>
    <e v="#REF!"/>
  </r>
  <r>
    <s v="B0B467CCB9"/>
    <s v="Karbonn 80 cm"/>
    <x v="7"/>
    <m/>
    <n v="16990"/>
    <n v="6999"/>
    <n v="33980"/>
    <n v="13998"/>
    <n v="20048.2"/>
    <n v="-19982"/>
    <n v="0.59"/>
    <n v="3.8"/>
    <n v="110"/>
    <s v="Ajay kumar,Ishan"/>
    <n v="2"/>
    <e v="#REF!"/>
    <e v="#REF!"/>
  </r>
  <r>
    <s v="B095JQVC7N"/>
    <s v="OnePlus 138.7 cm"/>
    <x v="8"/>
    <s v="TowerSpeakers"/>
    <n v="59999"/>
    <n v="42999"/>
    <n v="179997"/>
    <n v="128997"/>
    <n v="50399.16"/>
    <n v="-51000"/>
    <n v="0.28000000000000003"/>
    <n v="4.0999999999999996"/>
    <n v="6753"/>
    <s v="Rashmi,Raghvendra,Hari Prasad"/>
    <n v="3"/>
    <e v="#REF!"/>
    <e v="#REF!"/>
  </r>
  <r>
    <s v="B08PPHFXG3"/>
    <s v="Posh 1.5 Meter High"/>
    <x v="2"/>
    <s v="3DGlasses"/>
    <n v="999"/>
    <n v="173"/>
    <n v="1998"/>
    <n v="346"/>
    <n v="1658.34"/>
    <n v="-1652"/>
    <n v="0.83"/>
    <n v="4.3"/>
    <n v="1237"/>
    <s v="Amjith' S,Zakir"/>
    <n v="2"/>
    <e v="#REF!"/>
    <e v="#REF!"/>
  </r>
  <r>
    <s v="B06XR9PR5X"/>
    <s v="Amazon Basics HDMI Coupler,Black"/>
    <x v="9"/>
    <m/>
    <n v="600"/>
    <n v="209"/>
    <n v="1200"/>
    <n v="418"/>
    <n v="780"/>
    <n v="-782"/>
    <n v="0.65"/>
    <n v="4.4000000000000004"/>
    <n v="18872"/>
    <s v="Bharanidharan,Roshan k"/>
    <n v="2"/>
    <e v="#REF!"/>
    <e v="#REF!"/>
  </r>
  <r>
    <s v="B09JSW16QD"/>
    <s v="boAt LTG 550v3 Lightning"/>
    <x v="10"/>
    <s v="Chargers"/>
    <n v="1490"/>
    <n v="848.99"/>
    <n v="5960"/>
    <n v="3395.96"/>
    <n v="2562.8000000000002"/>
    <n v="-2564.04"/>
    <n v="0.43"/>
    <n v="3.9"/>
    <n v="356"/>
    <s v="Ajay,Jeswin,Amazon Customer,Sudeerreddy"/>
    <n v="4"/>
    <e v="#REF!"/>
    <e v="#REF!"/>
  </r>
  <r>
    <s v="B07JH1CBGW"/>
    <s v="Wayona Nylon Braided USB"/>
    <x v="11"/>
    <s v="Smartphones"/>
    <n v="1999"/>
    <n v="649"/>
    <n v="7996"/>
    <n v="2596"/>
    <n v="5437.2800000000007"/>
    <n v="-5400"/>
    <n v="0.68"/>
    <n v="4.2"/>
    <n v="24269"/>
    <s v="Manav,Adarsh gupta,Sundeep,S.Sayeed"/>
    <n v="4"/>
    <e v="#REF!"/>
    <e v="#REF!"/>
  </r>
  <r>
    <s v="B09127FZCK"/>
    <s v="Astigo Compatible Remote for"/>
    <x v="12"/>
    <s v="MicroSD"/>
    <n v="899"/>
    <n v="299"/>
    <n v="3596"/>
    <n v="1196"/>
    <n v="2409.3200000000002"/>
    <n v="-2400"/>
    <n v="0.67"/>
    <n v="3.8"/>
    <n v="425"/>
    <s v="Yamini Negi,Sandhya,Placeholder,Rajeev"/>
    <n v="4"/>
    <e v="#REF!"/>
    <e v="#REF!"/>
  </r>
  <r>
    <s v="B083GQGT3Z"/>
    <s v="Caprigo Heavy Duty TV"/>
    <x v="11"/>
    <s v="BasicMobiles"/>
    <n v="799"/>
    <n v="399"/>
    <n v="1598"/>
    <n v="798"/>
    <n v="799"/>
    <n v="-800"/>
    <n v="0.5"/>
    <n v="4.0999999999999996"/>
    <n v="1161"/>
    <s v="SNR,Aditya Digambar"/>
    <n v="2"/>
    <e v="#REF!"/>
    <e v="#REF!"/>
  </r>
  <r>
    <s v="B09Q8WQ5QJ"/>
    <s v="Portronics Konnect L 60W"/>
    <x v="13"/>
    <s v="In-Ear"/>
    <n v="499"/>
    <n v="249"/>
    <n v="1497"/>
    <n v="747"/>
    <n v="748.5"/>
    <n v="-750"/>
    <n v="0.5"/>
    <n v="4.0999999999999996"/>
    <n v="1508"/>
    <s v="chandra,Dark Lord,Amazon"/>
    <n v="3"/>
    <e v="#REF!"/>
    <e v="#REF!"/>
  </r>
  <r>
    <s v="B07YZG8PPY"/>
    <s v="TATA SKY HD Connection"/>
    <x v="10"/>
    <s v="Chargers"/>
    <n v="2299"/>
    <n v="1249"/>
    <n v="4598"/>
    <n v="2498"/>
    <n v="2115.08"/>
    <n v="-2100"/>
    <n v="0.46"/>
    <n v="4.3"/>
    <n v="7636"/>
    <s v="Lokesh bhandari,Ajit"/>
    <n v="2"/>
    <e v="#REF!"/>
    <e v="#REF!"/>
  </r>
  <r>
    <s v="B09H39KTTB"/>
    <s v="Remote Compatible for Samsung"/>
    <x v="10"/>
    <s v="AutomobileAccessories"/>
    <n v="499"/>
    <n v="213"/>
    <n v="998"/>
    <n v="426"/>
    <n v="568.8599999999999"/>
    <n v="-572"/>
    <n v="0.56999999999999995"/>
    <n v="3.7"/>
    <n v="246"/>
    <s v="Amazon Customer,Harish"/>
    <n v="2"/>
    <e v="#REF!"/>
    <e v="#REF!"/>
  </r>
  <r>
    <s v="B08DCVRW98"/>
    <s v="SoniVision SA-D10 SA-D100 SA-D40"/>
    <x v="10"/>
    <s v="Chargers"/>
    <n v="499"/>
    <n v="209"/>
    <n v="2994"/>
    <n v="1254"/>
    <n v="1736.5199999999998"/>
    <n v="-1740"/>
    <n v="0.57999999999999996"/>
    <n v="4"/>
    <n v="479"/>
    <s v="ravindra,Thrinath,PD,Prashant,Amazon Customer,Amazon"/>
    <n v="6"/>
    <e v="#REF!"/>
    <e v="#REF!"/>
  </r>
  <r>
    <s v="B0718ZN31Q"/>
    <s v="Rtsâ„¢ High Speed 3D"/>
    <x v="10"/>
    <s v="Cables&amp;Adapters"/>
    <n v="4999"/>
    <n v="598"/>
    <n v="19996"/>
    <n v="2392"/>
    <n v="17596.48"/>
    <n v="-17604"/>
    <n v="0.88"/>
    <n v="4.2"/>
    <n v="910"/>
    <s v="Rohit aggarwal,anbu,Vijay,Nagoju"/>
    <n v="4"/>
    <e v="#REF!"/>
    <e v="#REF!"/>
  </r>
  <r>
    <s v="B0162LYSFS"/>
    <s v="boAt LTG 500 Apple"/>
    <x v="10"/>
    <s v="Photo&amp;VideoAccessories"/>
    <n v="1749"/>
    <n v="799"/>
    <n v="5247"/>
    <n v="2397"/>
    <n v="2833.38"/>
    <n v="-2850"/>
    <n v="0.54"/>
    <n v="4.0999999999999996"/>
    <n v="5626"/>
    <s v="Harihara,Manish Singh,parmar"/>
    <n v="3"/>
    <e v="#REF!"/>
    <e v="#REF!"/>
  </r>
  <r>
    <s v="B07PFJ5VQD"/>
    <s v="Agaro Blaze USBA to"/>
    <x v="10"/>
    <s v="Photo&amp;VideoAccessories"/>
    <n v="595"/>
    <n v="159"/>
    <n v="2380"/>
    <n v="636"/>
    <n v="1737.3999999999999"/>
    <n v="-1744"/>
    <n v="0.73"/>
    <n v="4.3"/>
    <n v="14184"/>
    <s v="Anubhab,Himanshu Yogi,Amit,Chandra"/>
    <n v="4"/>
    <e v="#REF!"/>
    <e v="#REF!"/>
  </r>
  <r>
    <s v="B01J8S6X2I"/>
    <s v="AmazonBasics 6 Feet DisplayPort"/>
    <x v="10"/>
    <s v="Stands"/>
    <n v="1100"/>
    <n v="499"/>
    <n v="4400"/>
    <n v="1996"/>
    <n v="2420"/>
    <n v="-2404"/>
    <n v="0.55000000000000004"/>
    <n v="4.4000000000000004"/>
    <n v="25177"/>
    <s v="sanjay,Hari R.,rohit,Samrat"/>
    <n v="4"/>
    <e v="#REF!"/>
    <e v="#REF!"/>
  </r>
  <r>
    <s v="B09MJ77786"/>
    <s v="MI 108 cm"/>
    <x v="0"/>
    <s v="CableConnectionProtectors"/>
    <n v="49999"/>
    <n v="31999"/>
    <n v="99998"/>
    <n v="63998"/>
    <n v="35999.279999999999"/>
    <n v="-36000"/>
    <n v="0.36"/>
    <n v="4.3"/>
    <n v="21252"/>
    <s v="Amazon Customer,Rampratap"/>
    <n v="2"/>
    <e v="#REF!"/>
    <e v="#REF!"/>
  </r>
  <r>
    <s v="B09NNGHG22"/>
    <s v="Sansui 140cm"/>
    <x v="10"/>
    <s v="DÃ©cor"/>
    <n v="56790"/>
    <n v="32990"/>
    <n v="170370"/>
    <n v="98970"/>
    <n v="71555.399999999994"/>
    <n v="-71400"/>
    <n v="0.42"/>
    <n v="4.3"/>
    <n v="567"/>
    <s v="Prat JD,vishnu,Ankur"/>
    <n v="3"/>
    <e v="#REF!"/>
    <e v="#REF!"/>
  </r>
  <r>
    <s v="B07V5YF4ND"/>
    <s v="LOHAYA LCD/LED Remote Compatible"/>
    <x v="10"/>
    <s v="Maintenance,Upkeep&amp;Repairs"/>
    <n v="1199"/>
    <n v="299"/>
    <n v="2398"/>
    <n v="598"/>
    <n v="1798.5"/>
    <n v="-1800"/>
    <n v="0.75"/>
    <n v="3.5"/>
    <n v="466"/>
    <s v="Rakesh Reddy,Gururaj"/>
    <n v="2"/>
    <e v="#REF!"/>
    <e v="#REF!"/>
  </r>
  <r>
    <s v="B0B65P827P"/>
    <s v="Zebronics CU3100V Fast charging"/>
    <x v="10"/>
    <s v="StylusPens"/>
    <n v="549"/>
    <n v="128.31"/>
    <n v="1098"/>
    <n v="256.62"/>
    <n v="845.46"/>
    <n v="-841.38"/>
    <n v="0.77"/>
    <n v="3.9"/>
    <n v="61"/>
    <s v="samarth shukla,Sanjeev"/>
    <n v="2"/>
    <e v="#REF!"/>
    <e v="#REF!"/>
  </r>
  <r>
    <s v="B084MZYBTV"/>
    <s v="Belkin USB C to"/>
    <x v="10"/>
    <s v="Mounts"/>
    <n v="849"/>
    <n v="599"/>
    <n v="1698"/>
    <n v="1198"/>
    <n v="492.41999999999996"/>
    <n v="-500"/>
    <n v="0.28999999999999998"/>
    <n v="4.5"/>
    <n v="474"/>
    <s v="Manoj kumar,johnny"/>
    <n v="2"/>
    <e v="#REF!"/>
    <e v="#REF!"/>
  </r>
  <r>
    <s v="B097ZQTDVZ"/>
    <s v="7SEVENÂ® TCL Remote Control"/>
    <x v="10"/>
    <s v="Cases&amp;Covers"/>
    <n v="899"/>
    <n v="399"/>
    <n v="2697"/>
    <n v="1197"/>
    <n v="1510.3200000000002"/>
    <n v="-1500"/>
    <n v="0.56000000000000005"/>
    <n v="3.4"/>
    <n v="431"/>
    <s v="umakanth,Sagar Ranpise,Martin"/>
    <n v="3"/>
    <e v="#REF!"/>
    <e v="#REF!"/>
  </r>
  <r>
    <s v="B0B5F3YZY4"/>
    <s v="Wayona 3in1 Nylon Braided"/>
    <x v="10"/>
    <s v="Mounts"/>
    <n v="1099"/>
    <n v="449"/>
    <n v="3297"/>
    <n v="1347"/>
    <n v="1945.23"/>
    <n v="-1950"/>
    <n v="0.59"/>
    <n v="4"/>
    <n v="242"/>
    <s v="saidheeraj ravipati,Ayyappareddy,Tirtha"/>
    <n v="3"/>
    <e v="#REF!"/>
    <e v="#REF!"/>
  </r>
  <r>
    <s v="B09G5TSGXV"/>
    <s v="Hi-Mobiler iPhone Charger Lightning"/>
    <x v="13"/>
    <s v="On-Ear"/>
    <n v="799"/>
    <n v="254"/>
    <n v="3196"/>
    <n v="1016"/>
    <n v="2173.2800000000002"/>
    <n v="-2180"/>
    <n v="0.68"/>
    <n v="4"/>
    <n v="2905"/>
    <s v="Ankita Thakur,Customer,Priyanka,varun"/>
    <n v="4"/>
    <e v="#REF!"/>
    <e v="#REF!"/>
  </r>
  <r>
    <s v="B006LW0WDQ"/>
    <s v="Amazon Basics 16-Gauge Speaker"/>
    <x v="14"/>
    <s v="CameraPrivacyCovers"/>
    <n v="795"/>
    <n v="399"/>
    <n v="2385"/>
    <n v="1197"/>
    <n v="1192.5"/>
    <n v="-1188"/>
    <n v="0.5"/>
    <n v="4.4000000000000004"/>
    <n v="12091"/>
    <s v="HaRshal Kapote,Chaitanya,Prachi"/>
    <n v="3"/>
    <e v="#REF!"/>
    <e v="#REF!"/>
  </r>
  <r>
    <s v="B09YLX91QR"/>
    <s v="Ambrane 60W / 3A"/>
    <x v="15"/>
    <m/>
    <n v="399"/>
    <n v="179"/>
    <n v="798"/>
    <n v="358"/>
    <n v="438.90000000000003"/>
    <n v="-440"/>
    <n v="0.55000000000000004"/>
    <n v="4"/>
    <n v="1423"/>
    <s v="Actual user,Shanti"/>
    <n v="2"/>
    <e v="#REF!"/>
    <e v="#REF!"/>
  </r>
  <r>
    <s v="B081FJWN52"/>
    <s v="Wayona Usb Type C"/>
    <x v="10"/>
    <s v="DÃ©cor"/>
    <n v="999"/>
    <n v="339"/>
    <n v="7992"/>
    <n v="2712"/>
    <n v="5274.72"/>
    <n v="-5280"/>
    <n v="0.66"/>
    <n v="4.3"/>
    <n v="6255"/>
    <s v="SMG,Rohit,roy,Sukumar Ballavolu,Jeeva,Sirajdurvesh,Adhikundhan,Manjit"/>
    <n v="8"/>
    <e v="#REF!"/>
    <e v="#REF!"/>
  </r>
  <r>
    <s v="B0758F7KK7"/>
    <s v="Caprigo Heavy Duty TV"/>
    <x v="10"/>
    <s v="Mounts"/>
    <n v="999"/>
    <n v="399"/>
    <n v="1998"/>
    <n v="798"/>
    <n v="1198.8"/>
    <n v="-1200"/>
    <n v="0.6"/>
    <n v="4"/>
    <n v="1236"/>
    <s v="Jayraj Datta,sachin"/>
    <n v="2"/>
    <e v="#REF!"/>
    <e v="#REF!"/>
  </r>
  <r>
    <s v="B09L835C3V"/>
    <s v="SmashtronicsÂ® - Case for"/>
    <x v="16"/>
    <m/>
    <n v="399"/>
    <n v="199"/>
    <n v="1197"/>
    <n v="597"/>
    <n v="598.5"/>
    <n v="-600"/>
    <n v="0.5"/>
    <n v="4.2"/>
    <n v="1335"/>
    <s v="Princey,Subodh Gupta,Amazon"/>
    <n v="3"/>
    <e v="#REF!"/>
    <e v="#REF!"/>
  </r>
  <r>
    <s v="B098TV3L96"/>
    <s v="Electvision Remote Control for"/>
    <x v="17"/>
    <s v="Mice"/>
    <n v="1999"/>
    <n v="349"/>
    <n v="11994"/>
    <n v="2094"/>
    <n v="9955.0199999999986"/>
    <n v="-9900"/>
    <n v="0.83"/>
    <n v="3.8"/>
    <n v="197"/>
    <s v="Chandu,Satyaganesh,Srihari,Amazon Customer,Krish,Venkat"/>
    <n v="6"/>
    <e v="#REF!"/>
    <e v="#REF!"/>
  </r>
  <r>
    <s v="B08NCKT9FG"/>
    <s v="Boat A 350 Type"/>
    <x v="17"/>
    <s v="GraphicTablets"/>
    <n v="798"/>
    <n v="299"/>
    <n v="5586"/>
    <n v="2093"/>
    <n v="3519.1800000000003"/>
    <n v="-3493"/>
    <n v="0.63"/>
    <n v="4.4000000000000004"/>
    <n v="28791"/>
    <s v="ð•µð–†ð–™ð–Žð–“ ð•®ð–ð–†ð–‰ð–ð–†,palpandia153,Arvind,Nithyadhakshina,Basha_Neerati,shaker,Amazon"/>
    <n v="7"/>
    <e v="#REF!"/>
    <e v="#REF!"/>
  </r>
  <r>
    <s v="B0B4T6MR8N"/>
    <s v="pTron Solero M241 2.4A"/>
    <x v="14"/>
    <s v="Lapdesks"/>
    <n v="800"/>
    <n v="89"/>
    <n v="4000"/>
    <n v="445"/>
    <n v="3560"/>
    <n v="-3555"/>
    <n v="0.89"/>
    <n v="3.9"/>
    <n v="1075"/>
    <s v="Placeholder,à¤¶à¥à¤°à¥€PKà¤œà¥€,Gauri salkar,aQeel,Ashish"/>
    <n v="5"/>
    <e v="#REF!"/>
    <e v="#REF!"/>
  </r>
  <r>
    <s v="B01GGKZ4NU"/>
    <s v="AmazonBasics USB Type-C to"/>
    <x v="14"/>
    <s v="NotebookComputerStands"/>
    <n v="995"/>
    <n v="549"/>
    <n v="1990"/>
    <n v="1098"/>
    <n v="895.5"/>
    <n v="-892"/>
    <n v="0.45"/>
    <n v="4.2"/>
    <n v="29746"/>
    <s v="harpreet,Y Kiran"/>
    <n v="2"/>
    <e v="#REF!"/>
    <e v="#REF!"/>
  </r>
  <r>
    <s v="B09BW2GP18"/>
    <s v="Croma 3A Fast charge"/>
    <x v="17"/>
    <s v="Keyboards"/>
    <n v="1000"/>
    <n v="129"/>
    <n v="1000"/>
    <n v="129"/>
    <n v="870"/>
    <n v="-871"/>
    <n v="0.87"/>
    <n v="3.9"/>
    <n v="295"/>
    <s v="Aneesh See"/>
    <n v="1"/>
    <e v="#REF!"/>
    <e v="#REF!"/>
  </r>
  <r>
    <s v="B09WN3SRC7"/>
    <s v="Sony Bravia 164 cm"/>
    <x v="18"/>
    <m/>
    <n v="139900"/>
    <n v="77990"/>
    <n v="279800"/>
    <n v="155980"/>
    <n v="123112"/>
    <n v="-123820"/>
    <n v="0.44"/>
    <n v="4.7"/>
    <n v="5935"/>
    <s v="David P.,Dr."/>
    <n v="2"/>
    <e v="#REF!"/>
    <e v="#REF!"/>
  </r>
  <r>
    <s v="B09B125CFJ"/>
    <s v="7SEVENÂ® Compatible for Mi"/>
    <x v="19"/>
    <m/>
    <n v="799"/>
    <n v="349"/>
    <n v="799"/>
    <n v="349"/>
    <n v="447.44000000000005"/>
    <n v="-450"/>
    <n v="0.56000000000000005"/>
    <n v="3.6"/>
    <n v="323"/>
    <s v="Rakesh Roshan"/>
    <n v="1"/>
    <e v="#REF!"/>
    <e v="#REF!"/>
  </r>
  <r>
    <s v="B09RQRZW2X"/>
    <s v="7SEVENÂ® Compatible Vu Smart"/>
    <x v="20"/>
    <s v="Stationery"/>
    <n v="899"/>
    <n v="499"/>
    <n v="2697"/>
    <n v="1497"/>
    <n v="1186.68"/>
    <n v="-1200"/>
    <n v="0.44"/>
    <n v="3.7"/>
    <n v="185"/>
    <s v="hema,Lalsangpuia masanga,Mudang"/>
    <n v="3"/>
    <e v="#REF!"/>
    <e v="#REF!"/>
  </r>
  <r>
    <s v="B07924P3C5"/>
    <s v="Storite High Speed Micro"/>
    <x v="21"/>
    <s v="Tape"/>
    <n v="799"/>
    <n v="299"/>
    <n v="1598"/>
    <n v="598"/>
    <n v="1006.74"/>
    <n v="-1000"/>
    <n v="0.63"/>
    <n v="4.2"/>
    <n v="2117"/>
    <s v="Tarun Gupta,Ann"/>
    <n v="2"/>
    <e v="#REF!"/>
    <e v="#REF!"/>
  </r>
  <r>
    <s v="B08N1WL9XW"/>
    <s v="FLiX"/>
    <x v="17"/>
    <s v="Keyboard&amp;MouseSets"/>
    <n v="599"/>
    <n v="182"/>
    <n v="1797"/>
    <n v="546"/>
    <n v="1257.8999999999999"/>
    <n v="-1251"/>
    <n v="0.7"/>
    <n v="4"/>
    <n v="9378"/>
    <s v="$@|\|TO$|-|,Sethu madhav,Akash"/>
    <n v="3"/>
    <e v="#REF!"/>
    <e v="#REF!"/>
  </r>
  <r>
    <s v="B07VVXJ2P5"/>
    <s v="SVM Products Unbreakable Set"/>
    <x v="22"/>
    <m/>
    <n v="399"/>
    <n v="96"/>
    <n v="1596"/>
    <n v="384"/>
    <n v="1212.96"/>
    <n v="-1212"/>
    <n v="0.76"/>
    <n v="3.6"/>
    <n v="1796"/>
    <s v="Samadhan patil,ARUN,govind,kishor"/>
    <n v="4"/>
    <e v="#REF!"/>
    <e v="#REF!"/>
  </r>
  <r>
    <s v="B0BC8BQ432"/>
    <s v="VU 164 cm"/>
    <x v="23"/>
    <m/>
    <n v="85000"/>
    <n v="54990"/>
    <n v="255000"/>
    <n v="164970"/>
    <n v="89249.999999999985"/>
    <n v="-90030"/>
    <n v="0.35"/>
    <n v="4.3"/>
    <n v="3587"/>
    <s v="UtdBuzz,Mukund Nagvenkar,S.R"/>
    <n v="3"/>
    <e v="#REF!"/>
    <e v="#REF!"/>
  </r>
  <r>
    <s v="B06XFTHCNY"/>
    <s v="CableCreation RCA to 3.5mm"/>
    <x v="2"/>
    <s v="Tripods&amp;Monopods"/>
    <n v="758"/>
    <n v="439"/>
    <n v="1516"/>
    <n v="878"/>
    <n v="636.72"/>
    <n v="-638"/>
    <n v="0.42"/>
    <n v="4.2"/>
    <n v="4296"/>
    <s v="Arun Rajappa,Ashish"/>
    <n v="2"/>
    <e v="#REF!"/>
    <e v="#REF!"/>
  </r>
  <r>
    <s v="B08CT62BM1"/>
    <s v="Wayona USB Type C"/>
    <x v="24"/>
    <s v="Scientific"/>
    <n v="999"/>
    <n v="299"/>
    <n v="1998"/>
    <n v="598"/>
    <n v="1398.6"/>
    <n v="-1400"/>
    <n v="0.7"/>
    <n v="4.3"/>
    <n v="2651"/>
    <s v="Soumya R.,sivaramakrishnan"/>
    <n v="2"/>
    <e v="#REF!"/>
    <e v="#REF!"/>
  </r>
  <r>
    <s v="B07CRL2GY6"/>
    <s v="boAt Rugged V3 Braided"/>
    <x v="25"/>
    <m/>
    <n v="799"/>
    <n v="299"/>
    <n v="3196"/>
    <n v="1196"/>
    <n v="2013.48"/>
    <n v="-2000"/>
    <n v="0.63"/>
    <n v="4.2"/>
    <n v="94363"/>
    <s v="Omkar dhale,JD,HEMALATHA,Ajwadh"/>
    <n v="4"/>
    <e v="#REF!"/>
    <e v="#REF!"/>
  </r>
  <r>
    <s v="B07DWFX9YS"/>
    <s v="Amazon Basics USB A"/>
    <x v="2"/>
    <s v="Tripods&amp;Monopods"/>
    <n v="1999"/>
    <n v="789"/>
    <n v="15992"/>
    <n v="6312"/>
    <n v="9755.119999999999"/>
    <n v="-9680"/>
    <n v="0.61"/>
    <n v="4.2"/>
    <n v="34540"/>
    <s v="DINESHWAR,rubhaganth,Gurinder Singh,Nathan,Clyde,shadkhans,K.S.Tanwar,Manish"/>
    <n v="8"/>
    <e v="#REF!"/>
    <e v="#REF!"/>
  </r>
  <r>
    <s v="B01D5H90L4"/>
    <s v="AmazonBasics - High-Speed Male"/>
    <x v="26"/>
    <s v="InkjetInkCartridges"/>
    <n v="700"/>
    <n v="299"/>
    <n v="2100"/>
    <n v="897"/>
    <n v="1196.9999999999998"/>
    <n v="-1203"/>
    <n v="0.56999999999999995"/>
    <n v="4.4000000000000004"/>
    <n v="8714"/>
    <s v="Vikas,Salil P.,PESI"/>
    <n v="3"/>
    <e v="#REF!"/>
    <e v="#REF!"/>
  </r>
  <r>
    <s v="B07F1P8KNV"/>
    <s v="Wayona Nylon Braided USB"/>
    <x v="17"/>
    <s v="Keyboard&amp;MiceAccessories"/>
    <n v="1099"/>
    <n v="325"/>
    <n v="2198"/>
    <n v="650"/>
    <n v="1538.6"/>
    <n v="-1548"/>
    <n v="0.7"/>
    <n v="4.2"/>
    <n v="10576"/>
    <s v="Sunil Funde,Biju"/>
    <n v="2"/>
    <e v="#REF!"/>
    <e v="#REF!"/>
  </r>
  <r>
    <s v="B084N1BM9L"/>
    <s v="Belkin Apple Certified Lightning"/>
    <x v="27"/>
    <s v="GamingMice"/>
    <n v="1999"/>
    <n v="1299"/>
    <n v="5997"/>
    <n v="3897"/>
    <n v="2098.9499999999998"/>
    <n v="-2100"/>
    <n v="0.35"/>
    <n v="4.4000000000000004"/>
    <n v="7318"/>
    <s v="VM,Dilip,The Mango"/>
    <n v="3"/>
    <e v="#REF!"/>
    <e v="#REF!"/>
  </r>
  <r>
    <s v="B09F6D21BY"/>
    <s v="7SEVEN Compatible LG TV"/>
    <x v="28"/>
    <s v="Paints"/>
    <n v="1999"/>
    <n v="790"/>
    <n v="5997"/>
    <n v="2370"/>
    <n v="3598.2"/>
    <n v="-3627"/>
    <n v="0.6"/>
    <n v="3"/>
    <n v="103"/>
    <s v="Jarlina Nath,Sona,Ranjit"/>
    <n v="3"/>
    <e v="#REF!"/>
    <e v="#REF!"/>
  </r>
  <r>
    <s v="B09LQQYNZQ"/>
    <s v="Realme Smart TV Stick"/>
    <x v="17"/>
    <s v="Keyboard&amp;MiceAccessories"/>
    <n v="4699"/>
    <n v="4699"/>
    <n v="14097"/>
    <n v="14097"/>
    <n v="0"/>
    <n v="0"/>
    <n v="0"/>
    <n v="4.5"/>
    <n v="224"/>
    <s v="Sayan Dutta,Harish,Saurabh"/>
    <n v="3"/>
    <e v="#REF!"/>
    <e v="#REF!"/>
  </r>
  <r>
    <s v="B0BC9BW512"/>
    <s v="Acer 100 cm"/>
    <x v="29"/>
    <m/>
    <n v="24990"/>
    <n v="18999"/>
    <n v="124950"/>
    <n v="94995"/>
    <n v="29987.999999999996"/>
    <n v="-29955"/>
    <n v="0.24"/>
    <n v="4.3"/>
    <n v="4702"/>
    <s v="Ayush,ROHIT A.,Kedar,Haran,Santosh"/>
    <n v="5"/>
    <e v="#REF!"/>
    <e v="#REF!"/>
  </r>
  <r>
    <s v="B0B61HYR92"/>
    <s v="Lapster usb 2.0 mantra"/>
    <x v="30"/>
    <s v="Macro&amp;RinglightFlashes"/>
    <n v="999"/>
    <n v="199"/>
    <n v="1998"/>
    <n v="398"/>
    <n v="1598.4"/>
    <n v="-1600"/>
    <n v="0.8"/>
    <n v="4.2"/>
    <n v="85"/>
    <s v="Amit Singh,mahaboob"/>
    <n v="2"/>
    <e v="#REF!"/>
    <e v="#REF!"/>
  </r>
  <r>
    <s v="B075ZTJ9XR"/>
    <s v="AmazonBasics High-Speed Braided HDMI"/>
    <x v="31"/>
    <m/>
    <n v="650"/>
    <n v="269"/>
    <n v="3250"/>
    <n v="1345"/>
    <n v="1917.5"/>
    <n v="-1905"/>
    <n v="0.59"/>
    <n v="4.4000000000000004"/>
    <n v="35877"/>
    <s v="SUSHANT,SANJEEV,R. chatterjee,P.Krishna,Avi"/>
    <n v="5"/>
    <e v="#REF!"/>
    <e v="#REF!"/>
  </r>
  <r>
    <s v="B0978V2CP6"/>
    <s v="Cubetek 3 in 1"/>
    <x v="32"/>
    <m/>
    <n v="3100"/>
    <n v="1990"/>
    <n v="12400"/>
    <n v="7960"/>
    <n v="4464"/>
    <n v="-4440"/>
    <n v="0.36"/>
    <n v="4"/>
    <n v="897"/>
    <s v="meen rajan.,AV,Sreejith,SANDESH"/>
    <n v="4"/>
    <e v="#REF!"/>
    <e v="#REF!"/>
  </r>
  <r>
    <s v="B09LRZYBH1"/>
    <s v="KRISONS Thunder Speaker, Multimedia"/>
    <x v="13"/>
    <s v="Over-Ear"/>
    <n v="3999"/>
    <n v="2299"/>
    <n v="15996"/>
    <n v="9196"/>
    <n v="6878.28"/>
    <n v="-6800"/>
    <n v="0.43"/>
    <n v="3.8"/>
    <n v="282"/>
    <s v="Ajay Singh,sanahanrajkumar,Andy,Perfect"/>
    <n v="4"/>
    <e v="#REF!"/>
    <e v="#REF!"/>
  </r>
  <r>
    <s v="B0B997FBZT"/>
    <s v="Acer 139 cm"/>
    <x v="8"/>
    <s v="BluetoothSpeakers"/>
    <n v="49990"/>
    <n v="35999"/>
    <n v="99980"/>
    <n v="71998"/>
    <n v="27994.400000000001"/>
    <n v="-27982"/>
    <n v="0.28000000000000003"/>
    <n v="4.3"/>
    <n v="1611"/>
    <s v="Moon Tej,Aditya"/>
    <n v="2"/>
    <e v="#REF!"/>
    <e v="#REF!"/>
  </r>
  <r>
    <s v="B098LCVYPW"/>
    <s v="Dealfreez Case Compatible for"/>
    <x v="31"/>
    <m/>
    <n v="999"/>
    <n v="349"/>
    <n v="1998"/>
    <n v="698"/>
    <n v="1298.7"/>
    <n v="-1300"/>
    <n v="0.65"/>
    <n v="4.2"/>
    <n v="513"/>
    <s v="Rohit Bhatnagar,GLEN"/>
    <n v="2"/>
    <e v="#REF!"/>
    <e v="#REF!"/>
  </r>
  <r>
    <s v="B09HV71RL1"/>
    <s v="Wayona Type C to"/>
    <x v="20"/>
    <s v="Stationery"/>
    <n v="1499"/>
    <n v="719"/>
    <n v="2998"/>
    <n v="1438"/>
    <n v="1558.96"/>
    <n v="-1560"/>
    <n v="0.52"/>
    <n v="4.0999999999999996"/>
    <n v="1045"/>
    <s v="Kiran Kolla,Vishal"/>
    <n v="2"/>
    <e v="#REF!"/>
    <e v="#REF!"/>
  </r>
  <r>
    <s v="B08PZ6HZLT"/>
    <s v="VW 80 cm"/>
    <x v="33"/>
    <m/>
    <n v="18999"/>
    <n v="8999"/>
    <n v="56997"/>
    <n v="26997"/>
    <n v="30208.410000000003"/>
    <n v="-30000"/>
    <n v="0.53"/>
    <n v="4"/>
    <n v="6347"/>
    <s v="Ahmad,punnoose wilson,Manoj"/>
    <n v="3"/>
    <e v="#REF!"/>
    <e v="#REF!"/>
  </r>
  <r>
    <s v="B075TJHWVC"/>
    <s v="Airtel Digital TV HD"/>
    <x v="1"/>
    <s v="BluetoothAdapters"/>
    <n v="2299"/>
    <n v="917"/>
    <n v="6897"/>
    <n v="2751"/>
    <n v="4138.2"/>
    <n v="-4146"/>
    <n v="0.6"/>
    <n v="4.2"/>
    <n v="3300"/>
    <s v="Praburaj,Dipen Giri,Santhosh"/>
    <n v="3"/>
    <e v="#REF!"/>
    <e v="#REF!"/>
  </r>
  <r>
    <s v="B09LV13JFB"/>
    <s v="LOHAYA Voice Assistant Remote"/>
    <x v="15"/>
    <s v="USBtoUSBAdapters"/>
    <n v="999"/>
    <n v="399"/>
    <n v="1998"/>
    <n v="798"/>
    <n v="1198.8"/>
    <n v="-1200"/>
    <n v="0.6"/>
    <n v="3.3"/>
    <n v="23"/>
    <s v="Amazon Customer,Amazon"/>
    <n v="2"/>
    <e v="#REF!"/>
    <e v="#REF!"/>
  </r>
  <r>
    <s v="B092BL5DCX"/>
    <s v="Samsung 138 cm"/>
    <x v="2"/>
    <s v="Tripods&amp;Monopods"/>
    <n v="69900"/>
    <n v="45999"/>
    <n v="489300"/>
    <n v="321993"/>
    <n v="166362"/>
    <n v="-167307"/>
    <n v="0.34"/>
    <n v="4.3"/>
    <n v="7109"/>
    <s v="Binu,Sabjan,Ramkapil,User,Amazon Customer,ganesh,basavaraj"/>
    <n v="7"/>
    <e v="#REF!"/>
    <e v="#REF!"/>
  </r>
  <r>
    <s v="B09VH568H7"/>
    <s v="Amazon Brand - Solimo"/>
    <x v="2"/>
    <s v="Film"/>
    <n v="299"/>
    <n v="119"/>
    <n v="598"/>
    <n v="238"/>
    <n v="358.8"/>
    <n v="-360"/>
    <n v="0.6"/>
    <n v="3.8"/>
    <n v="51"/>
    <s v="Sachin Dsouza,Ashrith"/>
    <n v="2"/>
    <e v="#REF!"/>
    <e v="#REF!"/>
  </r>
  <r>
    <s v="B09HQSV46W"/>
    <s v="Mi 100 cm"/>
    <x v="31"/>
    <m/>
    <n v="29999"/>
    <n v="21999"/>
    <n v="59998"/>
    <n v="43998"/>
    <n v="16199.460000000001"/>
    <n v="-16000"/>
    <n v="0.27"/>
    <n v="4.2"/>
    <n v="32840"/>
    <s v="Manoj maddheshiya,Manoj"/>
    <n v="2"/>
    <e v="#REF!"/>
    <e v="#REF!"/>
  </r>
  <r>
    <s v="B08TZD7FQN"/>
    <s v="Astigo Compatible Remote Control"/>
    <x v="34"/>
    <s v="Lamps"/>
    <n v="599"/>
    <n v="299"/>
    <n v="1198"/>
    <n v="598"/>
    <n v="599"/>
    <n v="-600"/>
    <n v="0.5"/>
    <n v="3.7"/>
    <n v="708"/>
    <s v="Amazon Customer,Rahul"/>
    <n v="2"/>
    <e v="#REF!"/>
    <e v="#REF!"/>
  </r>
  <r>
    <s v="B0B21XL94T"/>
    <s v="Toshiba 108 cm"/>
    <x v="2"/>
    <s v="Cleaners"/>
    <n v="34990"/>
    <n v="21990"/>
    <n v="104970"/>
    <n v="65970"/>
    <n v="38838.899999999994"/>
    <n v="-39000"/>
    <n v="0.37"/>
    <n v="4.3"/>
    <n v="1657"/>
    <s v="Mahesh Janardhanan,Prakash,Mohammed"/>
    <n v="3"/>
    <e v="#REF!"/>
    <e v="#REF!"/>
  </r>
  <r>
    <s v="B09PTT8DZF"/>
    <s v="Lenovo USB A to"/>
    <x v="35"/>
    <s v="DomeCameras"/>
    <n v="670"/>
    <n v="417.44"/>
    <n v="1340"/>
    <n v="834.88"/>
    <n v="509.2"/>
    <n v="-505.12"/>
    <n v="0.38"/>
    <n v="3.9"/>
    <n v="523"/>
    <s v="Mohd Arshad,Yogesh"/>
    <n v="2"/>
    <e v="#REF!"/>
    <e v="#REF!"/>
  </r>
  <r>
    <s v="B0B94JPY2N"/>
    <s v="Amazon Brand - Solimo"/>
    <x v="36"/>
    <s v="ScreenProtectors"/>
    <n v="999"/>
    <n v="199"/>
    <n v="999"/>
    <n v="199"/>
    <n v="799.2"/>
    <n v="-800"/>
    <n v="0.8"/>
    <n v="3"/>
    <m/>
    <s v="Pranav"/>
    <n v="1"/>
    <e v="#REF!"/>
    <e v="#REF!"/>
  </r>
  <r>
    <s v="B0B3XXSB1K"/>
    <s v="LG 139 cm"/>
    <x v="27"/>
    <s v="Gamepads"/>
    <n v="79990"/>
    <n v="47990"/>
    <n v="239970"/>
    <n v="143970"/>
    <n v="95988"/>
    <n v="-96000"/>
    <n v="0.4"/>
    <n v="4.3"/>
    <n v="1376"/>
    <s v="Raj Mohammed,Samson,Haroon"/>
    <n v="3"/>
    <e v="#REF!"/>
    <e v="#REF!"/>
  </r>
  <r>
    <s v="B08RZ12GKR"/>
    <s v="Tata Sky Digital TV"/>
    <x v="24"/>
    <s v="Basic"/>
    <n v="499"/>
    <n v="215"/>
    <n v="998"/>
    <n v="430"/>
    <n v="568.8599999999999"/>
    <n v="-568"/>
    <n v="0.56999999999999995"/>
    <n v="3.5"/>
    <n v="121"/>
    <s v="Rajni Gupta,Lakshmipati"/>
    <n v="2"/>
    <e v="#REF!"/>
    <e v="#REF!"/>
  </r>
  <r>
    <s v="B0B4T8RSJ1"/>
    <s v="pTron Solero T241 2.4A"/>
    <x v="37"/>
    <m/>
    <n v="800"/>
    <n v="99"/>
    <n v="4000"/>
    <n v="495"/>
    <n v="3520"/>
    <n v="-3505"/>
    <n v="0.88"/>
    <n v="3.9"/>
    <n v="1075"/>
    <s v="Placeholder,à¤¶à¥à¤°à¥€PKà¤œà¥€,Gauri salkar,aQeel,Ashish"/>
    <n v="5"/>
    <e v="#REF!"/>
    <e v="#REF!"/>
  </r>
  <r>
    <s v="B0B7B9V9QP"/>
    <s v="VU 108 cm"/>
    <x v="38"/>
    <s v="PCMicrophones"/>
    <n v="35000"/>
    <n v="18999"/>
    <n v="70000"/>
    <n v="37998"/>
    <n v="32200"/>
    <n v="-32002"/>
    <n v="0.46"/>
    <n v="4"/>
    <n v="1001"/>
    <s v="Logaraj m,KIRAN"/>
    <n v="2"/>
    <e v="#REF!"/>
    <e v="#REF!"/>
  </r>
  <r>
    <s v="B08XXVXP3J"/>
    <s v="Storite Super Speed USB"/>
    <x v="8"/>
    <s v="OutdoorSpeakers"/>
    <n v="999"/>
    <n v="249"/>
    <n v="3996"/>
    <n v="996"/>
    <n v="2997"/>
    <n v="-3000"/>
    <n v="0.75"/>
    <n v="4.3"/>
    <n v="112"/>
    <s v="Shilpa M,Akash,Aman.MD,Manoj"/>
    <n v="4"/>
    <e v="#REF!"/>
    <e v="#REF!"/>
  </r>
  <r>
    <s v="B06XGWRKYT"/>
    <s v="Kodak 80 cm"/>
    <x v="14"/>
    <s v="Bags&amp;Sleeves"/>
    <n v="15999"/>
    <n v="7999"/>
    <n v="31998"/>
    <n v="15998"/>
    <n v="15999"/>
    <n v="-16000"/>
    <n v="0.5"/>
    <n v="3.8"/>
    <n v="3022"/>
    <s v="Sandip Shingrakhia,Abhishek"/>
    <n v="2"/>
    <e v="#REF!"/>
    <e v="#REF!"/>
  </r>
  <r>
    <s v="B07CWDX49D"/>
    <s v="AmazonBasics Double Braided Nylon"/>
    <x v="39"/>
    <m/>
    <n v="1600"/>
    <n v="649"/>
    <n v="3200"/>
    <n v="1298"/>
    <n v="1888"/>
    <n v="-1902"/>
    <n v="0.59"/>
    <n v="4.3"/>
    <n v="5451"/>
    <s v="Gaurab Chakraborty,Pratik"/>
    <n v="2"/>
    <e v="#REF!"/>
    <e v="#REF!"/>
  </r>
  <r>
    <s v="B09TY4MSH3"/>
    <s v="Firestick Remote"/>
    <x v="0"/>
    <s v="Cables"/>
    <n v="2499"/>
    <n v="1289"/>
    <n v="4998"/>
    <n v="2578"/>
    <n v="2399.04"/>
    <n v="-2420"/>
    <n v="0.48"/>
    <n v="3.3"/>
    <n v="73"/>
    <s v="Harish Thirunahari,Gajanan"/>
    <n v="2"/>
    <e v="#REF!"/>
    <e v="#REF!"/>
  </r>
  <r>
    <s v="B07RY2X9MP"/>
    <s v="AmazonBasics 10.2 Gbps High-Speed"/>
    <x v="40"/>
    <m/>
    <n v="1500"/>
    <n v="609"/>
    <n v="6000"/>
    <n v="2436"/>
    <n v="3540"/>
    <n v="-3564"/>
    <n v="0.59"/>
    <n v="4.5"/>
    <n v="1029"/>
    <s v="saatwik,Mubashir,Arup Datta,Amrut"/>
    <n v="4"/>
    <e v="#REF!"/>
    <e v="#REF!"/>
  </r>
  <r>
    <s v="B0B2C5MJN6"/>
    <s v="Hisense 126 cm"/>
    <x v="41"/>
    <m/>
    <n v="54990"/>
    <n v="32990"/>
    <n v="219960"/>
    <n v="131960"/>
    <n v="87984"/>
    <n v="-88000"/>
    <n v="0.4"/>
    <n v="4.0999999999999996"/>
    <n v="1555"/>
    <s v="yash,Amazon Customer,Nagababu,Krunal"/>
    <n v="4"/>
    <e v="#REF!"/>
    <e v="#REF!"/>
  </r>
  <r>
    <s v="B0BBMGLQDW"/>
    <s v="Tuarso 8K HDMI 2.1"/>
    <x v="42"/>
    <m/>
    <n v="1999"/>
    <n v="599"/>
    <n v="5997"/>
    <n v="1797"/>
    <n v="4197.8999999999996"/>
    <n v="-4200"/>
    <n v="0.7"/>
    <n v="4.2"/>
    <n v="47"/>
    <s v="Jitu,Shan Raj,Brajmohan"/>
    <n v="3"/>
    <e v="#REF!"/>
    <e v="#REF!"/>
  </r>
  <r>
    <s v="B01LONQBDG"/>
    <s v="AmazonBasics USB Type-C to"/>
    <x v="12"/>
    <s v="SecureDigitalCards"/>
    <n v="899"/>
    <n v="349"/>
    <n v="2697"/>
    <n v="1047"/>
    <n v="1645.17"/>
    <n v="-1650"/>
    <n v="0.61"/>
    <n v="4.0999999999999996"/>
    <n v="14896"/>
    <s v="SOURAV DAS,GISHU,Bikkee"/>
    <n v="3"/>
    <e v="#REF!"/>
    <e v="#REF!"/>
  </r>
  <r>
    <s v="B08XXF5V6G"/>
    <s v="Kodak 139 cm"/>
    <x v="10"/>
    <s v="Photo&amp;VideoAccessories"/>
    <n v="50999"/>
    <n v="29999"/>
    <n v="101998"/>
    <n v="59998"/>
    <n v="41819.18"/>
    <n v="-42000"/>
    <n v="0.41"/>
    <n v="4.4000000000000004"/>
    <n v="1712"/>
    <s v="Abhijit Mukherjee,Swetha"/>
    <n v="2"/>
    <e v="#REF!"/>
    <e v="#REF!"/>
  </r>
  <r>
    <s v="B09HK9JH4F"/>
    <s v="SmashtronicsÂ® - Case for"/>
    <x v="38"/>
    <s v="Webcams&amp;VoIPEquipment"/>
    <n v="399"/>
    <n v="199"/>
    <n v="1197"/>
    <n v="597"/>
    <n v="598.5"/>
    <n v="-600"/>
    <n v="0.5"/>
    <n v="4.2"/>
    <n v="1335"/>
    <s v="Princey,Subodh Gupta,Amazon"/>
    <n v="3"/>
    <e v="#REF!"/>
    <e v="#REF!"/>
  </r>
  <r>
    <s v="B09MMD1FDN"/>
    <s v="7SEVENÂ® Suitable Sony Tv"/>
    <x v="14"/>
    <s v="CoolingPads"/>
    <n v="699"/>
    <n v="349"/>
    <n v="1398"/>
    <n v="698"/>
    <n v="699"/>
    <n v="-700"/>
    <n v="0.5"/>
    <n v="3.9"/>
    <n v="214"/>
    <s v="Kalyan Matamarugu,Amazon"/>
    <n v="2"/>
    <e v="#REF!"/>
    <e v="#REF!"/>
  </r>
  <r>
    <s v="B09HN7LD5L"/>
    <s v="PROLEGENDÂ® PL-T002 Universal TV"/>
    <x v="14"/>
    <m/>
    <n v="4500"/>
    <n v="1850"/>
    <n v="13500"/>
    <n v="5550"/>
    <n v="7965"/>
    <n v="-7950"/>
    <n v="0.59"/>
    <n v="4"/>
    <n v="184"/>
    <s v="Geeta,Amazon Customer,Melwin"/>
    <n v="3"/>
    <e v="#REF!"/>
    <e v="#REF!"/>
  </r>
  <r>
    <s v="B0BNDD9TN6"/>
    <s v="WANBO X1 Pro"/>
    <x v="36"/>
    <s v="Stands"/>
    <n v="28900"/>
    <n v="13990"/>
    <n v="115600"/>
    <n v="55960"/>
    <n v="60112"/>
    <n v="-59640"/>
    <n v="0.52"/>
    <n v="4.5"/>
    <n v="7"/>
    <s v="Chandrabose C,parveen,Sid,*"/>
    <n v="4"/>
    <e v="#REF!"/>
    <e v="#REF!"/>
  </r>
  <r>
    <s v="B0941392C8"/>
    <s v="Lava Charging Adapter Elements"/>
    <x v="43"/>
    <m/>
    <n v="449"/>
    <n v="129"/>
    <n v="898"/>
    <n v="258"/>
    <n v="637.57999999999993"/>
    <n v="-640"/>
    <n v="0.71"/>
    <n v="3.7"/>
    <n v="41"/>
    <s v="Love,Jaidev singh"/>
    <n v="2"/>
    <e v="#REF!"/>
    <e v="#REF!"/>
  </r>
  <r>
    <s v="B01M5967SY"/>
    <s v="Tizum High Speed HDMI"/>
    <x v="20"/>
    <s v="Copy&amp;PrintingPaper"/>
    <n v="999"/>
    <n v="379"/>
    <n v="2997"/>
    <n v="1137"/>
    <n v="1858.1399999999999"/>
    <n v="-1860"/>
    <n v="0.62"/>
    <n v="4.2"/>
    <n v="12153"/>
    <s v="Yashpreet Singh,Abiram,Aakaash"/>
    <n v="3"/>
    <e v="#REF!"/>
    <e v="#REF!"/>
  </r>
  <r>
    <s v="B016MDK4F4"/>
    <s v="Technotech High Speed HDMI"/>
    <x v="44"/>
    <m/>
    <n v="499"/>
    <n v="185"/>
    <n v="1996"/>
    <n v="740"/>
    <n v="1257.48"/>
    <n v="-1256"/>
    <n v="0.63"/>
    <n v="4.2"/>
    <n v="25"/>
    <s v="Bapuni,RAJESH SINGH,venkatesh,Rahim"/>
    <n v="4"/>
    <e v="#REF!"/>
    <e v="#REF!"/>
  </r>
  <r>
    <s v="B08G43CCLC"/>
    <s v="NK STAR 950 Mbps"/>
    <x v="8"/>
    <s v="MultimediaSpeakerSystems"/>
    <n v="999"/>
    <n v="218"/>
    <n v="2997"/>
    <n v="654"/>
    <n v="2337.66"/>
    <n v="-2343"/>
    <n v="0.78"/>
    <n v="4.2"/>
    <n v="163"/>
    <s v="Shivakumar,Bijoy Debnath,Pallav"/>
    <n v="3"/>
    <e v="#REF!"/>
    <e v="#REF!"/>
  </r>
  <r>
    <s v="B0B61GCHC1"/>
    <s v="LS LAPSTER Quality Assured"/>
    <x v="45"/>
    <m/>
    <n v="999"/>
    <n v="199"/>
    <n v="1998"/>
    <n v="398"/>
    <n v="1598.4"/>
    <n v="-1600"/>
    <n v="0.8"/>
    <n v="4.3"/>
    <n v="87"/>
    <s v="Suvaraj d.,Rai"/>
    <n v="2"/>
    <e v="#REF!"/>
    <e v="#REF!"/>
  </r>
  <r>
    <s v="B07RX14W1Q"/>
    <s v="Amazon Basics 10.2 Gbps"/>
    <x v="14"/>
    <s v="LaptopChargers&amp;PowerSupplies"/>
    <n v="900"/>
    <n v="499"/>
    <n v="2700"/>
    <n v="1497"/>
    <n v="1215"/>
    <n v="-1203"/>
    <n v="0.45"/>
    <n v="4.4000000000000004"/>
    <n v="2165"/>
    <s v="Willgo Green,chittibabu,Deepak"/>
    <n v="3"/>
    <e v="#REF!"/>
    <e v="#REF!"/>
  </r>
  <r>
    <s v="B09PLD9TCD"/>
    <s v="Kodak 126 cm"/>
    <x v="38"/>
    <s v="PCSpeakers"/>
    <n v="42999"/>
    <n v="26999"/>
    <n v="85998"/>
    <n v="53998"/>
    <n v="31819.26"/>
    <n v="-32000"/>
    <n v="0.37"/>
    <n v="4.2"/>
    <n v="1510"/>
    <s v="Mahesh savale,Sameer"/>
    <n v="2"/>
    <e v="#REF!"/>
    <e v="#REF!"/>
  </r>
  <r>
    <s v="B0B8ZKWGKD"/>
    <s v="ZORBESÂ® Wall Adapter Holder"/>
    <x v="2"/>
    <s v="Batteries&amp;Chargers"/>
    <n v="1052"/>
    <n v="893"/>
    <n v="4208"/>
    <n v="3572"/>
    <n v="631.19999999999993"/>
    <n v="-636"/>
    <n v="0.15"/>
    <n v="4.3"/>
    <n v="106"/>
    <s v="Pranjal,MAHAVIR,Aiyappa Nayaka,Bharat"/>
    <n v="4"/>
    <e v="#REF!"/>
    <e v="#REF!"/>
  </r>
  <r>
    <s v="B09NNJ9WYM"/>
    <s v="Sansui 80cm"/>
    <x v="36"/>
    <s v="Bags,Cases&amp;Sleeves"/>
    <n v="19990"/>
    <n v="10990"/>
    <n v="39980"/>
    <n v="21980"/>
    <n v="17991"/>
    <n v="-18000"/>
    <n v="0.45"/>
    <n v="3.7"/>
    <n v="129"/>
    <s v="Ajay Kumar,Chetan"/>
    <n v="2"/>
    <e v="#REF!"/>
    <e v="#REF!"/>
  </r>
  <r>
    <s v="B08H5L8V1L"/>
    <s v="Synqe USB Type C"/>
    <x v="46"/>
    <s v="DrawingMedia"/>
    <n v="1099"/>
    <n v="379"/>
    <n v="3297"/>
    <n v="1137"/>
    <n v="2176.02"/>
    <n v="-2160"/>
    <n v="0.66"/>
    <n v="4.3"/>
    <n v="3049"/>
    <s v="Sparrsh Sharrma,Pradeep,Sandeep"/>
    <n v="3"/>
    <e v="#REF!"/>
    <e v="#REF!"/>
  </r>
  <r>
    <s v="B0B8CXTTG3"/>
    <s v="MI 80 cm"/>
    <x v="47"/>
    <m/>
    <n v="25999"/>
    <n v="16999"/>
    <n v="51998"/>
    <n v="33998"/>
    <n v="18199.3"/>
    <n v="-18000"/>
    <n v="0.35"/>
    <n v="4.2"/>
    <n v="32840"/>
    <s v="Manoj maddheshiya,Manoj"/>
    <n v="2"/>
    <e v="#REF!"/>
    <e v="#REF!"/>
  </r>
  <r>
    <s v="B09HCH3JZG"/>
    <s v="Bestor Â® 8K Hdmi"/>
    <x v="48"/>
    <m/>
    <n v="1899"/>
    <n v="699"/>
    <n v="3798"/>
    <n v="1398"/>
    <n v="2392.7400000000002"/>
    <n v="-2400"/>
    <n v="0.63"/>
    <n v="4.4000000000000004"/>
    <n v="390"/>
    <s v="Aakaash Ramchandani,ashok"/>
    <n v="2"/>
    <e v="#REF!"/>
    <e v="#REF!"/>
  </r>
  <r>
    <s v="B097JVLW3L"/>
    <s v="Irusu Play VR Plus"/>
    <x v="46"/>
    <s v="DrawingMedia"/>
    <n v="3500"/>
    <n v="2699"/>
    <n v="7000"/>
    <n v="5398"/>
    <n v="1610"/>
    <n v="-1602"/>
    <n v="0.23"/>
    <n v="3.5"/>
    <n v="621"/>
    <s v="Wasim Mulla,PrItHvI"/>
    <n v="2"/>
    <e v="#REF!"/>
    <e v="#REF!"/>
  </r>
  <r>
    <s v="B09SB6SJB4"/>
    <s v="Amazon Brand - Solimo"/>
    <x v="0"/>
    <s v="Cables"/>
    <n v="599"/>
    <n v="129"/>
    <n v="1198"/>
    <n v="258"/>
    <n v="934.44"/>
    <n v="-940"/>
    <n v="0.78"/>
    <n v="4.0999999999999996"/>
    <n v="265"/>
    <s v="jegadheesan,Ajay Kumar"/>
    <n v="2"/>
    <e v="#REF!"/>
    <e v="#REF!"/>
  </r>
  <r>
    <s v="B08NW8GHCJ"/>
    <s v="Synqe USB C to"/>
    <x v="38"/>
    <s v="PCHeadsets"/>
    <n v="999"/>
    <n v="389"/>
    <n v="1998"/>
    <n v="778"/>
    <n v="1218.78"/>
    <n v="-1220"/>
    <n v="0.61"/>
    <n v="4.3"/>
    <n v="838"/>
    <s v="Uzair Drabu,Ravindra"/>
    <n v="2"/>
    <e v="#REF!"/>
    <e v="#REF!"/>
  </r>
  <r>
    <s v="B09YHLPQYT"/>
    <s v="Shopoflux Silicone Remote Cover"/>
    <x v="27"/>
    <s v="GamingKeyboards"/>
    <n v="600"/>
    <n v="246"/>
    <n v="1200"/>
    <n v="492"/>
    <n v="708"/>
    <n v="-708"/>
    <n v="0.59"/>
    <n v="4.2"/>
    <n v="143"/>
    <s v="Hemal Jani,NITIN"/>
    <n v="2"/>
    <e v="#REF!"/>
    <e v="#REF!"/>
  </r>
  <r>
    <s v="B08G1RW2Q3"/>
    <s v="EYNK Extra Long Micro"/>
    <x v="8"/>
    <s v="SoundbarSpeakers"/>
    <n v="799"/>
    <n v="299"/>
    <n v="3995"/>
    <n v="1495"/>
    <n v="2516.85"/>
    <n v="-2500"/>
    <n v="0.63"/>
    <n v="4"/>
    <n v="151"/>
    <s v="Baiju.MS,Preetirawat,Ajit,Ramakant Bairagi,Amazon"/>
    <n v="5"/>
    <e v="#REF!"/>
    <e v="#REF!"/>
  </r>
  <r>
    <s v="B08YXJJW8H"/>
    <s v="LUNAGARIYAÂ®, Protective Case Compatible"/>
    <x v="49"/>
    <m/>
    <n v="399"/>
    <n v="247"/>
    <n v="1197"/>
    <n v="741"/>
    <n v="454.86"/>
    <n v="-456"/>
    <n v="0.38"/>
    <n v="3.9"/>
    <n v="200"/>
    <s v="BRG Goud,Vignesh,Venkureddy"/>
    <n v="3"/>
    <e v="#REF!"/>
    <e v="#REF!"/>
  </r>
  <r>
    <s v="B09P8M18QM"/>
    <s v="7SEVENÂ® Compatible with Fire"/>
    <x v="48"/>
    <s v="InkjetPrinters"/>
    <n v="2999"/>
    <n v="1369"/>
    <n v="5998"/>
    <n v="2738"/>
    <n v="3238.92"/>
    <n v="-3260"/>
    <n v="0.54"/>
    <n v="3.3"/>
    <n v="227"/>
    <s v="Manikantan V,Murali"/>
    <n v="2"/>
    <e v="#REF!"/>
    <e v="#REF!"/>
  </r>
  <r>
    <s v="B08BG4M4N7"/>
    <s v="PRUSHTI COVER AND BAGS,"/>
    <x v="50"/>
    <s v="ColouringPens&amp;Markers"/>
    <n v="499"/>
    <n v="199"/>
    <n v="1996"/>
    <n v="796"/>
    <n v="1197.5999999999999"/>
    <n v="-1200"/>
    <n v="0.6"/>
    <n v="3.8"/>
    <n v="538"/>
    <s v="MATHEW JOSE,Ks,KARTHIK,Kr"/>
    <n v="4"/>
    <e v="#REF!"/>
    <e v="#REF!"/>
  </r>
  <r>
    <s v="B07VJ9ZTXS"/>
    <s v="Aine HDMI Male to"/>
    <x v="27"/>
    <s v="Headsets"/>
    <n v="599"/>
    <n v="299"/>
    <n v="3594"/>
    <n v="1794"/>
    <n v="1797"/>
    <n v="-1800"/>
    <n v="0.5"/>
    <n v="4"/>
    <n v="171"/>
    <s v="Naveen..navee,Tenzing Nawang,Anu,Harie,dena,Anant"/>
    <n v="6"/>
    <e v="#REF!"/>
    <e v="#REF!"/>
  </r>
  <r>
    <s v="B084872DQY"/>
    <s v="MI 80 cm"/>
    <x v="51"/>
    <m/>
    <n v="14999"/>
    <n v="14999"/>
    <n v="29998"/>
    <n v="29998"/>
    <n v="0"/>
    <n v="0"/>
    <n v="0"/>
    <n v="4.3"/>
    <n v="27508"/>
    <s v="MUNIYANDI. D,Rathod"/>
    <n v="2"/>
    <e v="#REF!"/>
    <e v="#REF!"/>
  </r>
  <r>
    <s v="B00GGGOYEU"/>
    <s v="Storite USB 2.0 A"/>
    <x v="1"/>
    <s v="PowerLANAdapters"/>
    <n v="699"/>
    <n v="299"/>
    <n v="2796"/>
    <n v="1196"/>
    <n v="1593.7199999999998"/>
    <n v="-1600"/>
    <n v="0.56999999999999995"/>
    <n v="3.9"/>
    <n v="1454"/>
    <s v="Partha S.,Arvind,Blueraytech,Syed"/>
    <n v="4"/>
    <e v="#REF!"/>
    <e v="#REF!"/>
  </r>
  <r>
    <s v="B08FD2VSD9"/>
    <s v="TCL 108 cm"/>
    <x v="26"/>
    <s v="InkjetInkRefills&amp;Kits"/>
    <n v="51990"/>
    <n v="24990"/>
    <n v="103980"/>
    <n v="49980"/>
    <n v="54069.599999999999"/>
    <n v="-54000"/>
    <n v="0.52"/>
    <n v="4.2"/>
    <n v="2951"/>
    <s v="ESAMPALLI ANUDEEP,Pooja"/>
    <n v="2"/>
    <e v="#REF!"/>
    <e v="#REF!"/>
  </r>
  <r>
    <s v="B0BQRJ3C47"/>
    <s v="REDTECH USB-C to Lightning"/>
    <x v="2"/>
    <s v="PhotoStudio&amp;Lighting"/>
    <n v="999"/>
    <n v="249"/>
    <n v="999"/>
    <n v="249"/>
    <n v="749.25"/>
    <n v="-750"/>
    <n v="0.75"/>
    <n v="5"/>
    <m/>
    <s v="Abdul Gafur"/>
    <n v="1"/>
    <e v="#REF!"/>
    <e v="#REF!"/>
  </r>
  <r>
    <s v="B095JPKPH3"/>
    <s v="OnePlus 163.8 cm"/>
    <x v="24"/>
    <s v="Financial&amp;Business"/>
    <n v="69999"/>
    <n v="61999"/>
    <n v="209997"/>
    <n v="185997"/>
    <n v="23099.670000000002"/>
    <n v="-24000"/>
    <n v="0.11"/>
    <n v="4.0999999999999996"/>
    <n v="6753"/>
    <s v="Rashmi,Raghvendra,Hari Prasad"/>
    <n v="3"/>
    <e v="#REF!"/>
    <e v="#REF!"/>
  </r>
  <r>
    <s v="B087JWLZ2K"/>
    <s v="AmazonBasics 108 cm"/>
    <x v="52"/>
    <m/>
    <n v="50000"/>
    <n v="24499"/>
    <n v="100000"/>
    <n v="48998"/>
    <n v="51000"/>
    <n v="-51002"/>
    <n v="0.51"/>
    <n v="3.9"/>
    <n v="3518"/>
    <s v="Shankar Raman,Johnnie"/>
    <n v="2"/>
    <e v="#REF!"/>
    <e v="#REF!"/>
  </r>
  <r>
    <s v="B09DSXK8JX"/>
    <s v="Kodak 80 cm"/>
    <x v="31"/>
    <m/>
    <n v="19499"/>
    <n v="10499"/>
    <n v="38998"/>
    <n v="20998"/>
    <n v="17939.080000000002"/>
    <n v="-18000"/>
    <n v="0.46"/>
    <n v="4.2"/>
    <n v="1510"/>
    <s v="Mahesh savale,Sameer"/>
    <n v="2"/>
    <e v="#REF!"/>
    <e v="#REF!"/>
  </r>
  <r>
    <s v="B08V9C4B1J"/>
    <s v="Synqe Type C to"/>
    <x v="53"/>
    <m/>
    <n v="999"/>
    <n v="349"/>
    <n v="1998"/>
    <n v="698"/>
    <n v="1298.7"/>
    <n v="-1300"/>
    <n v="0.65"/>
    <n v="4.3"/>
    <n v="838"/>
    <s v="Uzair Drabu,Ravindra"/>
    <n v="2"/>
    <e v="#REF!"/>
    <e v="#REF!"/>
  </r>
  <r>
    <s v="B08PKBMJKS"/>
    <s v="Airtel DigitalTV HD Setup"/>
    <x v="28"/>
    <m/>
    <n v="499"/>
    <n v="197"/>
    <n v="998"/>
    <n v="394"/>
    <n v="608.78"/>
    <n v="-604"/>
    <n v="0.61"/>
    <n v="3.8"/>
    <n v="136"/>
    <s v="Sony Soniyal,Anshul"/>
    <n v="2"/>
    <e v="#REF!"/>
    <e v="#REF!"/>
  </r>
  <r>
    <s v="B0B8VQ7KDS"/>
    <s v="Airtel Digital TV HD"/>
    <x v="26"/>
    <s v="TonerCartridges"/>
    <n v="2499"/>
    <n v="1299"/>
    <n v="4998"/>
    <n v="2598"/>
    <n v="2399.04"/>
    <n v="-2400"/>
    <n v="0.48"/>
    <n v="4.3"/>
    <n v="301"/>
    <s v="Amazon Customer,Chhaya"/>
    <n v="2"/>
    <e v="#REF!"/>
    <e v="#REF!"/>
  </r>
  <r>
    <s v="B086JTMRYL"/>
    <s v="ESR USB C to"/>
    <x v="54"/>
    <s v="Caddies"/>
    <n v="1899"/>
    <n v="1519"/>
    <n v="1899"/>
    <n v="1519"/>
    <n v="379.8"/>
    <n v="-380"/>
    <n v="0.2"/>
    <n v="4.4000000000000004"/>
    <n v="19763"/>
    <s v="Mohammed Auquib"/>
    <n v="1"/>
    <e v="#REF!"/>
    <e v="#REF!"/>
  </r>
  <r>
    <s v="B09RWQ7YR6"/>
    <s v="MI 138.8 cm"/>
    <x v="55"/>
    <m/>
    <n v="69999"/>
    <n v="46999"/>
    <n v="139998"/>
    <n v="93998"/>
    <n v="46199.340000000004"/>
    <n v="-46000"/>
    <n v="0.33"/>
    <n v="4.3"/>
    <n v="21252"/>
    <s v="Amazon Customer,Rampratap"/>
    <n v="2"/>
    <e v="#REF!"/>
    <e v="#REF!"/>
  </r>
  <r>
    <s v="B00OFM6PEO"/>
    <s v="Storite USB Extension Cable"/>
    <x v="56"/>
    <s v="Kettles&amp;HotWaterDispensers"/>
    <n v="799"/>
    <n v="299"/>
    <n v="2397"/>
    <n v="897"/>
    <n v="1510.1100000000001"/>
    <n v="-1500"/>
    <n v="0.63"/>
    <n v="4.3"/>
    <n v="1902"/>
    <s v="Manoj S.,Placeholder,Vanchinathan"/>
    <n v="3"/>
    <e v="#REF!"/>
    <e v="#REF!"/>
  </r>
  <r>
    <s v="B0BF57RN3K"/>
    <s v="Fire-Boltt Ninja Call Pro"/>
    <x v="57"/>
    <s v="ElectricHeaters"/>
    <n v="19999"/>
    <n v="1799"/>
    <n v="79996"/>
    <n v="7196"/>
    <n v="72796.36"/>
    <n v="-72800"/>
    <n v="0.91"/>
    <n v="4.2"/>
    <n v="13937"/>
    <s v="venkatesh kg,Raghuram,YOGESH,Manan"/>
    <n v="4"/>
    <e v="#REF!"/>
    <e v="#REF!"/>
  </r>
  <r>
    <s v="B0B3RRWSF6"/>
    <s v="Fire-Boltt Phoenix Smart Watch"/>
    <x v="57"/>
    <s v="FanHeaters"/>
    <n v="9999"/>
    <n v="1998"/>
    <n v="19998"/>
    <n v="3996"/>
    <n v="15998.400000000001"/>
    <n v="-16002"/>
    <n v="0.8"/>
    <n v="4.3"/>
    <n v="27696"/>
    <s v="yogita ratre,Arun"/>
    <n v="2"/>
    <e v="#REF!"/>
    <e v="#REF!"/>
  </r>
  <r>
    <s v="B0B5B6PQCT"/>
    <s v="boAt Wave Call Smart"/>
    <x v="58"/>
    <s v="Irons,Steamers&amp;Accessories"/>
    <n v="7990"/>
    <n v="1999"/>
    <n v="23970"/>
    <n v="5997"/>
    <n v="17977.5"/>
    <n v="-17973"/>
    <n v="0.75"/>
    <n v="3.8"/>
    <n v="17831"/>
    <s v="AV,Mathan kumar,Amol"/>
    <n v="3"/>
    <e v="#REF!"/>
    <e v="#REF!"/>
  </r>
  <r>
    <s v="B08HV83HL3"/>
    <s v="MI Power Bank 3i"/>
    <x v="56"/>
    <s v="DigitalKitchenScales"/>
    <n v="2199"/>
    <n v="2049"/>
    <n v="4398"/>
    <n v="4098"/>
    <n v="307.86"/>
    <n v="-300"/>
    <n v="7.0000000000000007E-2"/>
    <n v="4.3"/>
    <n v="178912"/>
    <s v="Mahesh Paryani,Tejas"/>
    <n v="2"/>
    <e v="#REF!"/>
    <e v="#REF!"/>
  </r>
  <r>
    <s v="B0BBN4DZBD"/>
    <s v="Redmi A1"/>
    <x v="59"/>
    <s v="ManualChoppers&amp;Chippers"/>
    <n v="8999"/>
    <n v="6499"/>
    <n v="26997"/>
    <n v="19497"/>
    <n v="7559.1600000000008"/>
    <n v="-7500"/>
    <n v="0.28000000000000003"/>
    <n v="4"/>
    <n v="7807"/>
    <s v="Vaishnavi,Rahul meja,Talo"/>
    <n v="3"/>
    <e v="#REF!"/>
    <e v="#REF!"/>
  </r>
  <r>
    <s v="B0B3CPQ5PF"/>
    <s v="OnePlus Nord 2T 5G"/>
    <x v="56"/>
    <s v="InductionCooktop"/>
    <n v="28999"/>
    <n v="28999"/>
    <n v="86997"/>
    <n v="86997"/>
    <n v="0"/>
    <n v="0"/>
    <n v="0"/>
    <n v="4.3"/>
    <n v="17415"/>
    <s v="ASR,Amazon user,Rama"/>
    <n v="3"/>
    <e v="#REF!"/>
    <e v="#REF!"/>
  </r>
  <r>
    <s v="B0B3CQBRB4"/>
    <s v="OnePlus Nord 2T 5G"/>
    <x v="56"/>
    <s v="HandBlenders"/>
    <n v="28999"/>
    <n v="28999"/>
    <n v="86997"/>
    <n v="86997"/>
    <n v="0"/>
    <n v="0"/>
    <n v="0"/>
    <n v="4.3"/>
    <n v="17415"/>
    <s v="ASR,Amazon user,Rama"/>
    <n v="3"/>
    <e v="#REF!"/>
    <e v="#REF!"/>
  </r>
  <r>
    <s v="B0BBN56J5H"/>
    <s v="Redmi A1"/>
    <x v="58"/>
    <s v="Irons,Steamers&amp;Accessories"/>
    <n v="8999"/>
    <n v="6499"/>
    <n v="26997"/>
    <n v="19497"/>
    <n v="7559.1600000000008"/>
    <n v="-7500"/>
    <n v="0.28000000000000003"/>
    <n v="4"/>
    <n v="7807"/>
    <s v="Vaishnavi,Rahul meja,Talo"/>
    <n v="3"/>
    <e v="#REF!"/>
    <e v="#REF!"/>
  </r>
  <r>
    <s v="B0BBN3WF7V"/>
    <s v="Redmi A1"/>
    <x v="56"/>
    <s v="MixerGrinders"/>
    <n v="8999"/>
    <n v="6499"/>
    <n v="26997"/>
    <n v="19497"/>
    <n v="7559.1600000000008"/>
    <n v="-7500"/>
    <n v="0.28000000000000003"/>
    <n v="4"/>
    <n v="7807"/>
    <s v="Vaishnavi,Rahul meja,Talo"/>
    <n v="3"/>
    <e v="#REF!"/>
    <e v="#REF!"/>
  </r>
  <r>
    <s v="B0BDRVFDKP"/>
    <s v="SanDisk UltraÂ® microSDXCâ„¢ UHS-I"/>
    <x v="60"/>
    <s v="InstantWaterHeaters"/>
    <n v="1000"/>
    <n v="569"/>
    <n v="3000"/>
    <n v="1707"/>
    <n v="1290"/>
    <n v="-1293"/>
    <n v="0.43"/>
    <n v="4.4000000000000004"/>
    <n v="67259"/>
    <s v="Prashant,Sumesh Sundararajan,Vijay"/>
    <n v="3"/>
    <e v="#REF!"/>
    <e v="#REF!"/>
  </r>
  <r>
    <s v="B0B5LVS732"/>
    <s v="Noise Pulse Go Buzz"/>
    <x v="57"/>
    <m/>
    <n v="4999"/>
    <n v="1898"/>
    <n v="9998"/>
    <n v="3796"/>
    <n v="6198.76"/>
    <n v="-6202"/>
    <n v="0.62"/>
    <n v="4.0999999999999996"/>
    <n v="10689"/>
    <s v="Sumit Nath,Aneesh"/>
    <n v="2"/>
    <e v="#REF!"/>
    <e v="#REF!"/>
  </r>
  <r>
    <s v="B09V2Q4QVQ"/>
    <s v="Nokia 105 Single SIM,"/>
    <x v="56"/>
    <s v="Kettles&amp;HotWaterDispensers"/>
    <n v="1599"/>
    <n v="1299"/>
    <n v="3198"/>
    <n v="2598"/>
    <n v="607.62"/>
    <n v="-600"/>
    <n v="0.19"/>
    <n v="4"/>
    <n v="128311"/>
    <s v="virender malhotra,Vikas"/>
    <n v="2"/>
    <e v="#REF!"/>
    <e v="#REF!"/>
  </r>
  <r>
    <s v="B09V12K8NT"/>
    <s v="boAt Wave Lite Smartwatch"/>
    <x v="60"/>
    <s v="StorageWaterHeaters"/>
    <n v="6990"/>
    <n v="1499"/>
    <n v="13980"/>
    <n v="2998"/>
    <n v="11044.2"/>
    <n v="-10982"/>
    <n v="0.79"/>
    <n v="3.9"/>
    <n v="21796"/>
    <s v="Prasad Pavithran,Mahesh"/>
    <n v="2"/>
    <e v="#REF!"/>
    <e v="#REF!"/>
  </r>
  <r>
    <s v="B01DEWVZ2C"/>
    <s v="JBL C100SI Wired In"/>
    <x v="60"/>
    <s v="ImmersionRods"/>
    <n v="999"/>
    <n v="599"/>
    <n v="1998"/>
    <n v="1198"/>
    <n v="799.2"/>
    <n v="-800"/>
    <n v="0.4"/>
    <n v="4.0999999999999996"/>
    <n v="192590"/>
    <s v="Sunny J.,Praveen"/>
    <n v="2"/>
    <e v="#REF!"/>
    <e v="#REF!"/>
  </r>
  <r>
    <s v="B0BMGB3CH9"/>
    <s v="Samsung Galaxy M04 Dark"/>
    <x v="56"/>
    <s v="DeepFatFryers"/>
    <n v="11999"/>
    <n v="9499"/>
    <n v="23998"/>
    <n v="18998"/>
    <n v="5039.58"/>
    <n v="-5000"/>
    <n v="0.21"/>
    <n v="4.2"/>
    <n v="284"/>
    <s v="Vishnu VP,P"/>
    <n v="2"/>
    <e v="#REF!"/>
    <e v="#REF!"/>
  </r>
  <r>
    <s v="B08D77XZX5"/>
    <s v="PTron Tangentbeat in-Ear Bluetooth"/>
    <x v="61"/>
    <s v="LaundryBaskets"/>
    <n v="2499"/>
    <n v="599"/>
    <n v="4998"/>
    <n v="1198"/>
    <n v="3798.48"/>
    <n v="-3800"/>
    <n v="0.76"/>
    <n v="3.9"/>
    <n v="58162"/>
    <s v="Suleman saifi,Nidhin"/>
    <n v="2"/>
    <e v="#REF!"/>
    <e v="#REF!"/>
  </r>
  <r>
    <s v="B09XB8GFBQ"/>
    <s v="Redmi 10A"/>
    <x v="56"/>
    <s v="JuicerMixerGrinders"/>
    <n v="11999"/>
    <n v="8999"/>
    <n v="35997"/>
    <n v="26997"/>
    <n v="8999.25"/>
    <n v="-9000"/>
    <n v="0.25"/>
    <n v="4"/>
    <n v="12796"/>
    <s v="Mahantesh,Gaurav Chaubey,uma"/>
    <n v="3"/>
    <e v="#REF!"/>
    <e v="#REF!"/>
  </r>
  <r>
    <s v="B07WG8PDCW"/>
    <s v="pTron Bullet Pro 36W"/>
    <x v="58"/>
    <s v="Vacuums&amp;FloorCare"/>
    <n v="1299"/>
    <n v="349"/>
    <n v="3897"/>
    <n v="1047"/>
    <n v="2844.81"/>
    <n v="-2850"/>
    <n v="0.73"/>
    <n v="4"/>
    <n v="14282"/>
    <s v="Rakesh Roshan,Kani,Amazon"/>
    <n v="3"/>
    <e v="#REF!"/>
    <e v="#REF!"/>
  </r>
  <r>
    <s v="B07GPXXNNG"/>
    <s v="boAt Bassheads 100 in"/>
    <x v="56"/>
    <s v="EggBoilers"/>
    <n v="999"/>
    <n v="349"/>
    <n v="1998"/>
    <n v="698"/>
    <n v="1298.7"/>
    <n v="-1300"/>
    <n v="0.65"/>
    <n v="4.0999999999999996"/>
    <n v="363713"/>
    <s v="tarun kumar,mahesh"/>
    <n v="2"/>
    <e v="#REF!"/>
    <e v="#REF!"/>
  </r>
  <r>
    <s v="B0BDYVC5TD"/>
    <s v="SanDisk UltraÂ® microSDXCâ„¢ UHS-I"/>
    <x v="56"/>
    <s v="SandwichMakers"/>
    <n v="1800"/>
    <n v="959"/>
    <n v="5400"/>
    <n v="2877"/>
    <n v="2538"/>
    <n v="-2523"/>
    <n v="0.47"/>
    <n v="4.4000000000000004"/>
    <n v="67259"/>
    <s v="Prashant,Sumesh Sundararajan,Vijay"/>
    <n v="3"/>
    <e v="#REF!"/>
    <e v="#REF!"/>
  </r>
  <r>
    <s v="B0BMGB2TPR"/>
    <s v="Samsung Galaxy M04 Light"/>
    <x v="56"/>
    <s v="MiniFoodProcessors&amp;Choppers"/>
    <n v="11999"/>
    <n v="9499"/>
    <n v="23998"/>
    <n v="18998"/>
    <n v="5039.58"/>
    <n v="-5000"/>
    <n v="0.21"/>
    <n v="4.2"/>
    <n v="284"/>
    <s v="Vishnu VP,P"/>
    <n v="2"/>
    <e v="#REF!"/>
    <e v="#REF!"/>
  </r>
  <r>
    <s v="B08MC57J31"/>
    <s v="MI 10000mAh Lithium Ion,"/>
    <x v="56"/>
    <s v="DigitalKitchenScales"/>
    <n v="2499"/>
    <n v="1499"/>
    <n v="12495"/>
    <n v="7495"/>
    <n v="4998"/>
    <n v="-5000"/>
    <n v="0.4"/>
    <n v="4.3"/>
    <n v="15970"/>
    <s v="Topchi,Laiju,Taral,R.vijay kumar,Madhurima"/>
    <n v="5"/>
    <e v="#REF!"/>
    <e v="#REF!"/>
  </r>
  <r>
    <s v="B08HVL8QN3"/>
    <s v="Mi 10000mAH Li-Polymer, Micro-USB"/>
    <x v="56"/>
    <s v="VacuumSealers"/>
    <n v="2199"/>
    <n v="1149"/>
    <n v="4398"/>
    <n v="2298"/>
    <n v="2111.04"/>
    <n v="-2100"/>
    <n v="0.48"/>
    <n v="4.3"/>
    <n v="178912"/>
    <s v="Mahesh Paryani,Tejas"/>
    <n v="2"/>
    <e v="#REF!"/>
    <e v="#REF!"/>
  </r>
  <r>
    <s v="B0746JGVDS"/>
    <s v="ELV Car Mount Adjustable"/>
    <x v="62"/>
    <s v="CeilingFans"/>
    <n v="999"/>
    <n v="349"/>
    <n v="2997"/>
    <n v="1047"/>
    <n v="1948.0500000000002"/>
    <n v="-1950"/>
    <n v="0.65"/>
    <n v="3.9"/>
    <n v="46399"/>
    <s v="Debanshu Saha,Dhineshkumar,Amazon"/>
    <n v="3"/>
    <e v="#REF!"/>
    <e v="#REF!"/>
  </r>
  <r>
    <s v="B08VFF6JQ8"/>
    <s v="Samsung 25W USB Travel"/>
    <x v="58"/>
    <s v="PressureWashers,Steam&amp;WindowCleaners"/>
    <n v="1699"/>
    <n v="1219"/>
    <n v="3398"/>
    <n v="2438"/>
    <n v="951.44"/>
    <n v="-960"/>
    <n v="0.28000000000000003"/>
    <n v="4.4000000000000004"/>
    <n v="8891"/>
    <s v="Harsh Saxena,Rishi"/>
    <n v="2"/>
    <e v="#REF!"/>
    <e v="#REF!"/>
  </r>
  <r>
    <s v="B09NVPSCQT"/>
    <s v="Noise ColorFit Pulse Grand"/>
    <x v="57"/>
    <s v="HalogenHeaters"/>
    <n v="3999"/>
    <n v="1599"/>
    <n v="7998"/>
    <n v="3198"/>
    <n v="4798.8"/>
    <n v="-4800"/>
    <n v="0.6"/>
    <n v="4"/>
    <n v="30254"/>
    <s v="Ranjitha Parida,Shubham"/>
    <n v="2"/>
    <e v="#REF!"/>
    <e v="#REF!"/>
  </r>
  <r>
    <s v="B09YV4RG4D"/>
    <s v="Fire-Boltt Ninja 3 Smartwatch"/>
    <x v="56"/>
    <s v="Pop-upToasters"/>
    <n v="7999"/>
    <n v="1499"/>
    <n v="7999"/>
    <n v="1499"/>
    <n v="6479.1900000000005"/>
    <n v="-6500"/>
    <n v="0.81"/>
    <n v="4.2"/>
    <n v="22636"/>
    <s v="Rahul Singh"/>
    <n v="1"/>
    <e v="#REF!"/>
    <e v="#REF!"/>
  </r>
  <r>
    <s v="B09TWHTBKQ"/>
    <s v="Samsung Galaxy M33 5G"/>
    <x v="57"/>
    <s v="HeatConvectors"/>
    <n v="25999"/>
    <n v="18499"/>
    <n v="51998"/>
    <n v="36998"/>
    <n v="15079.419999999998"/>
    <n v="-15000"/>
    <n v="0.28999999999999998"/>
    <n v="4.0999999999999996"/>
    <n v="22318"/>
    <s v="Atulya Sinha,SujayZâ„¢ï¸â˜‘ï¸"/>
    <n v="2"/>
    <e v="#REF!"/>
    <e v="#REF!"/>
  </r>
  <r>
    <s v="B08L5HMJVW"/>
    <s v="SanDisk Ultra microSD UHS-I"/>
    <x v="63"/>
    <s v="CoffeeGrinders"/>
    <n v="700"/>
    <n v="369"/>
    <n v="2100"/>
    <n v="1107"/>
    <n v="987"/>
    <n v="-993"/>
    <n v="0.47"/>
    <n v="4.4000000000000004"/>
    <n v="67259"/>
    <s v="Prashant,Sumesh Sundararajan,Vijay"/>
    <n v="3"/>
    <e v="#REF!"/>
    <e v="#REF!"/>
  </r>
  <r>
    <s v="B0B4F2XCK3"/>
    <s v="Samsung Galaxy M13"/>
    <x v="62"/>
    <s v="ExhaustFans"/>
    <n v="17999"/>
    <n v="12999"/>
    <n v="35998"/>
    <n v="25998"/>
    <n v="10079.44"/>
    <n v="-10000"/>
    <n v="0.28000000000000003"/>
    <n v="4.0999999999999996"/>
    <n v="18998"/>
    <s v="Satheesh Kadiam,Pritom"/>
    <n v="2"/>
    <e v="#REF!"/>
    <e v="#REF!"/>
  </r>
  <r>
    <s v="B0BF54972T"/>
    <s v="Fire-Boltt Ninja Call Pro"/>
    <x v="63"/>
    <s v="DripCoffeeMachines"/>
    <n v="19999"/>
    <n v="1799"/>
    <n v="79996"/>
    <n v="7196"/>
    <n v="72796.36"/>
    <n v="-72800"/>
    <n v="0.91"/>
    <n v="4.2"/>
    <n v="13937"/>
    <s v="venkatesh kg,Raghuram,YOGESH,Manan"/>
    <n v="4"/>
    <e v="#REF!"/>
    <e v="#REF!"/>
  </r>
  <r>
    <s v="B09YV4MW2T"/>
    <s v="Fire-Boltt India's No 1"/>
    <x v="64"/>
    <s v="WaterPurifierAccessories"/>
    <n v="9999"/>
    <n v="2199"/>
    <n v="19998"/>
    <n v="4398"/>
    <n v="15598.44"/>
    <n v="-15600"/>
    <n v="0.78"/>
    <n v="4.2"/>
    <n v="29471"/>
    <s v="Deepankar G.,Babu"/>
    <n v="2"/>
    <e v="#REF!"/>
    <e v="#REF!"/>
  </r>
  <r>
    <s v="B09TWH8YHM"/>
    <s v="Samsung Galaxy M33 5G"/>
    <x v="64"/>
    <s v="WaterCartridges"/>
    <n v="24999"/>
    <n v="16999"/>
    <n v="49998"/>
    <n v="33998"/>
    <n v="15999.36"/>
    <n v="-16000"/>
    <n v="0.32"/>
    <n v="4.0999999999999996"/>
    <n v="22318"/>
    <s v="Atulya Sinha,SujayZâ„¢ï¸â˜‘ï¸"/>
    <n v="2"/>
    <e v="#REF!"/>
    <e v="#REF!"/>
  </r>
  <r>
    <s v="B07WGMMQGP"/>
    <s v="iQOO vivo Z6 5G"/>
    <x v="56"/>
    <s v="Rice&amp;PastaCookers"/>
    <n v="20999"/>
    <n v="16499"/>
    <n v="41998"/>
    <n v="32998"/>
    <n v="8819.58"/>
    <n v="-9000"/>
    <n v="0.21"/>
    <n v="4"/>
    <n v="21350"/>
    <s v="Amazon Customer,Soham"/>
    <n v="2"/>
    <e v="#REF!"/>
    <e v="#REF!"/>
  </r>
  <r>
    <s v="B0BF563HB4"/>
    <s v="Fire-Boltt Ninja Call Pro"/>
    <x v="65"/>
    <s v="AirPurifiers&amp;Ionizers"/>
    <n v="19999"/>
    <n v="1799"/>
    <n v="79996"/>
    <n v="7196"/>
    <n v="72796.36"/>
    <n v="-72800"/>
    <n v="0.91"/>
    <n v="4.2"/>
    <n v="13937"/>
    <s v="venkatesh kg,Raghuram,YOGESH,Manan"/>
    <n v="4"/>
    <e v="#REF!"/>
    <e v="#REF!"/>
  </r>
  <r>
    <s v="B07JW9H4J1"/>
    <s v="Wayona Nylon Braided USB"/>
    <x v="66"/>
    <s v="HEPAAirPurifiers"/>
    <n v="1099"/>
    <n v="399"/>
    <n v="4396"/>
    <n v="1596"/>
    <n v="2813.44"/>
    <n v="-2800"/>
    <n v="0.64"/>
    <n v="4.2"/>
    <n v="24270"/>
    <s v="Manav,Adarsh gupta,Sundeep,S.Sayeed"/>
    <n v="4"/>
    <e v="#REF!"/>
    <e v="#REF!"/>
  </r>
  <r>
    <s v="B09GFPVD9Y"/>
    <s v="Redmi 9 Activ"/>
    <x v="64"/>
    <s v="WaterFilters&amp;Purifiers"/>
    <n v="10999"/>
    <n v="8499"/>
    <n v="10999"/>
    <n v="8499"/>
    <n v="2529.77"/>
    <n v="-2500"/>
    <n v="0.23"/>
    <n v="4.0999999999999996"/>
    <n v="313836"/>
    <s v="Roshan Renji"/>
    <n v="1"/>
    <e v="#REF!"/>
    <e v="#REF!"/>
  </r>
  <r>
    <s v="B09GFLXVH9"/>
    <s v="Redmi 9A Sport"/>
    <x v="61"/>
    <s v="LaundryBags"/>
    <n v="8499"/>
    <n v="6499"/>
    <n v="8499"/>
    <n v="6499"/>
    <n v="2039.76"/>
    <n v="-2000"/>
    <n v="0.24"/>
    <n v="4.0999999999999996"/>
    <n v="313836"/>
    <s v="Roshan Renji"/>
    <n v="1"/>
    <e v="#REF!"/>
    <e v="#REF!"/>
  </r>
  <r>
    <s v="B0BF4YBLPX"/>
    <s v="Fire-Boltt Ninja Call Pro"/>
    <x v="67"/>
    <s v="Sewing&amp;EmbroideryMachines"/>
    <n v="19999"/>
    <n v="1799"/>
    <n v="79996"/>
    <n v="7196"/>
    <n v="72796.36"/>
    <n v="-72800"/>
    <n v="0.91"/>
    <n v="4.2"/>
    <n v="13937"/>
    <s v="venkatesh kg,Raghuram,YOGESH,Manan"/>
    <n v="4"/>
    <e v="#REF!"/>
    <e v="#REF!"/>
  </r>
  <r>
    <s v="B09XB7DPW1"/>
    <s v="Redmi 10A"/>
    <x v="61"/>
    <s v="IroningAccessories"/>
    <n v="11999"/>
    <n v="8999"/>
    <n v="35997"/>
    <n v="26997"/>
    <n v="8999.25"/>
    <n v="-9000"/>
    <n v="0.25"/>
    <n v="4"/>
    <n v="12796"/>
    <s v="Mahantesh,Gaurav Chaubey,uma"/>
    <n v="3"/>
    <e v="#REF!"/>
    <e v="#REF!"/>
  </r>
  <r>
    <s v="B07PFJ5W31"/>
    <s v="AGARO Blaze USB 3.0"/>
    <x v="56"/>
    <s v="HandMixers"/>
    <n v="495"/>
    <n v="139"/>
    <n v="1980"/>
    <n v="556"/>
    <n v="1425.6"/>
    <n v="-1424"/>
    <n v="0.72"/>
    <n v="4.3"/>
    <n v="14185"/>
    <s v="Anubhab,Himanshu Yogi,Amit,Chandra"/>
    <n v="4"/>
    <e v="#REF!"/>
    <e v="#REF!"/>
  </r>
  <r>
    <s v="B0B3N7LR6K"/>
    <s v="Fire-Boltt Visionary 1.78&quot; AMOLED"/>
    <x v="56"/>
    <s v="Mills&amp;Grinders"/>
    <n v="16999"/>
    <n v="3999"/>
    <n v="84995"/>
    <n v="19995"/>
    <n v="64596.2"/>
    <n v="-65000"/>
    <n v="0.76"/>
    <n v="4.3"/>
    <n v="17159"/>
    <s v="Vineet,shreyas,Amazon Customer,shaurya,Kartik"/>
    <n v="5"/>
    <e v="#REF!"/>
    <e v="#REF!"/>
  </r>
  <r>
    <s v="B09ZQK9X8G"/>
    <s v="Noise ColorFit Pro 4"/>
    <x v="56"/>
    <s v="OvenToasterGrills"/>
    <n v="5999"/>
    <n v="2998"/>
    <n v="11998"/>
    <n v="5996"/>
    <n v="5999"/>
    <n v="-6002"/>
    <n v="0.5"/>
    <n v="4.0999999999999996"/>
    <n v="5179"/>
    <s v="Sanjay G.,Vinay"/>
    <n v="2"/>
    <e v="#REF!"/>
    <e v="#REF!"/>
  </r>
  <r>
    <s v="B098NS6PVG"/>
    <s v="Ambrane Unbreakable 60W /"/>
    <x v="56"/>
    <s v="Juicers"/>
    <n v="349"/>
    <n v="199"/>
    <n v="1047"/>
    <n v="597"/>
    <n v="450.21"/>
    <n v="-450"/>
    <n v="0.43"/>
    <n v="4"/>
    <n v="43993"/>
    <s v="ArdKn,Nirbhay kumar,Sagar"/>
    <n v="3"/>
    <e v="#REF!"/>
    <e v="#REF!"/>
  </r>
  <r>
    <s v="B07WJV6P1R"/>
    <s v="iQOO Z6 Lite 5G"/>
    <x v="56"/>
    <m/>
    <n v="18999"/>
    <n v="15499"/>
    <n v="37998"/>
    <n v="30998"/>
    <n v="6839.6399999999994"/>
    <n v="-7000"/>
    <n v="0.18"/>
    <n v="4.0999999999999996"/>
    <n v="19252"/>
    <s v="siddharth patnaik,Dr"/>
    <n v="2"/>
    <e v="#REF!"/>
    <e v="#REF!"/>
  </r>
  <r>
    <s v="B096MSW6CT"/>
    <s v="Sounce Fast Phone Charging"/>
    <x v="68"/>
    <s v="WeighingScales"/>
    <n v="999"/>
    <n v="199"/>
    <n v="4995"/>
    <n v="995"/>
    <n v="3996"/>
    <n v="-4000"/>
    <n v="0.8"/>
    <n v="3.9"/>
    <n v="7928"/>
    <s v="Kunal,Himanshu,viswanath,sai niharka,saqib"/>
    <n v="5"/>
    <e v="#REF!"/>
    <e v="#REF!"/>
  </r>
  <r>
    <s v="B0BF54LXW6"/>
    <s v="Fire-Boltt Ninja Call Pro"/>
    <x v="63"/>
    <s v="EspressoMachines"/>
    <n v="19999"/>
    <n v="1799"/>
    <n v="79996"/>
    <n v="7196"/>
    <n v="72796.36"/>
    <n v="-72800"/>
    <n v="0.91"/>
    <n v="4.2"/>
    <n v="13937"/>
    <s v="venkatesh kg,Raghuram,YOGESH,Manan"/>
    <n v="4"/>
    <e v="#REF!"/>
    <e v="#REF!"/>
  </r>
  <r>
    <s v="B09XB7SRQ5"/>
    <s v="Redmi 10A"/>
    <x v="62"/>
    <s v="TableFans"/>
    <n v="11999"/>
    <n v="8999"/>
    <n v="35997"/>
    <n v="26997"/>
    <n v="8999.25"/>
    <n v="-9000"/>
    <n v="0.25"/>
    <n v="4"/>
    <n v="12796"/>
    <s v="Mahantesh,Gaurav Chaubey,uma"/>
    <n v="3"/>
    <e v="#REF!"/>
    <e v="#REF!"/>
  </r>
  <r>
    <s v="B09FFK1PQG"/>
    <s v="Duracell 38W Fast Car"/>
    <x v="63"/>
    <s v="MilkFrothers"/>
    <n v="1699"/>
    <n v="873"/>
    <n v="1699"/>
    <n v="873"/>
    <n v="832.51"/>
    <n v="-826"/>
    <n v="0.49"/>
    <n v="4.4000000000000004"/>
    <n v="1680"/>
    <s v="Amit Kumar"/>
    <n v="1"/>
    <e v="#REF!"/>
    <e v="#REF!"/>
  </r>
  <r>
    <s v="B09RMQYHLH"/>
    <s v="realme narzo 50"/>
    <x v="69"/>
    <m/>
    <n v="15999"/>
    <n v="12999"/>
    <n v="47997"/>
    <n v="38997"/>
    <n v="9119.43"/>
    <n v="-9000"/>
    <n v="0.19"/>
    <n v="4.2"/>
    <n v="13246"/>
    <s v="ANURAG,RAVINDER RACHERLA,Tamojit"/>
    <n v="3"/>
    <e v="#REF!"/>
    <e v="#REF!"/>
  </r>
  <r>
    <s v="B08ZN4B121"/>
    <s v="WeCool Bluetooth Extendable Selfie"/>
    <x v="56"/>
    <s v="SmallApplianceParts&amp;Accessories"/>
    <n v="1599"/>
    <n v="539"/>
    <n v="7995"/>
    <n v="2695"/>
    <n v="5276.7000000000007"/>
    <n v="-5300"/>
    <n v="0.66"/>
    <n v="3.8"/>
    <n v="14648"/>
    <s v="Shyam,Tushar,vahida,Kapil Chaudhary,Kritish"/>
    <n v="5"/>
    <e v="#REF!"/>
    <e v="#REF!"/>
  </r>
  <r>
    <s v="B0B3RSDSZ3"/>
    <s v="Fire-Boltt Phoenix Smart Watch"/>
    <x v="56"/>
    <s v="YogurtMakers"/>
    <n v="9999"/>
    <n v="1999"/>
    <n v="19998"/>
    <n v="3998"/>
    <n v="15998.400000000001"/>
    <n v="-16000"/>
    <n v="0.8"/>
    <n v="4.3"/>
    <n v="27696"/>
    <s v="yogita ratre,Arun"/>
    <n v="2"/>
    <e v="#REF!"/>
    <e v="#REF!"/>
  </r>
  <r>
    <s v="B08VB34KJ1"/>
    <s v="OPPO A74 5G"/>
    <x v="56"/>
    <s v="Juicers"/>
    <n v="20990"/>
    <n v="15490"/>
    <n v="62970"/>
    <n v="46470"/>
    <n v="16372.2"/>
    <n v="-16500"/>
    <n v="0.26"/>
    <n v="4.2"/>
    <n v="32916"/>
    <s v="Chandra.g,Shan Mohd,Suvajit"/>
    <n v="3"/>
    <e v="#REF!"/>
    <e v="#REF!"/>
  </r>
  <r>
    <s v="B09T39K9YL"/>
    <s v="Redmi Note 11 Pro"/>
    <x v="70"/>
    <s v="Split-SystemAirConditioners"/>
    <n v="24999"/>
    <n v="19999"/>
    <n v="74997"/>
    <n v="59997"/>
    <n v="14999.400000000001"/>
    <n v="-15000"/>
    <n v="0.2"/>
    <n v="3.9"/>
    <n v="25824"/>
    <s v="Indro,Bhavesh Bodat,Amazon"/>
    <n v="3"/>
    <e v="#REF!"/>
    <e v="#REF!"/>
  </r>
  <r>
    <s v="B08VF8V79P"/>
    <s v="Samsung Original 25W USB"/>
    <x v="56"/>
    <s v="SmallApplianceParts&amp;Accessories"/>
    <n v="1699"/>
    <n v="1075"/>
    <n v="3398"/>
    <n v="2150"/>
    <n v="1257.26"/>
    <n v="-1248"/>
    <n v="0.37"/>
    <n v="4.4000000000000004"/>
    <n v="7462"/>
    <s v="Akash V.,Sanket"/>
    <n v="2"/>
    <e v="#REF!"/>
    <e v="#REF!"/>
  </r>
  <r>
    <s v="B08G28Z33M"/>
    <s v="realme Buds Classic Wired"/>
    <x v="56"/>
    <s v="WaffleMakers&amp;Irons"/>
    <n v="699"/>
    <n v="399"/>
    <n v="1398"/>
    <n v="798"/>
    <n v="601.14"/>
    <n v="-600"/>
    <n v="0.43"/>
    <n v="4"/>
    <n v="37817"/>
    <s v="Sankalpa Chakma,Prachi"/>
    <n v="2"/>
    <e v="#REF!"/>
    <e v="#REF!"/>
  </r>
  <r>
    <s v="B09PNKXSKF"/>
    <s v="Noise ColorFit Pulse Grand"/>
    <x v="63"/>
    <s v="StovetopEspressoPots"/>
    <n v="3990"/>
    <n v="1999"/>
    <n v="7980"/>
    <n v="3998"/>
    <n v="3990"/>
    <n v="-3982"/>
    <n v="0.5"/>
    <n v="4"/>
    <n v="30254"/>
    <s v="Ranjitha Parida,Shubham"/>
    <n v="2"/>
    <e v="#REF!"/>
    <e v="#REF!"/>
  </r>
  <r>
    <s v="B0B5DDJNH4"/>
    <s v="boAt Wave Call Smart"/>
    <x v="63"/>
    <s v="CoffeeMakerAccessories"/>
    <n v="7990"/>
    <n v="1999"/>
    <n v="23970"/>
    <n v="5997"/>
    <n v="17977.5"/>
    <n v="-17973"/>
    <n v="0.75"/>
    <n v="3.8"/>
    <n v="17831"/>
    <s v="AV,Mathan kumar,Amol"/>
    <n v="3"/>
    <e v="#REF!"/>
    <e v="#REF!"/>
  </r>
  <r>
    <s v="B08HDJ86NZ"/>
    <s v="boAt Deuce USB 300"/>
    <x v="63"/>
    <s v="CoffeePresses"/>
    <n v="699"/>
    <n v="329"/>
    <n v="2796"/>
    <n v="1316"/>
    <n v="1481.88"/>
    <n v="-1480"/>
    <n v="0.53"/>
    <n v="4.2"/>
    <n v="94364"/>
    <s v="Omkar dhale,JD,HEMALATHA,Ajwadh"/>
    <n v="4"/>
    <e v="#REF!"/>
    <e v="#REF!"/>
  </r>
  <r>
    <s v="B08CF3B7N1"/>
    <s v="Portronics Konnect L 1.2M"/>
    <x v="56"/>
    <s v="RotiMakers"/>
    <n v="399"/>
    <n v="154"/>
    <n v="1197"/>
    <n v="462"/>
    <n v="730.17"/>
    <n v="-735"/>
    <n v="0.61"/>
    <n v="4.2"/>
    <n v="16905"/>
    <s v="rahuls6099,Swasat Borah,Ajay"/>
    <n v="3"/>
    <e v="#REF!"/>
    <e v="#REF!"/>
  </r>
  <r>
    <s v="B07WDKLDRX"/>
    <s v="iQOO Neo 6 5G"/>
    <x v="71"/>
    <s v="FanParts&amp;Accessories"/>
    <n v="34999"/>
    <n v="28999"/>
    <n v="34999"/>
    <n v="28999"/>
    <n v="5949.8300000000008"/>
    <n v="-6000"/>
    <n v="0.17"/>
    <n v="4.4000000000000004"/>
    <n v="20311"/>
    <s v="Goutham Giridhar"/>
    <n v="1"/>
    <e v="#REF!"/>
    <e v="#REF!"/>
  </r>
  <r>
    <s v="B09MQSCJQ1"/>
    <s v="boAt Xtend Smartwatch with"/>
    <x v="56"/>
    <s v="StandMixers"/>
    <n v="7990"/>
    <n v="2299"/>
    <n v="23970"/>
    <n v="6897"/>
    <n v="17018.699999999997"/>
    <n v="-17073"/>
    <n v="0.71"/>
    <n v="4.2"/>
    <n v="69622"/>
    <s v="Andy,Deepak Karki,B"/>
    <n v="3"/>
    <e v="#REF!"/>
    <e v="#REF!"/>
  </r>
  <r>
    <s v="B094YFFSMY"/>
    <s v="Tygot Bluetooth Extendable Selfie"/>
    <x v="62"/>
    <s v="PedestalFans"/>
    <n v="1999"/>
    <n v="399"/>
    <n v="7996"/>
    <n v="1596"/>
    <n v="6396.8"/>
    <n v="-6400"/>
    <n v="0.8"/>
    <n v="4"/>
    <n v="3382"/>
    <s v="Shekhar Badola,Pravin,Kishor,Ananta"/>
    <n v="4"/>
    <e v="#REF!"/>
    <e v="#REF!"/>
  </r>
  <r>
    <s v="B09MT84WV5"/>
    <s v="Samsung EVO Plus 128GB"/>
    <x v="58"/>
    <s v="Vacuums&amp;FloorCare"/>
    <n v="3999"/>
    <n v="1149"/>
    <n v="11997"/>
    <n v="3447"/>
    <n v="8517.869999999999"/>
    <n v="-8550"/>
    <n v="0.71"/>
    <n v="4.3"/>
    <n v="140036"/>
    <s v="Soumendra Pattanayak,Kumar.katukuri,RAJULAPATI"/>
    <n v="3"/>
    <e v="#REF!"/>
    <e v="#REF!"/>
  </r>
  <r>
    <s v="B08VS3YLRK"/>
    <s v="Portronics Adapto 20 Type"/>
    <x v="0"/>
    <s v="Cables"/>
    <n v="1499"/>
    <n v="529"/>
    <n v="4497"/>
    <n v="1587"/>
    <n v="2923.05"/>
    <n v="-2910"/>
    <n v="0.65"/>
    <n v="4.0999999999999996"/>
    <n v="8599"/>
    <s v="pawhnai,Santosh Kumar,Dhruv"/>
    <n v="3"/>
    <e v="#REF!"/>
    <e v="#REF!"/>
  </r>
  <r>
    <s v="B0B4F3QNDM"/>
    <s v="Samsung Galaxy M13 5G"/>
    <x v="1"/>
    <s v="WirelessUSBAdapters"/>
    <n v="19499"/>
    <n v="13999"/>
    <n v="38998"/>
    <n v="27998"/>
    <n v="10919.44"/>
    <n v="-11000"/>
    <n v="0.28000000000000003"/>
    <n v="4.0999999999999996"/>
    <n v="18998"/>
    <s v="Satheesh Kadiam,Pritom"/>
    <n v="2"/>
    <e v="#REF!"/>
    <e v="#REF!"/>
  </r>
  <r>
    <s v="B07GQD4K6L"/>
    <s v="boAt Bassheads 100 in"/>
    <x v="2"/>
    <s v="Cables"/>
    <n v="999"/>
    <n v="379"/>
    <n v="1998"/>
    <n v="758"/>
    <n v="1238.76"/>
    <n v="-1240"/>
    <n v="0.62"/>
    <n v="4.0999999999999996"/>
    <n v="363713"/>
    <s v="tarun kumar,mahesh"/>
    <n v="2"/>
    <e v="#REF!"/>
    <e v="#REF!"/>
  </r>
  <r>
    <s v="B07WDKLRM4"/>
    <s v="iQOO Z6 44W by"/>
    <x v="3"/>
    <s v="SmartTelevisions"/>
    <n v="19999"/>
    <n v="13999"/>
    <n v="39998"/>
    <n v="27998"/>
    <n v="11999.4"/>
    <n v="-12000"/>
    <n v="0.3"/>
    <n v="4.0999999999999996"/>
    <n v="19252"/>
    <s v="siddharth patnaik,Dr"/>
    <n v="2"/>
    <e v="#REF!"/>
    <e v="#REF!"/>
  </r>
  <r>
    <s v="B0BP18W8TM"/>
    <s v="Fire-Boltt Gladiator 1.96&quot; Biggest"/>
    <x v="2"/>
    <s v="RemoteControls"/>
    <n v="9999"/>
    <n v="3999"/>
    <n v="29997"/>
    <n v="11997"/>
    <n v="17998.199999999997"/>
    <n v="-18000"/>
    <n v="0.6"/>
    <n v="4.4000000000000004"/>
    <n v="73"/>
    <s v="Bhathresh,Rohit Bhambhani,Amazon"/>
    <n v="3"/>
    <e v="#REF!"/>
    <e v="#REF!"/>
  </r>
  <r>
    <s v="B08Y1TFSP6"/>
    <s v="pTron Solero TB301 3A"/>
    <x v="3"/>
    <s v="StandardTelevisions"/>
    <n v="1000"/>
    <n v="149"/>
    <n v="4000"/>
    <n v="596"/>
    <n v="3400"/>
    <n v="-3404"/>
    <n v="0.85"/>
    <n v="3.9"/>
    <n v="24870"/>
    <s v="Jayesh,Rajesh k.,Soopy,amazon"/>
    <n v="4"/>
    <e v="#REF!"/>
    <e v="#REF!"/>
  </r>
  <r>
    <s v="B07GXHC691"/>
    <s v="STRIFF PS2_01 Multi Angle"/>
    <x v="2"/>
    <s v="TVMounts,Stands&amp;Turntables"/>
    <n v="499"/>
    <n v="99"/>
    <n v="499"/>
    <n v="99"/>
    <n v="399.20000000000005"/>
    <n v="-400"/>
    <n v="0.8"/>
    <n v="4.3"/>
    <n v="42641"/>
    <s v="Syed Musaddiq"/>
    <n v="1"/>
    <e v="#REF!"/>
    <e v="#REF!"/>
  </r>
  <r>
    <s v="B08FN6WGDQ"/>
    <s v="Samsung Galaxy Buds Live"/>
    <x v="2"/>
    <s v="Cables"/>
    <n v="15990"/>
    <n v="4790"/>
    <n v="31980"/>
    <n v="9580"/>
    <n v="22386"/>
    <n v="-22400"/>
    <n v="0.7"/>
    <n v="4"/>
    <n v="4390"/>
    <s v="Chinmoy Saikia,Zuber"/>
    <n v="2"/>
    <e v="#REF!"/>
    <e v="#REF!"/>
  </r>
  <r>
    <s v="B0B3D39RKV"/>
    <s v="OnePlus Nord 2T 5G"/>
    <x v="2"/>
    <s v="SpeakerAccessories"/>
    <n v="33999"/>
    <n v="33999"/>
    <n v="101997"/>
    <n v="101997"/>
    <n v="0"/>
    <n v="0"/>
    <n v="0"/>
    <n v="4.3"/>
    <n v="17415"/>
    <s v="ASR,Amazon user,Rama"/>
    <n v="3"/>
    <e v="#REF!"/>
    <e v="#REF!"/>
  </r>
  <r>
    <s v="B085HY1DGR"/>
    <s v="Sounce Spiral Charger Cable"/>
    <x v="2"/>
    <s v="Cables"/>
    <n v="999"/>
    <n v="99"/>
    <n v="1998"/>
    <n v="198"/>
    <n v="1798.2"/>
    <n v="-1800"/>
    <n v="0.9"/>
    <n v="4"/>
    <n v="1396"/>
    <s v="Diamond heart,Amazon"/>
    <n v="2"/>
    <e v="#REF!"/>
    <e v="#REF!"/>
  </r>
  <r>
    <s v="B08D75R3Z1"/>
    <s v="PTron Boom Ultima 4D"/>
    <x v="4"/>
    <m/>
    <n v="1900"/>
    <n v="299"/>
    <n v="7600"/>
    <n v="1196"/>
    <n v="6384"/>
    <n v="-6404"/>
    <n v="0.84"/>
    <n v="3.6"/>
    <n v="18202"/>
    <s v="Isfahan A,Anurag,Bhushan,Siddhesh"/>
    <n v="4"/>
    <e v="#REF!"/>
    <e v="#REF!"/>
  </r>
  <r>
    <s v="B0B4F2TTTS"/>
    <s v="Samsung Galaxy M13"/>
    <x v="2"/>
    <s v="Adapters"/>
    <n v="14999"/>
    <n v="10999"/>
    <n v="29998"/>
    <n v="21998"/>
    <n v="8099.4600000000009"/>
    <n v="-8000"/>
    <n v="0.27"/>
    <n v="4.0999999999999996"/>
    <n v="18998"/>
    <s v="Satheesh Kadiam,Pritom"/>
    <n v="2"/>
    <e v="#REF!"/>
    <e v="#REF!"/>
  </r>
  <r>
    <s v="B09WRMNJ9G"/>
    <s v="OnePlus 10R 5G"/>
    <x v="5"/>
    <s v="SatelliteReceivers"/>
    <n v="38999"/>
    <n v="34999"/>
    <n v="116997"/>
    <n v="104997"/>
    <n v="11699.7"/>
    <n v="-12000"/>
    <n v="0.1"/>
    <n v="4.2"/>
    <n v="11029"/>
    <s v="Dinesh Kumar,Saurabh,BIDESH"/>
    <n v="3"/>
    <e v="#REF!"/>
    <e v="#REF!"/>
  </r>
  <r>
    <s v="B0B14MR9L1"/>
    <s v="Samsung Galaxy M33 5G"/>
    <x v="0"/>
    <s v="Cables"/>
    <n v="24999"/>
    <n v="16999"/>
    <n v="49998"/>
    <n v="33998"/>
    <n v="15999.36"/>
    <n v="-16000"/>
    <n v="0.32"/>
    <n v="4.0999999999999996"/>
    <n v="22318"/>
    <s v="Atulya Sinha,SujayZâ„¢ï¸â˜‘ï¸"/>
    <n v="2"/>
    <e v="#REF!"/>
    <e v="#REF!"/>
  </r>
  <r>
    <s v="B09ZPL5VYM"/>
    <s v="Ambrane Mobile Holding Stand,"/>
    <x v="2"/>
    <s v="Cables"/>
    <n v="499"/>
    <n v="199"/>
    <n v="499"/>
    <n v="199"/>
    <n v="299.39999999999998"/>
    <n v="-300"/>
    <n v="0.6"/>
    <n v="4.0999999999999996"/>
    <n v="1786"/>
    <s v="Rohan Kumar"/>
    <n v="1"/>
    <e v="#REF!"/>
    <e v="#REF!"/>
  </r>
  <r>
    <s v="B0993BB11X"/>
    <s v="Ambrane 10000mAh Slim Power"/>
    <x v="6"/>
    <s v="StreamingClients"/>
    <n v="1599"/>
    <n v="999"/>
    <n v="3198"/>
    <n v="1998"/>
    <n v="1215.24"/>
    <n v="-1200"/>
    <n v="0.38"/>
    <n v="4"/>
    <n v="7222"/>
    <s v="RAMKISAN,Pawan Kumar"/>
    <n v="2"/>
    <e v="#REF!"/>
    <e v="#REF!"/>
  </r>
  <r>
    <s v="B09V2PZDX8"/>
    <s v="Nokia 105 Single SIM,"/>
    <x v="7"/>
    <m/>
    <n v="1599"/>
    <n v="1299"/>
    <n v="3198"/>
    <n v="2598"/>
    <n v="607.62"/>
    <n v="-600"/>
    <n v="0.19"/>
    <n v="4"/>
    <n v="128311"/>
    <s v="virender malhotra,Vikas"/>
    <n v="2"/>
    <e v="#REF!"/>
    <e v="#REF!"/>
  </r>
  <r>
    <s v="B085W8CFLH"/>
    <s v="PTron Tangent Lite Bluetooth"/>
    <x v="8"/>
    <s v="TowerSpeakers"/>
    <n v="1800"/>
    <n v="599"/>
    <n v="7200"/>
    <n v="2396"/>
    <n v="4824"/>
    <n v="-4804"/>
    <n v="0.67"/>
    <n v="3.5"/>
    <n v="83996"/>
    <s v="Chyanika,Suprit Sagar,Jindal,Kiran"/>
    <n v="4"/>
    <e v="#REF!"/>
    <e v="#REF!"/>
  </r>
  <r>
    <s v="B09MT6XSFW"/>
    <s v="Samsung EVO Plus 64GB"/>
    <x v="2"/>
    <s v="3DGlasses"/>
    <n v="1899"/>
    <n v="599"/>
    <n v="5697"/>
    <n v="1797"/>
    <n v="3873.9600000000005"/>
    <n v="-3900"/>
    <n v="0.68"/>
    <n v="4.3"/>
    <n v="140036"/>
    <s v="Soumendra Pattanayak,Kumar.katukuri,RAJULAPATI"/>
    <n v="3"/>
    <e v="#REF!"/>
    <e v="#REF!"/>
  </r>
  <r>
    <s v="B07RD611Z8"/>
    <s v="Ambrane 20000mAh Power Bank"/>
    <x v="9"/>
    <m/>
    <n v="2499"/>
    <n v="1799"/>
    <n v="7497"/>
    <n v="5397"/>
    <n v="2099.16"/>
    <n v="-2100"/>
    <n v="0.28000000000000003"/>
    <n v="4.0999999999999996"/>
    <n v="18678"/>
    <s v="Vikrant,Ganesh Gholap,âš¡"/>
    <n v="3"/>
    <e v="#REF!"/>
    <e v="#REF!"/>
  </r>
  <r>
    <s v="B08WRWPM22"/>
    <s v="boAt Micro USB 55"/>
    <x v="10"/>
    <s v="Chargers"/>
    <n v="499"/>
    <n v="176.63"/>
    <n v="998"/>
    <n v="353.26"/>
    <n v="648.70000000000005"/>
    <n v="-644.74"/>
    <n v="0.65"/>
    <n v="4.0999999999999996"/>
    <n v="15189"/>
    <s v="Vivek kumar,Amazon"/>
    <n v="2"/>
    <e v="#REF!"/>
    <e v="#REF!"/>
  </r>
  <r>
    <s v="B0B4F52B5X"/>
    <s v="Samsung Galaxy M13"/>
    <x v="11"/>
    <s v="Smartphones"/>
    <n v="14999"/>
    <n v="10999"/>
    <n v="29998"/>
    <n v="21998"/>
    <n v="8099.4600000000009"/>
    <n v="-8000"/>
    <n v="0.27"/>
    <n v="4.0999999999999996"/>
    <n v="18998"/>
    <s v="Satheesh Kadiam,Pritom"/>
    <n v="2"/>
    <e v="#REF!"/>
    <e v="#REF!"/>
  </r>
  <r>
    <s v="B096VF5YYF"/>
    <s v="boAt Xtend Smartwatch with"/>
    <x v="12"/>
    <s v="MicroSD"/>
    <n v="7990"/>
    <n v="2999"/>
    <n v="23970"/>
    <n v="8997"/>
    <n v="14861.400000000001"/>
    <n v="-14973"/>
    <n v="0.62"/>
    <n v="4.0999999999999996"/>
    <n v="48449"/>
    <s v="archit,Arjun Sen,Divya"/>
    <n v="3"/>
    <e v="#REF!"/>
    <e v="#REF!"/>
  </r>
  <r>
    <s v="B0B5D39BCD"/>
    <s v="boAt Wave Call Smart"/>
    <x v="11"/>
    <s v="BasicMobiles"/>
    <n v="7990"/>
    <n v="1999"/>
    <n v="23970"/>
    <n v="5997"/>
    <n v="17977.5"/>
    <n v="-17973"/>
    <n v="0.75"/>
    <n v="3.8"/>
    <n v="17831"/>
    <s v="AV,Mathan kumar,Amol"/>
    <n v="3"/>
    <e v="#REF!"/>
    <e v="#REF!"/>
  </r>
  <r>
    <s v="B08DDRGWTJ"/>
    <s v="MI Usb Type-C Cable"/>
    <x v="13"/>
    <s v="In-Ear"/>
    <n v="299"/>
    <n v="229"/>
    <n v="299"/>
    <n v="229"/>
    <n v="68.77"/>
    <n v="-70"/>
    <n v="0.23"/>
    <n v="4.3"/>
    <n v="30411"/>
    <s v="Pavan A"/>
    <n v="1"/>
    <e v="#REF!"/>
    <e v="#REF!"/>
  </r>
  <r>
    <s v="B082LZGK39"/>
    <s v="Ambrane Unbreakable 60W /"/>
    <x v="10"/>
    <s v="Chargers"/>
    <n v="299"/>
    <n v="199"/>
    <n v="897"/>
    <n v="597"/>
    <n v="296.01"/>
    <n v="-300"/>
    <n v="0.33"/>
    <n v="4"/>
    <n v="43994"/>
    <s v="ArdKn,Nirbhay kumar,Sagar"/>
    <n v="3"/>
    <e v="#REF!"/>
    <e v="#REF!"/>
  </r>
  <r>
    <s v="B09XBJ1CTN"/>
    <s v="MI Xiaomi 22.5W Fast"/>
    <x v="10"/>
    <s v="AutomobileAccessories"/>
    <n v="999"/>
    <n v="649"/>
    <n v="999"/>
    <n v="649"/>
    <n v="349.65"/>
    <n v="-350"/>
    <n v="0.35"/>
    <n v="4.2"/>
    <n v="1315"/>
    <s v="Dongay Rajasekhar"/>
    <n v="1"/>
    <e v="#REF!"/>
    <e v="#REF!"/>
  </r>
  <r>
    <s v="B0B4F5L738"/>
    <s v="Samsung Galaxy M13 5G"/>
    <x v="10"/>
    <s v="Chargers"/>
    <n v="19499"/>
    <n v="13999"/>
    <n v="38998"/>
    <n v="27998"/>
    <n v="10919.44"/>
    <n v="-11000"/>
    <n v="0.28000000000000003"/>
    <n v="4.0999999999999996"/>
    <n v="18998"/>
    <s v="Satheesh Kadiam,Pritom"/>
    <n v="2"/>
    <e v="#REF!"/>
    <e v="#REF!"/>
  </r>
  <r>
    <s v="B08MTCKDYN"/>
    <s v="Gizga Essentials Spiral Cable"/>
    <x v="10"/>
    <s v="Cables&amp;Adapters"/>
    <n v="299"/>
    <n v="119"/>
    <n v="897"/>
    <n v="357"/>
    <n v="538.20000000000005"/>
    <n v="-540"/>
    <n v="0.6"/>
    <n v="4.0999999999999996"/>
    <n v="5999"/>
    <s v="Velir,Dileep Venigalla,chakrapani"/>
    <n v="3"/>
    <e v="#REF!"/>
    <e v="#REF!"/>
  </r>
  <r>
    <s v="B09QS8V5N8"/>
    <s v="Redmi Note 11"/>
    <x v="10"/>
    <s v="Photo&amp;VideoAccessories"/>
    <n v="17999"/>
    <n v="12999"/>
    <n v="53997"/>
    <n v="38997"/>
    <n v="15119.16"/>
    <n v="-15000"/>
    <n v="0.28000000000000003"/>
    <n v="4.0999999999999996"/>
    <n v="50772"/>
    <s v="Meghnad,Partha Dey,JAIDEV"/>
    <n v="3"/>
    <e v="#REF!"/>
    <e v="#REF!"/>
  </r>
  <r>
    <s v="B08CF3D7QR"/>
    <s v="Portronics Konnect L POR-1081"/>
    <x v="10"/>
    <s v="Photo&amp;VideoAccessories"/>
    <n v="339"/>
    <n v="154"/>
    <n v="1356"/>
    <n v="616"/>
    <n v="745.80000000000007"/>
    <n v="-740"/>
    <n v="0.55000000000000004"/>
    <n v="4.3"/>
    <n v="13391"/>
    <s v="Tanya,Anu,Akshay,Vishal Sagara"/>
    <n v="4"/>
    <e v="#REF!"/>
    <e v="#REF!"/>
  </r>
  <r>
    <s v="B09T2WRLJJ"/>
    <s v="Redmi Note 11 Pro"/>
    <x v="10"/>
    <s v="Stands"/>
    <n v="26999"/>
    <n v="20999"/>
    <n v="80997"/>
    <n v="62997"/>
    <n v="17819.34"/>
    <n v="-18000"/>
    <n v="0.22"/>
    <n v="3.9"/>
    <n v="25824"/>
    <s v="Indro,Bhavesh Bodat,Amazon"/>
    <n v="3"/>
    <e v="#REF!"/>
    <e v="#REF!"/>
  </r>
  <r>
    <s v="B089WB69Y1"/>
    <s v="USB Charger, Oraimo Elite"/>
    <x v="0"/>
    <s v="CableConnectionProtectors"/>
    <n v="649"/>
    <n v="249"/>
    <n v="649"/>
    <n v="249"/>
    <n v="402.38"/>
    <n v="-400"/>
    <n v="0.62"/>
    <n v="4"/>
    <n v="14404"/>
    <s v="Samar Kumar"/>
    <n v="1"/>
    <e v="#REF!"/>
    <e v="#REF!"/>
  </r>
  <r>
    <s v="B0116MIKKC"/>
    <s v="Goldmedal Curve Plus 202042"/>
    <x v="10"/>
    <s v="DÃ©cor"/>
    <n v="171"/>
    <n v="99"/>
    <n v="684"/>
    <n v="396"/>
    <n v="287.27999999999997"/>
    <n v="-288"/>
    <n v="0.42"/>
    <n v="4.5"/>
    <n v="11339"/>
    <s v="paul,Amazon Customer,Atif,Amazon"/>
    <n v="4"/>
    <e v="#REF!"/>
    <e v="#REF!"/>
  </r>
  <r>
    <s v="B09P858DK8"/>
    <s v="WeCool C1 Car Mobile"/>
    <x v="10"/>
    <s v="Maintenance,Upkeep&amp;Repairs"/>
    <n v="1999"/>
    <n v="489"/>
    <n v="5997"/>
    <n v="1467"/>
    <n v="4557.72"/>
    <n v="-4530"/>
    <n v="0.76"/>
    <n v="4"/>
    <n v="3626"/>
    <s v="Santosh Verma,Saravanan,Dr"/>
    <n v="3"/>
    <e v="#REF!"/>
    <e v="#REF!"/>
  </r>
  <r>
    <s v="B07DJLFMPS"/>
    <s v="HP 32GB Class 10"/>
    <x v="10"/>
    <s v="StylusPens"/>
    <n v="1600"/>
    <n v="369"/>
    <n v="1600"/>
    <n v="369"/>
    <n v="1232"/>
    <n v="-1231"/>
    <n v="0.77"/>
    <n v="4"/>
    <n v="32625"/>
    <s v="Ajit Kumar"/>
    <n v="1"/>
    <e v="#REF!"/>
    <e v="#REF!"/>
  </r>
  <r>
    <s v="B07WHQWXL7"/>
    <s v="iQOO Z6 44W by"/>
    <x v="10"/>
    <s v="Mounts"/>
    <n v="20999"/>
    <n v="15499"/>
    <n v="41998"/>
    <n v="30998"/>
    <n v="10919.48"/>
    <n v="-11000"/>
    <n v="0.26"/>
    <n v="4.0999999999999996"/>
    <n v="19252"/>
    <s v="siddharth patnaik,Dr"/>
    <n v="2"/>
    <e v="#REF!"/>
    <e v="#REF!"/>
  </r>
  <r>
    <s v="B07WDK3ZS6"/>
    <s v="iQOO Z6 Lite 5G"/>
    <x v="10"/>
    <s v="Cases&amp;Covers"/>
    <n v="18999"/>
    <n v="15499"/>
    <n v="37998"/>
    <n v="30998"/>
    <n v="6839.6399999999994"/>
    <n v="-7000"/>
    <n v="0.18"/>
    <n v="4.0999999999999996"/>
    <n v="19252"/>
    <s v="siddharth patnaik,Dr"/>
    <n v="2"/>
    <e v="#REF!"/>
    <e v="#REF!"/>
  </r>
  <r>
    <s v="B09T2S8X9C"/>
    <s v="Redmi Note 11 Pro"/>
    <x v="10"/>
    <s v="Mounts"/>
    <n v="28999"/>
    <n v="22999"/>
    <n v="86997"/>
    <n v="68997"/>
    <n v="18269.37"/>
    <n v="-18000"/>
    <n v="0.21"/>
    <n v="3.9"/>
    <n v="25824"/>
    <s v="Indro,Bhavesh Bodat,Amazon"/>
    <n v="3"/>
    <e v="#REF!"/>
    <e v="#REF!"/>
  </r>
  <r>
    <s v="B07S9S86BF"/>
    <s v="boAt Bassheads 242 in"/>
    <x v="13"/>
    <s v="On-Ear"/>
    <n v="1490"/>
    <n v="599"/>
    <n v="8940"/>
    <n v="3594"/>
    <n v="5364"/>
    <n v="-5346"/>
    <n v="0.6"/>
    <n v="4.0999999999999996"/>
    <n v="161679"/>
    <s v="Tanu,THENNARASU,Gatij saini,uday,Rohit,Akshat"/>
    <n v="6"/>
    <e v="#REF!"/>
    <e v="#REF!"/>
  </r>
  <r>
    <s v="B07N8RQ6W7"/>
    <s v="Portronics MODESK POR-122 Universal"/>
    <x v="14"/>
    <s v="CameraPrivacyCovers"/>
    <n v="699"/>
    <n v="134"/>
    <n v="2097"/>
    <n v="402"/>
    <n v="1698.5700000000002"/>
    <n v="-1695"/>
    <n v="0.81"/>
    <n v="4.0999999999999996"/>
    <n v="16685"/>
    <s v="Sethu madhav,Prajwala,Amazon"/>
    <n v="3"/>
    <e v="#REF!"/>
    <e v="#REF!"/>
  </r>
  <r>
    <s v="B09FKDH6FS"/>
    <s v="realme narzo 50i"/>
    <x v="15"/>
    <m/>
    <n v="7999"/>
    <n v="7499"/>
    <n v="15998"/>
    <n v="14998"/>
    <n v="959.88"/>
    <n v="-1000"/>
    <n v="0.06"/>
    <n v="4"/>
    <n v="30907"/>
    <s v="Aditya Jha,Aman"/>
    <n v="2"/>
    <e v="#REF!"/>
    <e v="#REF!"/>
  </r>
  <r>
    <s v="B08HVJCW95"/>
    <s v="MI 10000mAh 3i Lithium"/>
    <x v="10"/>
    <s v="DÃ©cor"/>
    <n v="2199"/>
    <n v="1149"/>
    <n v="4398"/>
    <n v="2298"/>
    <n v="2111.04"/>
    <n v="-2100"/>
    <n v="0.48"/>
    <n v="4.3"/>
    <n v="178912"/>
    <s v="Mahesh Paryani,Tejas"/>
    <n v="2"/>
    <e v="#REF!"/>
    <e v="#REF!"/>
  </r>
  <r>
    <s v="B09YDFDVNS"/>
    <s v="Nokia 105 Plus Single"/>
    <x v="10"/>
    <s v="Mounts"/>
    <n v="1699"/>
    <n v="1324"/>
    <n v="3398"/>
    <n v="2648"/>
    <n v="747.56000000000006"/>
    <n v="-750"/>
    <n v="0.22"/>
    <n v="4"/>
    <n v="128311"/>
    <s v="virender malhotra,Vikas"/>
    <n v="2"/>
    <e v="#REF!"/>
    <e v="#REF!"/>
  </r>
  <r>
    <s v="B07WGPKTS4"/>
    <s v="iQOO Z6 44W by"/>
    <x v="16"/>
    <m/>
    <n v="19999"/>
    <n v="13999"/>
    <n v="39998"/>
    <n v="27998"/>
    <n v="11999.4"/>
    <n v="-12000"/>
    <n v="0.3"/>
    <n v="4.0999999999999996"/>
    <n v="19252"/>
    <s v="siddharth patnaik,Dr"/>
    <n v="2"/>
    <e v="#REF!"/>
    <e v="#REF!"/>
  </r>
  <r>
    <s v="B0789LZTCJ"/>
    <s v="boAt Rugged v3 Extra"/>
    <x v="17"/>
    <s v="Mice"/>
    <n v="799"/>
    <n v="299"/>
    <n v="3196"/>
    <n v="1196"/>
    <n v="2013.48"/>
    <n v="-2000"/>
    <n v="0.63"/>
    <n v="4.2"/>
    <n v="94364"/>
    <s v="Omkar dhale,JD,HEMALATHA,Ajwadh"/>
    <n v="4"/>
    <e v="#REF!"/>
    <e v="#REF!"/>
  </r>
  <r>
    <s v="B09MZCQYHZ"/>
    <s v="Ambrane 10000mAh Slim Power"/>
    <x v="17"/>
    <s v="GraphicTablets"/>
    <n v="1599"/>
    <n v="999"/>
    <n v="3198"/>
    <n v="1998"/>
    <n v="1215.24"/>
    <n v="-1200"/>
    <n v="0.38"/>
    <n v="4"/>
    <n v="7222"/>
    <s v="RAMKISAN,Pawan Kumar"/>
    <n v="2"/>
    <e v="#REF!"/>
    <e v="#REF!"/>
  </r>
  <r>
    <s v="B0B4F2ZWL3"/>
    <s v="Samsung Galaxy M13"/>
    <x v="14"/>
    <s v="Lapdesks"/>
    <n v="17999"/>
    <n v="12999"/>
    <n v="35998"/>
    <n v="25998"/>
    <n v="10079.44"/>
    <n v="-10000"/>
    <n v="0.28000000000000003"/>
    <n v="4.0999999999999996"/>
    <n v="18998"/>
    <s v="Satheesh Kadiam,Pritom"/>
    <n v="2"/>
    <e v="#REF!"/>
    <e v="#REF!"/>
  </r>
  <r>
    <s v="B08VB2CMR3"/>
    <s v="OPPO A74 5G"/>
    <x v="14"/>
    <s v="NotebookComputerStands"/>
    <n v="20990"/>
    <n v="15490"/>
    <n v="62970"/>
    <n v="46470"/>
    <n v="16372.2"/>
    <n v="-16500"/>
    <n v="0.26"/>
    <n v="4.2"/>
    <n v="32916"/>
    <s v="Chandra.g,Shan Mohd,Suvajit"/>
    <n v="3"/>
    <e v="#REF!"/>
    <e v="#REF!"/>
  </r>
  <r>
    <s v="B095RTJH1M"/>
    <s v="Spigen EZ Fit Tempered"/>
    <x v="17"/>
    <s v="Keyboards"/>
    <n v="2899"/>
    <n v="999"/>
    <n v="5798"/>
    <n v="1998"/>
    <n v="3826.6800000000003"/>
    <n v="-3800"/>
    <n v="0.66"/>
    <n v="4.5999999999999996"/>
    <n v="26603"/>
    <s v="Abdul Moiz,Rupesh"/>
    <n v="2"/>
    <e v="#REF!"/>
    <e v="#REF!"/>
  </r>
  <r>
    <s v="B097R25DP7"/>
    <s v="Noise ColorFit Pulse Smartwatch"/>
    <x v="18"/>
    <m/>
    <n v="4999"/>
    <n v="1599"/>
    <n v="9998"/>
    <n v="3198"/>
    <n v="6798.64"/>
    <n v="-6800"/>
    <n v="0.68"/>
    <n v="4"/>
    <n v="67950"/>
    <s v="Ankita Dwivedi,Malathi"/>
    <n v="2"/>
    <e v="#REF!"/>
    <e v="#REF!"/>
  </r>
  <r>
    <s v="B09YDFKJF8"/>
    <s v="Nokia 105 Plus Single"/>
    <x v="19"/>
    <m/>
    <n v="1699"/>
    <n v="1324"/>
    <n v="3398"/>
    <n v="2648"/>
    <n v="747.56000000000006"/>
    <n v="-750"/>
    <n v="0.22"/>
    <n v="4"/>
    <n v="128311"/>
    <s v="virender malhotra,Vikas"/>
    <n v="2"/>
    <e v="#REF!"/>
    <e v="#REF!"/>
  </r>
  <r>
    <s v="B07WDK3ZS2"/>
    <s v="iQOO Z6 Pro 5G"/>
    <x v="20"/>
    <s v="Stationery"/>
    <n v="29990"/>
    <n v="20999"/>
    <n v="89970"/>
    <n v="62997"/>
    <n v="26991"/>
    <n v="-26973"/>
    <n v="0.3"/>
    <n v="4.3"/>
    <n v="9499"/>
    <s v="Thukkaram,Vishnu,Vyshnav g"/>
    <n v="3"/>
    <e v="#REF!"/>
    <e v="#REF!"/>
  </r>
  <r>
    <s v="B08RZ5K9YH"/>
    <s v="MI 33W SonicCharge 2.0"/>
    <x v="21"/>
    <s v="Tape"/>
    <n v="1999"/>
    <n v="999"/>
    <n v="1999"/>
    <n v="999"/>
    <n v="999.5"/>
    <n v="-1000"/>
    <n v="0.5"/>
    <n v="4.3"/>
    <n v="1777"/>
    <s v="sarangam guru"/>
    <n v="1"/>
    <e v="#REF!"/>
    <e v="#REF!"/>
  </r>
  <r>
    <s v="B08444S68L"/>
    <s v="OPPO A31"/>
    <x v="17"/>
    <s v="Keyboard&amp;MouseSets"/>
    <n v="15990"/>
    <n v="12490"/>
    <n v="31980"/>
    <n v="24980"/>
    <n v="7035.6"/>
    <n v="-7000"/>
    <n v="0.22"/>
    <n v="4.2"/>
    <n v="58506"/>
    <s v="Suhail Kazmi,Shivam"/>
    <n v="2"/>
    <e v="#REF!"/>
    <e v="#REF!"/>
  </r>
  <r>
    <s v="B07WHQBZLS"/>
    <s v="iQOO vivo Z6 5G"/>
    <x v="22"/>
    <m/>
    <n v="21990"/>
    <n v="17999"/>
    <n v="43980"/>
    <n v="35998"/>
    <n v="7916.4"/>
    <n v="-7982"/>
    <n v="0.18"/>
    <n v="4"/>
    <n v="21350"/>
    <s v="Amazon Customer,Soham"/>
    <n v="2"/>
    <e v="#REF!"/>
    <e v="#REF!"/>
  </r>
  <r>
    <s v="B085DTN6R2"/>
    <s v="Portronics Konnect CL 20W"/>
    <x v="23"/>
    <m/>
    <n v="899"/>
    <n v="350"/>
    <n v="5394"/>
    <n v="2100"/>
    <n v="3290.34"/>
    <n v="-3294"/>
    <n v="0.61"/>
    <n v="4.2"/>
    <n v="2263"/>
    <s v="Priya,Mansi,Plaban,Vivek,Taufique Ahmed,Praveen"/>
    <n v="6"/>
    <e v="#REF!"/>
    <e v="#REF!"/>
  </r>
  <r>
    <s v="B09JS562TP"/>
    <s v="Motorola a10 Dual Sim"/>
    <x v="2"/>
    <s v="Tripods&amp;Monopods"/>
    <n v="1630"/>
    <n v="1399"/>
    <n v="11410"/>
    <n v="9793"/>
    <n v="1597.4"/>
    <n v="-1617"/>
    <n v="0.14000000000000001"/>
    <n v="4"/>
    <n v="9378"/>
    <s v="Rajasekhar,Dimpal,rajat kumar,akanksha,Noone,Hemavaraprasad,Sachin"/>
    <n v="7"/>
    <e v="#REF!"/>
    <e v="#REF!"/>
  </r>
  <r>
    <s v="B09KLVMZ3B"/>
    <s v="Portronics Konnect L 1.2M"/>
    <x v="24"/>
    <s v="Scientific"/>
    <n v="399"/>
    <n v="159"/>
    <n v="798"/>
    <n v="318"/>
    <n v="478.79999999999995"/>
    <n v="-480"/>
    <n v="0.6"/>
    <n v="4.0999999999999996"/>
    <n v="4768"/>
    <s v="Deepaak Singh,siva"/>
    <n v="2"/>
    <e v="#REF!"/>
    <e v="#REF!"/>
  </r>
  <r>
    <s v="B09V17S2BG"/>
    <s v="boAt Wave Lite Smartwatch"/>
    <x v="25"/>
    <m/>
    <n v="6990"/>
    <n v="1499"/>
    <n v="13980"/>
    <n v="2998"/>
    <n v="11044.2"/>
    <n v="-10982"/>
    <n v="0.79"/>
    <n v="3.9"/>
    <n v="21796"/>
    <s v="Prasad Pavithran,Mahesh"/>
    <n v="2"/>
    <e v="#REF!"/>
    <e v="#REF!"/>
  </r>
  <r>
    <s v="B0B5CGTBKV"/>
    <s v="boAt Wave Call Smart"/>
    <x v="2"/>
    <s v="Tripods&amp;Monopods"/>
    <n v="7990"/>
    <n v="1999"/>
    <n v="23970"/>
    <n v="5997"/>
    <n v="17977.5"/>
    <n v="-17973"/>
    <n v="0.75"/>
    <n v="3.8"/>
    <n v="17833"/>
    <s v="AV,Mathan kumar,Amol"/>
    <n v="3"/>
    <e v="#REF!"/>
    <e v="#REF!"/>
  </r>
  <r>
    <s v="B0B23LW7NV"/>
    <s v="Spigen EZ Fit Tempered"/>
    <x v="26"/>
    <s v="InkjetInkCartridges"/>
    <n v="2899"/>
    <n v="999"/>
    <n v="8697"/>
    <n v="2997"/>
    <n v="5740.02"/>
    <n v="-5700"/>
    <n v="0.66"/>
    <n v="4.7"/>
    <n v="7779"/>
    <s v="VK,Siddhi Prabhudesai,Prashant"/>
    <n v="3"/>
    <e v="#REF!"/>
    <e v="#REF!"/>
  </r>
  <r>
    <s v="B09KGV7WSV"/>
    <s v="KINGONE Upgraded Stylus Pen,"/>
    <x v="17"/>
    <s v="Keyboard&amp;MiceAccessories"/>
    <n v="5999"/>
    <n v="2099"/>
    <n v="5999"/>
    <n v="2099"/>
    <n v="3899.35"/>
    <n v="-3900"/>
    <n v="0.65"/>
    <n v="4.3"/>
    <n v="17129"/>
    <s v="Ishwar Singh"/>
    <n v="1"/>
    <e v="#REF!"/>
    <e v="#REF!"/>
  </r>
  <r>
    <s v="B0971DWFDT"/>
    <s v="Portronics CarPower Mini Car"/>
    <x v="27"/>
    <s v="GamingMice"/>
    <n v="699"/>
    <n v="337"/>
    <n v="2796"/>
    <n v="1348"/>
    <n v="1453.92"/>
    <n v="-1448"/>
    <n v="0.52"/>
    <n v="4.2"/>
    <n v="4969"/>
    <s v="Jeeshan,Siddhant,Amaan Shaikh,Nishant"/>
    <n v="4"/>
    <e v="#REF!"/>
    <e v="#REF!"/>
  </r>
  <r>
    <s v="B0BNV7JM5Y"/>
    <s v="boAt Newly Launched Wave"/>
    <x v="28"/>
    <s v="Paints"/>
    <n v="7990"/>
    <n v="2999"/>
    <n v="23970"/>
    <n v="8997"/>
    <n v="14861.400000000001"/>
    <n v="-14973"/>
    <n v="0.62"/>
    <n v="4.0999999999999996"/>
    <n v="154"/>
    <s v="App,Dr. Rinchin,Priyanka"/>
    <n v="3"/>
    <e v="#REF!"/>
    <e v="#REF!"/>
  </r>
  <r>
    <s v="B0B53QFZPY"/>
    <s v="PTron Newly Launched Force"/>
    <x v="17"/>
    <s v="Keyboard&amp;MiceAccessories"/>
    <n v="5999"/>
    <n v="1299"/>
    <n v="17997"/>
    <n v="3897"/>
    <n v="14037.66"/>
    <n v="-14100"/>
    <n v="0.78"/>
    <n v="3.3"/>
    <n v="4415"/>
    <s v="anurag,Nirmal Singh,Vikas"/>
    <n v="3"/>
    <e v="#REF!"/>
    <e v="#REF!"/>
  </r>
  <r>
    <s v="B083342NKJ"/>
    <s v="MI Braided USB Type-C"/>
    <x v="29"/>
    <m/>
    <n v="399"/>
    <n v="349"/>
    <n v="399"/>
    <n v="349"/>
    <n v="51.870000000000005"/>
    <n v="-50"/>
    <n v="0.13"/>
    <n v="4.4000000000000004"/>
    <n v="18757"/>
    <s v="Birendra ku"/>
    <n v="1"/>
    <e v="#REF!"/>
    <e v="#REF!"/>
  </r>
  <r>
    <s v="B07WJWRNVK"/>
    <s v="iQOO vivo Z6 5G"/>
    <x v="30"/>
    <s v="Macro&amp;RinglightFlashes"/>
    <n v="20990"/>
    <n v="16499"/>
    <n v="41980"/>
    <n v="32998"/>
    <n v="8815.7999999999993"/>
    <n v="-8982"/>
    <n v="0.21"/>
    <n v="4"/>
    <n v="21350"/>
    <s v="Amazon Customer,Soham"/>
    <n v="2"/>
    <e v="#REF!"/>
    <e v="#REF!"/>
  </r>
  <r>
    <s v="B01F25X6RQ"/>
    <s v="Samsung Ehs64 Ehs64Avfwecinu Hands-Free"/>
    <x v="31"/>
    <m/>
    <n v="499"/>
    <n v="499"/>
    <n v="998"/>
    <n v="998"/>
    <n v="0"/>
    <n v="0"/>
    <n v="0"/>
    <n v="4.2"/>
    <n v="31539"/>
    <s v="Ranit Barman,Ravi"/>
    <n v="2"/>
    <e v="#REF!"/>
    <e v="#REF!"/>
  </r>
  <r>
    <s v="B09C6HXFC1"/>
    <s v="Duracell USB Lightning Apple"/>
    <x v="32"/>
    <m/>
    <n v="1799"/>
    <n v="970"/>
    <n v="3598"/>
    <n v="1940"/>
    <n v="1655.0800000000002"/>
    <n v="-1658"/>
    <n v="0.46"/>
    <n v="4.5"/>
    <n v="815"/>
    <s v="Prasannavijayaraghavan G.,Preet"/>
    <n v="2"/>
    <e v="#REF!"/>
    <e v="#REF!"/>
  </r>
  <r>
    <s v="B0B244R4KB"/>
    <s v="Spigen EZ Fit Tempered"/>
    <x v="13"/>
    <s v="Over-Ear"/>
    <n v="2899"/>
    <n v="999"/>
    <n v="5798"/>
    <n v="1998"/>
    <n v="3826.6800000000003"/>
    <n v="-3800"/>
    <n v="0.66"/>
    <n v="4.5999999999999996"/>
    <n v="6129"/>
    <s v="Prabhat Chaudhary,Anil"/>
    <n v="2"/>
    <e v="#REF!"/>
    <e v="#REF!"/>
  </r>
  <r>
    <s v="B0BMGG6NKT"/>
    <s v="Samsung Galaxy M04 Dark"/>
    <x v="8"/>
    <s v="BluetoothSpeakers"/>
    <n v="13499"/>
    <n v="10499"/>
    <n v="26998"/>
    <n v="20998"/>
    <n v="5939.56"/>
    <n v="-6000"/>
    <n v="0.22"/>
    <n v="4.2"/>
    <n v="284"/>
    <s v="Vishnu VP,P"/>
    <n v="2"/>
    <e v="#REF!"/>
    <e v="#REF!"/>
  </r>
  <r>
    <s v="B082LSVT4B"/>
    <s v="Ambrane Unbreakable 60W /"/>
    <x v="31"/>
    <m/>
    <n v="399"/>
    <n v="249"/>
    <n v="1197"/>
    <n v="747"/>
    <n v="454.86"/>
    <n v="-450"/>
    <n v="0.38"/>
    <n v="4"/>
    <n v="43994"/>
    <s v="ArdKn,Nirbhay kumar,Sagar"/>
    <n v="3"/>
    <e v="#REF!"/>
    <e v="#REF!"/>
  </r>
  <r>
    <s v="B092JHPL72"/>
    <s v="SWAPKART Flexible Mobile Tabletop"/>
    <x v="20"/>
    <s v="Stationery"/>
    <n v="999"/>
    <n v="251"/>
    <n v="2997"/>
    <n v="753"/>
    <n v="2247.75"/>
    <n v="-2244"/>
    <n v="0.75"/>
    <n v="3.7"/>
    <n v="3234"/>
    <s v="Sweta B.,YUGANTIKA,Amazon"/>
    <n v="3"/>
    <e v="#REF!"/>
    <e v="#REF!"/>
  </r>
  <r>
    <s v="B08WRBG3XW"/>
    <s v="boAt Type C A325"/>
    <x v="33"/>
    <m/>
    <n v="499"/>
    <n v="199"/>
    <n v="998"/>
    <n v="398"/>
    <n v="598.79999999999995"/>
    <n v="-600"/>
    <n v="0.6"/>
    <n v="4.0999999999999996"/>
    <n v="13045"/>
    <s v="Rohan Narkar,JAGWINDER"/>
    <n v="2"/>
    <e v="#REF!"/>
    <e v="#REF!"/>
  </r>
  <r>
    <s v="B09GFM8CGS"/>
    <s v="Redmi 9A Sport"/>
    <x v="1"/>
    <s v="BluetoothAdapters"/>
    <n v="7999"/>
    <n v="6499"/>
    <n v="7999"/>
    <n v="6499"/>
    <n v="1519.81"/>
    <n v="-1500"/>
    <n v="0.19"/>
    <n v="4.0999999999999996"/>
    <n v="313832"/>
    <s v="Roshan Renji"/>
    <n v="1"/>
    <e v="#REF!"/>
    <e v="#REF!"/>
  </r>
  <r>
    <s v="B0B3MWYCHQ"/>
    <s v="Fire-Boltt Ring 3 Smart"/>
    <x v="15"/>
    <s v="USBtoUSBAdapters"/>
    <n v="9999"/>
    <n v="2999"/>
    <n v="39996"/>
    <n v="11996"/>
    <n v="27997.199999999997"/>
    <n v="-28000"/>
    <n v="0.7"/>
    <n v="4.2"/>
    <n v="20879"/>
    <s v="Anirban,Abhi Khaire,Sachin,Tanisha"/>
    <n v="4"/>
    <e v="#REF!"/>
    <e v="#REF!"/>
  </r>
  <r>
    <s v="B09J2MM5C6"/>
    <s v="Amozo Ultra Hybrid Camera"/>
    <x v="2"/>
    <s v="Tripods&amp;Monopods"/>
    <n v="1499"/>
    <n v="279"/>
    <n v="2998"/>
    <n v="558"/>
    <n v="2428.38"/>
    <n v="-2440"/>
    <n v="0.81"/>
    <n v="4.2"/>
    <n v="2646"/>
    <s v="Deepak Rathod,Yash"/>
    <n v="2"/>
    <e v="#REF!"/>
    <e v="#REF!"/>
  </r>
  <r>
    <s v="B07Q4QV1DL"/>
    <s v="ELV Aluminum Adjustable Mobile"/>
    <x v="2"/>
    <s v="Film"/>
    <n v="1499"/>
    <n v="269"/>
    <n v="1499"/>
    <n v="269"/>
    <n v="1229.1799999999998"/>
    <n v="-1230"/>
    <n v="0.82"/>
    <n v="4.5"/>
    <n v="28978"/>
    <s v="Shaik John"/>
    <n v="1"/>
    <e v="#REF!"/>
    <e v="#REF!"/>
  </r>
  <r>
    <s v="B0B56YRBNT"/>
    <s v="Tecno Spark 9"/>
    <x v="31"/>
    <m/>
    <n v="13499"/>
    <n v="8999"/>
    <n v="40497"/>
    <n v="26997"/>
    <n v="13364.01"/>
    <n v="-13500"/>
    <n v="0.33"/>
    <n v="3.8"/>
    <n v="3145"/>
    <s v="jagdish,Gore Sampat,Amazon"/>
    <n v="3"/>
    <e v="#REF!"/>
    <e v="#REF!"/>
  </r>
  <r>
    <s v="B09NHVCHS9"/>
    <s v="Flix Micro Usb Cable"/>
    <x v="34"/>
    <s v="Lamps"/>
    <n v="199"/>
    <n v="59"/>
    <n v="597"/>
    <n v="177"/>
    <n v="417.9"/>
    <n v="-420"/>
    <n v="0.7"/>
    <n v="4"/>
    <n v="9377"/>
    <s v="$@|\|TO$|-|,Sethu madhav,Akash"/>
    <n v="3"/>
    <e v="#REF!"/>
    <e v="#REF!"/>
  </r>
  <r>
    <s v="B01DF26V7A"/>
    <s v="JBL C100SI Wired In"/>
    <x v="2"/>
    <s v="Cleaners"/>
    <n v="1299"/>
    <n v="599"/>
    <n v="2598"/>
    <n v="1198"/>
    <n v="1402.92"/>
    <n v="-1400"/>
    <n v="0.54"/>
    <n v="4.0999999999999996"/>
    <n v="192589"/>
    <s v="Sunny J.,Praveen"/>
    <n v="2"/>
    <e v="#REF!"/>
    <e v="#REF!"/>
  </r>
  <r>
    <s v="B08K4PSZ3V"/>
    <s v="Tukzer Capacitive Stylus Pen"/>
    <x v="35"/>
    <s v="DomeCameras"/>
    <n v="999"/>
    <n v="349"/>
    <n v="2997"/>
    <n v="1047"/>
    <n v="1948.0500000000002"/>
    <n v="-1950"/>
    <n v="0.65"/>
    <n v="3.8"/>
    <n v="16557"/>
    <s v="Sneha Suyal,Maheswaran,Vamsi"/>
    <n v="3"/>
    <e v="#REF!"/>
    <e v="#REF!"/>
  </r>
  <r>
    <s v="B0B4F1YC3J"/>
    <s v="Samsung Galaxy M13 5G"/>
    <x v="36"/>
    <s v="ScreenProtectors"/>
    <n v="19499"/>
    <n v="13999"/>
    <n v="38998"/>
    <n v="27998"/>
    <n v="10919.44"/>
    <n v="-11000"/>
    <n v="0.28000000000000003"/>
    <n v="4.0999999999999996"/>
    <n v="18998"/>
    <s v="Satheesh Kadiam,Pritom"/>
    <n v="2"/>
    <e v="#REF!"/>
    <e v="#REF!"/>
  </r>
  <r>
    <s v="B08K4RDQ71"/>
    <s v="Tukzer Capacitive Stylus Pen"/>
    <x v="27"/>
    <s v="Gamepads"/>
    <n v="999"/>
    <n v="349"/>
    <n v="2997"/>
    <n v="1047"/>
    <n v="1948.0500000000002"/>
    <n v="-1950"/>
    <n v="0.65"/>
    <n v="3.8"/>
    <n v="16557"/>
    <s v="Sneha Suyal,Maheswaran,Vamsi"/>
    <n v="3"/>
    <e v="#REF!"/>
    <e v="#REF!"/>
  </r>
  <r>
    <s v="B085CZ3SR1"/>
    <s v="Mi 10W Wall Charger"/>
    <x v="24"/>
    <s v="Basic"/>
    <n v="599"/>
    <n v="499"/>
    <n v="1198"/>
    <n v="998"/>
    <n v="203.66000000000003"/>
    <n v="-200"/>
    <n v="0.17"/>
    <n v="4.2"/>
    <n v="21916"/>
    <s v="Rajan Raju,Ajay"/>
    <n v="2"/>
    <e v="#REF!"/>
    <e v="#REF!"/>
  </r>
  <r>
    <s v="B09YV3K34W"/>
    <s v="Fire-Boltt India's No 1"/>
    <x v="37"/>
    <m/>
    <n v="9999"/>
    <n v="2199"/>
    <n v="19998"/>
    <n v="4398"/>
    <n v="15598.44"/>
    <n v="-15600"/>
    <n v="0.78"/>
    <n v="4.2"/>
    <n v="29472"/>
    <s v="Deepankar G.,Babu"/>
    <n v="2"/>
    <e v="#REF!"/>
    <e v="#REF!"/>
  </r>
  <r>
    <s v="B09Z6WH2N1"/>
    <s v="STRIFF 12 Pieces Highly"/>
    <x v="38"/>
    <s v="PCMicrophones"/>
    <n v="499"/>
    <n v="95"/>
    <n v="998"/>
    <n v="190"/>
    <n v="808.38000000000011"/>
    <n v="-808"/>
    <n v="0.81"/>
    <n v="4.2"/>
    <n v="1949"/>
    <s v="Santosh Kumar,Prateek"/>
    <n v="2"/>
    <e v="#REF!"/>
    <e v="#REF!"/>
  </r>
  <r>
    <s v="B09NL4DJ2Z"/>
    <s v="FLiX"/>
    <x v="8"/>
    <s v="OutdoorSpeakers"/>
    <n v="249"/>
    <n v="139"/>
    <n v="747"/>
    <n v="417"/>
    <n v="328.68"/>
    <n v="-330"/>
    <n v="0.44"/>
    <n v="4"/>
    <n v="9377"/>
    <s v="$@|\|TO$|-|,Sethu madhav,Akash"/>
    <n v="3"/>
    <e v="#REF!"/>
    <e v="#REF!"/>
  </r>
  <r>
    <s v="B0BGSV43WY"/>
    <s v="Noise ColorFit Pro 4"/>
    <x v="14"/>
    <s v="Bags&amp;Sleeves"/>
    <n v="7999"/>
    <n v="4499"/>
    <n v="23997"/>
    <n v="13497"/>
    <n v="10558.68"/>
    <n v="-10500"/>
    <n v="0.44"/>
    <n v="3.5"/>
    <n v="37"/>
    <s v="ANUSAYA KAR,Sathish,Sohrab"/>
    <n v="3"/>
    <e v="#REF!"/>
    <e v="#REF!"/>
  </r>
  <r>
    <s v="B0926V9CTV"/>
    <s v="Elv Mobile Phone Mount"/>
    <x v="39"/>
    <m/>
    <n v="599"/>
    <n v="89"/>
    <n v="1198"/>
    <n v="178"/>
    <n v="1018.3"/>
    <n v="-1020"/>
    <n v="0.85"/>
    <n v="4.3"/>
    <n v="2351"/>
    <s v="Unknown,KRISHNA PRASAD"/>
    <n v="2"/>
    <e v="#REF!"/>
    <e v="#REF!"/>
  </r>
  <r>
    <s v="B07WGPKMP5"/>
    <s v="iQOO Z6 44W by"/>
    <x v="0"/>
    <s v="Cables"/>
    <n v="20999"/>
    <n v="15499"/>
    <n v="41998"/>
    <n v="30998"/>
    <n v="10919.48"/>
    <n v="-11000"/>
    <n v="0.26"/>
    <n v="4.0999999999999996"/>
    <n v="19253"/>
    <s v="siddharth patnaik,Dr"/>
    <n v="2"/>
    <e v="#REF!"/>
    <e v="#REF!"/>
  </r>
  <r>
    <s v="B0BBFJ9M3X"/>
    <s v="Redmi 11 Prime 5G"/>
    <x v="40"/>
    <m/>
    <n v="15999"/>
    <n v="13999"/>
    <n v="127992"/>
    <n v="111992"/>
    <n v="16638.96"/>
    <n v="-16000"/>
    <n v="0.13"/>
    <n v="3.9"/>
    <n v="2180"/>
    <s v="dhruvi,Sujal Negi,NAGARAJAN,Sreenath,Placeholder,Waseemakram,Shivi,Adnan"/>
    <n v="8"/>
    <e v="#REF!"/>
    <e v="#REF!"/>
  </r>
  <r>
    <s v="B09PLFJ7ZW"/>
    <s v="Noise Pulse Buzz 1.69&quot;"/>
    <x v="41"/>
    <m/>
    <n v="4999"/>
    <n v="1999"/>
    <n v="9998"/>
    <n v="3998"/>
    <n v="5998.8"/>
    <n v="-6000"/>
    <n v="0.6"/>
    <n v="3.9"/>
    <n v="7571"/>
    <s v="Kindle Customer,Arun"/>
    <n v="2"/>
    <e v="#REF!"/>
    <e v="#REF!"/>
  </r>
  <r>
    <s v="B0B53NXFFR"/>
    <s v="PTron Newly Launched Force"/>
    <x v="42"/>
    <m/>
    <n v="5999"/>
    <n v="1399"/>
    <n v="17997"/>
    <n v="4197"/>
    <n v="13857.690000000002"/>
    <n v="-13800"/>
    <n v="0.77"/>
    <n v="3.3"/>
    <n v="4415"/>
    <s v="anurag,Nirmal Singh,Vikas"/>
    <n v="3"/>
    <e v="#REF!"/>
    <e v="#REF!"/>
  </r>
  <r>
    <s v="B07GNC2592"/>
    <s v="Portronics CLAMP X Car-Vent"/>
    <x v="12"/>
    <s v="SecureDigitalCards"/>
    <n v="999"/>
    <n v="599"/>
    <n v="4995"/>
    <n v="2995"/>
    <n v="1998"/>
    <n v="-2000"/>
    <n v="0.4"/>
    <n v="4"/>
    <n v="18654"/>
    <s v="PTS,Jitesh Patil,Manoj,Ab,Badri"/>
    <n v="5"/>
    <e v="#REF!"/>
    <e v="#REF!"/>
  </r>
  <r>
    <s v="B09TP5KBN7"/>
    <s v="pTron Volta Dual Port"/>
    <x v="10"/>
    <s v="Photo&amp;VideoAccessories"/>
    <n v="1099"/>
    <n v="199"/>
    <n v="4396"/>
    <n v="796"/>
    <n v="3604.72"/>
    <n v="-3600"/>
    <n v="0.82"/>
    <n v="4"/>
    <n v="3197"/>
    <s v="Ajit Srivastava,praosv,Rushab,Madhurima"/>
    <n v="4"/>
    <e v="#REF!"/>
    <e v="#REF!"/>
  </r>
  <r>
    <s v="B0949SBKMP"/>
    <s v="boAt Flash Edition Smart"/>
    <x v="38"/>
    <s v="Webcams&amp;VoIPEquipment"/>
    <n v="6990"/>
    <n v="1799"/>
    <n v="13980"/>
    <n v="3598"/>
    <n v="10345.200000000001"/>
    <n v="-10382"/>
    <n v="0.74"/>
    <n v="4"/>
    <n v="26880"/>
    <s v="Gojo Satoru,NOORUL"/>
    <n v="2"/>
    <e v="#REF!"/>
    <e v="#REF!"/>
  </r>
  <r>
    <s v="B09V175NP7"/>
    <s v="boAt Wave Lite Smartwatch"/>
    <x v="14"/>
    <s v="CoolingPads"/>
    <n v="6990"/>
    <n v="1499"/>
    <n v="13980"/>
    <n v="2998"/>
    <n v="11044.2"/>
    <n v="-10982"/>
    <n v="0.79"/>
    <n v="3.9"/>
    <n v="21796"/>
    <s v="Prasad Pavithran,Mahesh"/>
    <n v="2"/>
    <e v="#REF!"/>
    <e v="#REF!"/>
  </r>
  <r>
    <s v="B07WHSJXLF"/>
    <s v="iQOO Z6 Pro 5G"/>
    <x v="14"/>
    <m/>
    <n v="29990"/>
    <n v="20999"/>
    <n v="89970"/>
    <n v="62997"/>
    <n v="26991"/>
    <n v="-26973"/>
    <n v="0.3"/>
    <n v="4.3"/>
    <n v="9499"/>
    <s v="Thukkaram,Vishnu,Vyshnav g"/>
    <n v="3"/>
    <e v="#REF!"/>
    <e v="#REF!"/>
  </r>
  <r>
    <s v="B0BD3T6Z1D"/>
    <s v="Samsung Galaxy M32 Prime"/>
    <x v="36"/>
    <s v="Stands"/>
    <n v="13499"/>
    <n v="12999"/>
    <n v="26998"/>
    <n v="25998"/>
    <n v="1079.92"/>
    <n v="-1000"/>
    <n v="0.04"/>
    <n v="4.0999999999999996"/>
    <n v="56098"/>
    <s v="Kranti Telgote,Sandeep"/>
    <n v="2"/>
    <e v="#REF!"/>
    <e v="#REF!"/>
  </r>
  <r>
    <s v="B09LHYZ3GJ"/>
    <s v="Redmi Note 11T 5G"/>
    <x v="43"/>
    <m/>
    <n v="20999"/>
    <n v="16999"/>
    <n v="41998"/>
    <n v="33998"/>
    <n v="7979.62"/>
    <n v="-8000"/>
    <n v="0.19"/>
    <n v="4.0999999999999996"/>
    <n v="31822"/>
    <s v="Kapil kumar,Rajendra"/>
    <n v="2"/>
    <e v="#REF!"/>
    <e v="#REF!"/>
  </r>
  <r>
    <s v="B07WFPMGQQ"/>
    <s v="iQOO Z6 Pro 5G"/>
    <x v="20"/>
    <s v="Copy&amp;PrintingPaper"/>
    <n v="27990"/>
    <n v="19999"/>
    <n v="83970"/>
    <n v="59997"/>
    <n v="24351.3"/>
    <n v="-23973"/>
    <n v="0.28999999999999998"/>
    <n v="4.3"/>
    <n v="9499"/>
    <s v="Thukkaram,Vishnu,Vyshnav g"/>
    <n v="3"/>
    <e v="#REF!"/>
    <e v="#REF!"/>
  </r>
  <r>
    <s v="B09QS9X9L8"/>
    <s v="Redmi Note 11"/>
    <x v="44"/>
    <m/>
    <n v="18999"/>
    <n v="12999"/>
    <n v="56997"/>
    <n v="38997"/>
    <n v="18239.04"/>
    <n v="-18000"/>
    <n v="0.32"/>
    <n v="4.0999999999999996"/>
    <n v="50772"/>
    <s v="Meghnad,Partha Dey,JAIDEV"/>
    <n v="3"/>
    <e v="#REF!"/>
    <e v="#REF!"/>
  </r>
  <r>
    <s v="B0B6BLTGTT"/>
    <s v="Noise Pulse 2 Max"/>
    <x v="8"/>
    <s v="MultimediaSpeakerSystems"/>
    <n v="5999"/>
    <n v="2999"/>
    <n v="11998"/>
    <n v="5998"/>
    <n v="5999"/>
    <n v="-6000"/>
    <n v="0.5"/>
    <n v="4.0999999999999996"/>
    <n v="7148"/>
    <s v="Amazon Customer,Abhinay"/>
    <n v="2"/>
    <e v="#REF!"/>
    <e v="#REF!"/>
  </r>
  <r>
    <s v="B077Z65HSD"/>
    <s v="boAt A400 USB Type-C"/>
    <x v="45"/>
    <m/>
    <n v="999"/>
    <n v="299"/>
    <n v="2997"/>
    <n v="897"/>
    <n v="2097.8999999999996"/>
    <n v="-2100"/>
    <n v="0.7"/>
    <n v="4.3"/>
    <n v="20850"/>
    <s v="Amazon Customer,GHOST,A"/>
    <n v="3"/>
    <e v="#REF!"/>
    <e v="#REF!"/>
  </r>
  <r>
    <s v="B09W5XR9RT"/>
    <s v="Duracell USB C To"/>
    <x v="14"/>
    <s v="LaptopChargers&amp;PowerSupplies"/>
    <n v="1999"/>
    <n v="970"/>
    <n v="3998"/>
    <n v="1940"/>
    <n v="2038.98"/>
    <n v="-2058"/>
    <n v="0.51"/>
    <n v="4.4000000000000004"/>
    <n v="184"/>
    <s v="Amazon Customer,Govind"/>
    <n v="2"/>
    <e v="#REF!"/>
    <e v="#REF!"/>
  </r>
  <r>
    <s v="B084DTMYWK"/>
    <s v="Myvn 30W Warp/20W Dash"/>
    <x v="38"/>
    <s v="PCSpeakers"/>
    <n v="999"/>
    <n v="329"/>
    <n v="1998"/>
    <n v="658"/>
    <n v="1338.66"/>
    <n v="-1340"/>
    <n v="0.67"/>
    <n v="4.2"/>
    <n v="3492"/>
    <s v="Mukul Ghosalkar,R."/>
    <n v="2"/>
    <e v="#REF!"/>
    <e v="#REF!"/>
  </r>
  <r>
    <s v="B0B53QLB9H"/>
    <s v="PTron Newly Launched Force"/>
    <x v="2"/>
    <s v="Batteries&amp;Chargers"/>
    <n v="5999"/>
    <n v="1299"/>
    <n v="17997"/>
    <n v="3897"/>
    <n v="14037.66"/>
    <n v="-14100"/>
    <n v="0.78"/>
    <n v="3.3"/>
    <n v="4415"/>
    <s v="anurag,Nirmal Singh,Vikas"/>
    <n v="3"/>
    <e v="#REF!"/>
    <e v="#REF!"/>
  </r>
  <r>
    <s v="B0BDYW3RN3"/>
    <s v="SanDisk UltraÂ® microSDXCâ„¢ UHS-I"/>
    <x v="36"/>
    <s v="Bags,Cases&amp;Sleeves"/>
    <n v="3500"/>
    <n v="1989"/>
    <n v="10500"/>
    <n v="5967"/>
    <n v="4515"/>
    <n v="-4533"/>
    <n v="0.43"/>
    <n v="4.4000000000000004"/>
    <n v="67260"/>
    <s v="Prashant,Sumesh Sundararajan,Vijay"/>
    <n v="3"/>
    <e v="#REF!"/>
    <e v="#REF!"/>
  </r>
  <r>
    <s v="B0B3RS9DNF"/>
    <s v="Fire-Boltt Phoenix Smart Watch"/>
    <x v="46"/>
    <s v="DrawingMedia"/>
    <n v="9999"/>
    <n v="1999"/>
    <n v="19998"/>
    <n v="3998"/>
    <n v="15998.400000000001"/>
    <n v="-16000"/>
    <n v="0.8"/>
    <n v="4.3"/>
    <n v="27704"/>
    <s v="yogita ratre,Arun"/>
    <n v="2"/>
    <e v="#REF!"/>
    <e v="#REF!"/>
  </r>
  <r>
    <s v="B09QS9X16F"/>
    <s v="Redmi Note 11"/>
    <x v="47"/>
    <m/>
    <n v="18999"/>
    <n v="12999"/>
    <n v="56997"/>
    <n v="38997"/>
    <n v="18239.04"/>
    <n v="-18000"/>
    <n v="0.32"/>
    <n v="4.0999999999999996"/>
    <n v="50772"/>
    <s v="Meghnad,Partha Dey,JAIDEV"/>
    <n v="3"/>
    <e v="#REF!"/>
    <e v="#REF!"/>
  </r>
  <r>
    <s v="B08HV25BBQ"/>
    <s v="Noise ColorFit Pro 2"/>
    <x v="48"/>
    <m/>
    <n v="4999"/>
    <n v="1499"/>
    <n v="14997"/>
    <n v="4497"/>
    <n v="10497.9"/>
    <n v="-10500"/>
    <n v="0.7"/>
    <n v="4"/>
    <n v="92588"/>
    <s v="Vishal shah,Sameer,Joshilla"/>
    <n v="3"/>
    <e v="#REF!"/>
    <e v="#REF!"/>
  </r>
  <r>
    <s v="B09LJ116B5"/>
    <s v="Redmi Note 11T 5G"/>
    <x v="46"/>
    <s v="DrawingMedia"/>
    <n v="20999"/>
    <n v="16999"/>
    <n v="41998"/>
    <n v="33998"/>
    <n v="7979.62"/>
    <n v="-8000"/>
    <n v="0.19"/>
    <n v="4.0999999999999996"/>
    <n v="31822"/>
    <s v="Kapil kumar,Rajendra"/>
    <n v="2"/>
    <e v="#REF!"/>
    <e v="#REF!"/>
  </r>
  <r>
    <s v="B0BMVWKZ8G"/>
    <s v="Newly Launched Boult Dive+"/>
    <x v="0"/>
    <s v="Cables"/>
    <n v="8499"/>
    <n v="1999"/>
    <n v="25497"/>
    <n v="5997"/>
    <n v="19377.72"/>
    <n v="-19500"/>
    <n v="0.76"/>
    <n v="4.3"/>
    <n v="240"/>
    <s v="Amazon Customer,Dheeraj,SMD"/>
    <n v="3"/>
    <e v="#REF!"/>
    <e v="#REF!"/>
  </r>
  <r>
    <s v="B0BD92GDQH"/>
    <s v="OnePlus Nord Watch with"/>
    <x v="38"/>
    <s v="PCHeadsets"/>
    <n v="6999"/>
    <n v="4999"/>
    <n v="20997"/>
    <n v="14997"/>
    <n v="6089.1299999999992"/>
    <n v="-6000"/>
    <n v="0.28999999999999998"/>
    <n v="3.8"/>
    <n v="758"/>
    <s v="SYED SHABEENA,Faizalmalek,Varun"/>
    <n v="3"/>
    <e v="#REF!"/>
    <e v="#REF!"/>
  </r>
  <r>
    <s v="B08Y1SJVV5"/>
    <s v="pTron Solero MB301 3A"/>
    <x v="27"/>
    <s v="GamingKeyboards"/>
    <n v="666.66"/>
    <n v="99"/>
    <n v="2666.64"/>
    <n v="396"/>
    <n v="2266.6439999999998"/>
    <n v="-2270.64"/>
    <n v="0.85"/>
    <n v="3.9"/>
    <n v="24870"/>
    <s v="Jayesh,Rajesh k.,Soopy,amazon"/>
    <n v="4"/>
    <e v="#REF!"/>
    <e v="#REF!"/>
  </r>
  <r>
    <s v="B0B5GF6DQD"/>
    <s v="Noise Agile 2 Buzz"/>
    <x v="8"/>
    <s v="SoundbarSpeakers"/>
    <n v="5999"/>
    <n v="2499"/>
    <n v="11998"/>
    <n v="4998"/>
    <n v="6958.8399999999992"/>
    <n v="-7000"/>
    <n v="0.57999999999999996"/>
    <n v="3.7"/>
    <n v="828"/>
    <s v="Amazon Customer,Harshil"/>
    <n v="2"/>
    <e v="#REF!"/>
    <e v="#REF!"/>
  </r>
  <r>
    <s v="B09JS94MBV"/>
    <s v="Motorola a10 Dual Sim"/>
    <x v="49"/>
    <m/>
    <n v="1630"/>
    <n v="1399"/>
    <n v="11410"/>
    <n v="9793"/>
    <n v="1597.4"/>
    <n v="-1617"/>
    <n v="0.14000000000000001"/>
    <n v="4"/>
    <n v="9378"/>
    <s v="Rajasekhar,Dimpal,rajat kumar,akanksha,Noone,Hemavaraprasad,Sachin"/>
    <n v="7"/>
    <e v="#REF!"/>
    <e v="#REF!"/>
  </r>
  <r>
    <s v="B09YV463SW"/>
    <s v="Fire-Boltt Ninja 3 Smartwatch"/>
    <x v="48"/>
    <s v="InkjetPrinters"/>
    <n v="9999"/>
    <n v="1499"/>
    <n v="9999"/>
    <n v="1499"/>
    <n v="8499.15"/>
    <n v="-8500"/>
    <n v="0.85"/>
    <n v="4.2"/>
    <n v="22638"/>
    <s v="Rahul Singh"/>
    <n v="1"/>
    <e v="#REF!"/>
    <e v="#REF!"/>
  </r>
  <r>
    <s v="B07XLCFSSN"/>
    <s v="Amazonbasics Nylon Braided Usb-C"/>
    <x v="50"/>
    <s v="ColouringPens&amp;Markers"/>
    <n v="1900"/>
    <n v="899"/>
    <n v="5700"/>
    <n v="2697"/>
    <n v="3021"/>
    <n v="-3003"/>
    <n v="0.53"/>
    <n v="4.4000000000000004"/>
    <n v="13552"/>
    <s v="Wraith,Krishna Engineering,Kindle"/>
    <n v="3"/>
    <e v="#REF!"/>
    <e v="#REF!"/>
  </r>
  <r>
    <s v="B09NL4DCXK"/>
    <s v="Flix"/>
    <x v="27"/>
    <s v="Headsets"/>
    <n v="599"/>
    <n v="249"/>
    <n v="1198"/>
    <n v="498"/>
    <n v="694.83999999999992"/>
    <n v="-700"/>
    <n v="0.57999999999999996"/>
    <n v="3.9"/>
    <n v="2147"/>
    <s v="Bristidev Burman,P"/>
    <n v="2"/>
    <e v="#REF!"/>
    <e v="#REF!"/>
  </r>
  <r>
    <s v="B0B8CHJLWJ"/>
    <s v="Kyosei Advanced Tempered Glass"/>
    <x v="51"/>
    <m/>
    <n v="1199"/>
    <n v="299"/>
    <n v="4796"/>
    <n v="1196"/>
    <n v="3597"/>
    <n v="-3600"/>
    <n v="0.75"/>
    <n v="4.5"/>
    <n v="596"/>
    <s v="Kirti Sardana,Daactr,Shubh,Mayank"/>
    <n v="4"/>
    <e v="#REF!"/>
    <e v="#REF!"/>
  </r>
  <r>
    <s v="B0B8ZWNR5T"/>
    <s v="STRIFF 12 Pieces Highly"/>
    <x v="1"/>
    <s v="PowerLANAdapters"/>
    <n v="499"/>
    <n v="79"/>
    <n v="998"/>
    <n v="158"/>
    <n v="838.31999999999994"/>
    <n v="-840"/>
    <n v="0.84"/>
    <n v="4.2"/>
    <n v="1949"/>
    <s v="Santosh Kumar,Prateek"/>
    <n v="2"/>
    <e v="#REF!"/>
    <e v="#REF!"/>
  </r>
  <r>
    <s v="B0BBFJLP21"/>
    <s v="Redmi 11 Prime 5G"/>
    <x v="26"/>
    <s v="InkjetInkRefills&amp;Kits"/>
    <n v="15999"/>
    <n v="13999"/>
    <n v="47997"/>
    <n v="41997"/>
    <n v="6239.61"/>
    <n v="-6000"/>
    <n v="0.13"/>
    <n v="3.9"/>
    <n v="2180"/>
    <s v="dhruvi,Sujal Negi,hussain"/>
    <n v="3"/>
    <e v="#REF!"/>
    <e v="#REF!"/>
  </r>
  <r>
    <s v="B01F262EUU"/>
    <s v="Samsung Original EHS64 Wired"/>
    <x v="2"/>
    <s v="PhotoStudio&amp;Lighting"/>
    <n v="999"/>
    <n v="949"/>
    <n v="1998"/>
    <n v="1898"/>
    <n v="99.9"/>
    <n v="-100"/>
    <n v="0.05"/>
    <n v="4.2"/>
    <n v="31539"/>
    <s v="Ranit Barman,Ravi"/>
    <n v="2"/>
    <e v="#REF!"/>
    <e v="#REF!"/>
  </r>
  <r>
    <s v="B09VZBGL1N"/>
    <s v="STRIFF Multi Angle Tablet/Mobile"/>
    <x v="24"/>
    <s v="Financial&amp;Business"/>
    <n v="499"/>
    <n v="99"/>
    <n v="998"/>
    <n v="198"/>
    <n v="798.40000000000009"/>
    <n v="-800"/>
    <n v="0.8"/>
    <n v="4.0999999999999996"/>
    <n v="2451"/>
    <s v="Sean m.,Medha"/>
    <n v="2"/>
    <e v="#REF!"/>
    <e v="#REF!"/>
  </r>
  <r>
    <s v="B0BNVBJW2S"/>
    <s v="boAt Newly Launched Wave"/>
    <x v="52"/>
    <m/>
    <n v="7990"/>
    <n v="2499"/>
    <n v="23970"/>
    <n v="7497"/>
    <n v="16539.3"/>
    <n v="-16473"/>
    <n v="0.69"/>
    <n v="4.0999999999999996"/>
    <n v="154"/>
    <s v="App,Dr. Rinchin,Priyanka"/>
    <n v="3"/>
    <e v="#REF!"/>
    <e v="#REF!"/>
  </r>
  <r>
    <s v="B0B2DJ5RVQ"/>
    <s v="WeCool B1 Mobile Holder"/>
    <x v="31"/>
    <m/>
    <n v="1999"/>
    <n v="689"/>
    <n v="3998"/>
    <n v="1378"/>
    <n v="2638.6800000000003"/>
    <n v="-2620"/>
    <n v="0.66"/>
    <n v="4.3"/>
    <n v="1193"/>
    <s v="Arijit Mishra,MOHAMMED"/>
    <n v="2"/>
    <e v="#REF!"/>
    <e v="#REF!"/>
  </r>
  <r>
    <s v="B096TWZRJC"/>
    <s v="Sounce 360 Adjustable Mobile"/>
    <x v="53"/>
    <m/>
    <n v="1899"/>
    <n v="499"/>
    <n v="5697"/>
    <n v="1497"/>
    <n v="4215.78"/>
    <n v="-4200"/>
    <n v="0.74"/>
    <n v="4.0999999999999996"/>
    <n v="1475"/>
    <s v="Amazon Customer,GopiKrishnan,S.md"/>
    <n v="3"/>
    <e v="#REF!"/>
    <e v="#REF!"/>
  </r>
  <r>
    <s v="B09GP6FBZT"/>
    <s v="OpenTechÂ® Military-Grade Tempered Glass"/>
    <x v="28"/>
    <m/>
    <n v="999"/>
    <n v="299"/>
    <n v="4995"/>
    <n v="1495"/>
    <n v="3496.5"/>
    <n v="-3500"/>
    <n v="0.7"/>
    <n v="4.3"/>
    <n v="8891"/>
    <s v="Prashant,Ranjan S.,Trx,Misika,sourabh"/>
    <n v="5"/>
    <e v="#REF!"/>
    <e v="#REF!"/>
  </r>
  <r>
    <s v="B0B3DV7S9B"/>
    <s v="EN LIGNE Adjustable Cell"/>
    <x v="26"/>
    <s v="TonerCartridges"/>
    <n v="499"/>
    <n v="209"/>
    <n v="2994"/>
    <n v="1254"/>
    <n v="1736.5199999999998"/>
    <n v="-1740"/>
    <n v="0.57999999999999996"/>
    <n v="3.6"/>
    <n v="104"/>
    <s v="Sheetal,DADA,Tanmay,Bala chalapathi,hamid,MOHAMED"/>
    <n v="6"/>
    <e v="#REF!"/>
    <e v="#REF!"/>
  </r>
  <r>
    <s v="B09MKP344P"/>
    <s v="Tecno Spark 8T"/>
    <x v="54"/>
    <s v="Caddies"/>
    <n v="12999"/>
    <n v="8499"/>
    <n v="25998"/>
    <n v="16998"/>
    <n v="9099.2999999999993"/>
    <n v="-9000"/>
    <n v="0.35"/>
    <n v="4.0999999999999996"/>
    <n v="6662"/>
    <s v="Bipul s.,Nigen"/>
    <n v="2"/>
    <e v="#REF!"/>
    <e v="#REF!"/>
  </r>
  <r>
    <s v="B08JW1GVS7"/>
    <s v="URBN 20000 mAh Lithium_Polymer"/>
    <x v="55"/>
    <m/>
    <n v="3999"/>
    <n v="2179"/>
    <n v="15996"/>
    <n v="8716"/>
    <n v="7358.1600000000008"/>
    <n v="-7280"/>
    <n v="0.46"/>
    <n v="4"/>
    <n v="8380"/>
    <s v="Saunak,RAJA PANDIAN,Shanky,Bhabagrahi"/>
    <n v="4"/>
    <e v="#REF!"/>
    <e v="#REF!"/>
  </r>
  <r>
    <s v="B09LHZSMRR"/>
    <s v="Redmi Note 11T 5G"/>
    <x v="56"/>
    <s v="Kettles&amp;HotWaterDispensers"/>
    <n v="20999"/>
    <n v="16999"/>
    <n v="41998"/>
    <n v="33998"/>
    <n v="7979.62"/>
    <n v="-8000"/>
    <n v="0.19"/>
    <n v="4.0999999999999996"/>
    <n v="31822"/>
    <s v="Kapil kumar,Rajendra"/>
    <n v="2"/>
    <e v="#REF!"/>
    <e v="#REF!"/>
  </r>
  <r>
    <s v="B0B5V47VK4"/>
    <s v="OnePlus 10T 5G"/>
    <x v="57"/>
    <s v="ElectricHeaters"/>
    <n v="49999"/>
    <n v="44999"/>
    <n v="149997"/>
    <n v="134997"/>
    <n v="14999.7"/>
    <n v="-15000"/>
    <n v="0.1"/>
    <n v="4.3"/>
    <n v="3075"/>
    <s v="Subhra S.,Omkar,Varun"/>
    <n v="3"/>
    <e v="#REF!"/>
    <e v="#REF!"/>
  </r>
  <r>
    <s v="B08H21B6V7"/>
    <s v="Nokia 150"/>
    <x v="57"/>
    <s v="FanHeaters"/>
    <n v="2999"/>
    <n v="2599"/>
    <n v="11996"/>
    <n v="10396"/>
    <n v="1559.48"/>
    <n v="-1600"/>
    <n v="0.13"/>
    <n v="3.9"/>
    <n v="14266"/>
    <s v="Rajkumar,Amazon Customer,kamal,Nishan"/>
    <n v="4"/>
    <e v="#REF!"/>
    <e v="#REF!"/>
  </r>
  <r>
    <s v="B09BNXQ6BR"/>
    <s v="Noise ColorFit Ultra SE"/>
    <x v="58"/>
    <s v="Irons,Steamers&amp;Accessories"/>
    <n v="6499"/>
    <n v="2799"/>
    <n v="19497"/>
    <n v="8397"/>
    <n v="11113.289999999999"/>
    <n v="-11100"/>
    <n v="0.56999999999999995"/>
    <n v="4.0999999999999996"/>
    <n v="38879"/>
    <s v="shiv,Pankaj Bhatt,Dipanshu"/>
    <n v="3"/>
    <e v="#REF!"/>
    <e v="#REF!"/>
  </r>
  <r>
    <s v="B01FSYQ2A4"/>
    <s v="boAt Rockerz 400 Bluetooth"/>
    <x v="56"/>
    <s v="DigitalKitchenScales"/>
    <n v="2990"/>
    <n v="1399"/>
    <n v="11960"/>
    <n v="5596"/>
    <n v="6338.8"/>
    <n v="-6364"/>
    <n v="0.53"/>
    <n v="4.0999999999999996"/>
    <n v="97175"/>
    <s v="Sagar,Shreyas,Arjun Thomas,Sachin"/>
    <n v="4"/>
    <e v="#REF!"/>
    <e v="#REF!"/>
  </r>
  <r>
    <s v="B08L5FM4JC"/>
    <s v="SanDisk Ultra microSD UHS-I"/>
    <x v="59"/>
    <s v="ManualChoppers&amp;Chippers"/>
    <n v="2400"/>
    <n v="649"/>
    <n v="7200"/>
    <n v="1947"/>
    <n v="5256"/>
    <n v="-5253"/>
    <n v="0.73"/>
    <n v="4.4000000000000004"/>
    <n v="67260"/>
    <s v="Prashant,Sumesh Sundararajan,Vijay"/>
    <n v="3"/>
    <e v="#REF!"/>
    <e v="#REF!"/>
  </r>
  <r>
    <s v="B0B54Y2SNX"/>
    <s v="iPhone Original 20W C"/>
    <x v="56"/>
    <s v="InductionCooktop"/>
    <n v="3990"/>
    <n v="799"/>
    <n v="7980"/>
    <n v="1598"/>
    <n v="6384"/>
    <n v="-6382"/>
    <n v="0.8"/>
    <n v="3.8"/>
    <n v="119"/>
    <s v="Manoj Nagabhairu,Mohammed"/>
    <n v="2"/>
    <e v="#REF!"/>
    <e v="#REF!"/>
  </r>
  <r>
    <s v="B08BQ947H3"/>
    <s v="LIRAMARK Webcam Cover Slide,"/>
    <x v="56"/>
    <s v="HandBlenders"/>
    <n v="149"/>
    <n v="149"/>
    <n v="298"/>
    <n v="298"/>
    <n v="0"/>
    <n v="0"/>
    <n v="0"/>
    <n v="4.3"/>
    <n v="10833"/>
    <s v="Vishal Bhardwaj,Parvathi"/>
    <n v="2"/>
    <e v="#REF!"/>
    <e v="#REF!"/>
  </r>
  <r>
    <s v="B082T6V3DT"/>
    <s v="AmazonBasics New Release Nylon"/>
    <x v="58"/>
    <s v="Irons,Steamers&amp;Accessories"/>
    <n v="2100"/>
    <n v="799"/>
    <n v="6300"/>
    <n v="2397"/>
    <n v="3906"/>
    <n v="-3903"/>
    <n v="0.62"/>
    <n v="4.3"/>
    <n v="8188"/>
    <s v="Arun verma,Arv,Aashna"/>
    <n v="3"/>
    <e v="#REF!"/>
    <e v="#REF!"/>
  </r>
  <r>
    <s v="B0B7DHSKS7"/>
    <s v="Nokia 8210 4G Volte"/>
    <x v="56"/>
    <s v="MixerGrinders"/>
    <n v="5299"/>
    <n v="3799"/>
    <n v="21196"/>
    <n v="15196"/>
    <n v="5934.880000000001"/>
    <n v="-6000"/>
    <n v="0.28000000000000003"/>
    <n v="3.5"/>
    <n v="1641"/>
    <s v="Shyam,Tom,Rajneesh Kumar,Bhagaban"/>
    <n v="4"/>
    <e v="#REF!"/>
    <e v="#REF!"/>
  </r>
  <r>
    <s v="B09SJ1FTYV"/>
    <s v="Sounce Protective Case Cover"/>
    <x v="60"/>
    <s v="InstantWaterHeaters"/>
    <n v="1899"/>
    <n v="199"/>
    <n v="1899"/>
    <n v="199"/>
    <n v="1709.1000000000001"/>
    <n v="-1700"/>
    <n v="0.9"/>
    <n v="4"/>
    <n v="4740"/>
    <s v="Gourab Kumar"/>
    <n v="1"/>
    <e v="#REF!"/>
    <e v="#REF!"/>
  </r>
  <r>
    <s v="B09XJ5LD6L"/>
    <s v="Samsung Galaxy M53 5G"/>
    <x v="57"/>
    <m/>
    <n v="32999"/>
    <n v="23999"/>
    <n v="32999"/>
    <n v="23999"/>
    <n v="8909.7300000000014"/>
    <n v="-9000"/>
    <n v="0.27"/>
    <n v="3.9"/>
    <n v="8866"/>
    <s v="Krishna S"/>
    <n v="1"/>
    <e v="#REF!"/>
    <e v="#REF!"/>
  </r>
  <r>
    <s v="B07WHS7MZ1"/>
    <s v="iQOO 9 SE 5G"/>
    <x v="56"/>
    <s v="Kettles&amp;HotWaterDispensers"/>
    <n v="39990"/>
    <n v="29990"/>
    <n v="79980"/>
    <n v="59980"/>
    <n v="19995"/>
    <n v="-20000"/>
    <n v="0.25"/>
    <n v="4.3"/>
    <n v="8399"/>
    <s v="Ashish kumar,SAFEER"/>
    <n v="2"/>
    <e v="#REF!"/>
    <e v="#REF!"/>
  </r>
  <r>
    <s v="B0BBVKRP7B"/>
    <s v="SHREENOVA ID116 Plus Bluetooth"/>
    <x v="60"/>
    <s v="StorageWaterHeaters"/>
    <n v="1999"/>
    <n v="281"/>
    <n v="3998"/>
    <n v="562"/>
    <n v="3438.2799999999997"/>
    <n v="-3436"/>
    <n v="0.86"/>
    <n v="2.8"/>
    <n v="87"/>
    <s v="dk yadav,MUKESH"/>
    <n v="2"/>
    <e v="#REF!"/>
    <e v="#REF!"/>
  </r>
  <r>
    <s v="B09NY7W8YD"/>
    <s v="POCO C31"/>
    <x v="60"/>
    <s v="ImmersionRods"/>
    <n v="11999"/>
    <n v="7998"/>
    <n v="23998"/>
    <n v="15996"/>
    <n v="7919.34"/>
    <n v="-8002"/>
    <n v="0.33"/>
    <n v="3.8"/>
    <n v="125"/>
    <s v="Jigar panchal,NOOR"/>
    <n v="2"/>
    <e v="#REF!"/>
    <e v="#REF!"/>
  </r>
  <r>
    <s v="B0BMM7R92G"/>
    <s v="Noise_Colorfit Smart Watch Charger"/>
    <x v="56"/>
    <s v="DeepFatFryers"/>
    <n v="999"/>
    <n v="249"/>
    <n v="4995"/>
    <n v="1245"/>
    <n v="3746.25"/>
    <n v="-3750"/>
    <n v="0.75"/>
    <n v="4.5"/>
    <n v="38"/>
    <s v="Placeholder,Qazi a.,Kriinaa,Manivannan,Santosh"/>
    <n v="5"/>
    <e v="#REF!"/>
    <e v="#REF!"/>
  </r>
  <r>
    <s v="B08M66K48D"/>
    <s v="POPIO Tempered Glass Screen"/>
    <x v="61"/>
    <s v="LaundryBaskets"/>
    <n v="599"/>
    <n v="299"/>
    <n v="2396"/>
    <n v="1196"/>
    <n v="1198"/>
    <n v="-1200"/>
    <n v="0.5"/>
    <n v="4.3"/>
    <n v="4674"/>
    <s v="Ram K,Ankush,Viswanathan,Sanchita"/>
    <n v="4"/>
    <e v="#REF!"/>
    <e v="#REF!"/>
  </r>
  <r>
    <s v="B09RFB2SJQ"/>
    <s v="10WeRun Id-116 Bluetooth Smartwatch"/>
    <x v="56"/>
    <s v="JuicerMixerGrinders"/>
    <n v="1899"/>
    <n v="499"/>
    <n v="7596"/>
    <n v="1996"/>
    <n v="5621.04"/>
    <n v="-5600"/>
    <n v="0.74"/>
    <n v="4.0999999999999996"/>
    <n v="412"/>
    <s v="Richard,Venkatesan,shakeel ahmad,Mohd"/>
    <n v="4"/>
    <e v="#REF!"/>
    <e v="#REF!"/>
  </r>
  <r>
    <s v="B0B82YGCF6"/>
    <s v="Tokdis MX-1 Pro Bluetooth"/>
    <x v="58"/>
    <s v="Vacuums&amp;FloorCare"/>
    <n v="3499"/>
    <n v="899"/>
    <n v="6998"/>
    <n v="1798"/>
    <n v="5178.5199999999995"/>
    <n v="-5200"/>
    <n v="0.74"/>
    <n v="3"/>
    <n v="681"/>
    <s v="Gourav Choudhrani,Mustak"/>
    <n v="2"/>
    <e v="#REF!"/>
    <e v="#REF!"/>
  </r>
  <r>
    <s v="B08HF4W2CT"/>
    <s v="URBN 20000 mAh lithium_polymer"/>
    <x v="56"/>
    <s v="EggBoilers"/>
    <n v="3499"/>
    <n v="1599"/>
    <n v="6998"/>
    <n v="3198"/>
    <n v="3778.92"/>
    <n v="-3800"/>
    <n v="0.54"/>
    <n v="4"/>
    <n v="36384"/>
    <s v="Rajesh Martis,priyanka"/>
    <n v="2"/>
    <e v="#REF!"/>
    <e v="#REF!"/>
  </r>
  <r>
    <s v="B08BCKN299"/>
    <s v="Sounce Gold Plated 3.5"/>
    <x v="56"/>
    <s v="SandwichMakers"/>
    <n v="999"/>
    <n v="120"/>
    <n v="1998"/>
    <n v="240"/>
    <n v="1758.24"/>
    <n v="-1758"/>
    <n v="0.88"/>
    <n v="3.9"/>
    <n v="6491"/>
    <s v="shaan bishwas,Anirvan"/>
    <n v="2"/>
    <e v="#REF!"/>
    <e v="#REF!"/>
  </r>
  <r>
    <s v="B0B2X35B1K"/>
    <s v="Noise ColorFit Ultra 2"/>
    <x v="56"/>
    <s v="MiniFoodProcessors&amp;Choppers"/>
    <n v="6999"/>
    <n v="3999"/>
    <n v="13998"/>
    <n v="7998"/>
    <n v="6019.14"/>
    <n v="-6000"/>
    <n v="0.43"/>
    <n v="4.0999999999999996"/>
    <n v="10229"/>
    <s v="Shanti Devi,Amol"/>
    <n v="2"/>
    <e v="#REF!"/>
    <e v="#REF!"/>
  </r>
  <r>
    <s v="B09QS9CWLV"/>
    <s v="Redmi Note 11"/>
    <x v="56"/>
    <s v="DigitalKitchenScales"/>
    <n v="18999"/>
    <n v="12999"/>
    <n v="56997"/>
    <n v="38997"/>
    <n v="18239.04"/>
    <n v="-18000"/>
    <n v="0.32"/>
    <n v="4.0999999999999996"/>
    <n v="50772"/>
    <s v="Meghnad,Partha Dey,JAIDEV"/>
    <n v="3"/>
    <e v="#REF!"/>
    <e v="#REF!"/>
  </r>
  <r>
    <s v="B0B1NX6JTN"/>
    <s v="Spigen Ultra Hybrid Back"/>
    <x v="56"/>
    <s v="VacuumSealers"/>
    <n v="2599"/>
    <n v="1599"/>
    <n v="10396"/>
    <n v="6396"/>
    <n v="3950.48"/>
    <n v="-4000"/>
    <n v="0.38"/>
    <n v="4.3"/>
    <n v="1801"/>
    <s v="Rajat,Ashray Tyagi,Ritesh,RAMESH"/>
    <n v="4"/>
    <e v="#REF!"/>
    <e v="#REF!"/>
  </r>
  <r>
    <s v="B078G6ZF5Z"/>
    <s v="Oraimo 18W USB &amp;"/>
    <x v="62"/>
    <s v="CeilingFans"/>
    <n v="1199"/>
    <n v="699"/>
    <n v="1199"/>
    <n v="699"/>
    <n v="503.58"/>
    <n v="-500"/>
    <n v="0.42"/>
    <n v="4"/>
    <n v="14404"/>
    <s v="Samar Kumar"/>
    <n v="1"/>
    <e v="#REF!"/>
    <e v="#REF!"/>
  </r>
  <r>
    <s v="B0BBW521YC"/>
    <s v="LAPSTER 12pcs Spiral Cable"/>
    <x v="58"/>
    <s v="PressureWashers,Steam&amp;WindowCleaners"/>
    <n v="999"/>
    <n v="99"/>
    <n v="1998"/>
    <n v="198"/>
    <n v="1798.2"/>
    <n v="-1800"/>
    <n v="0.9"/>
    <n v="4.4000000000000004"/>
    <n v="305"/>
    <s v="Mihir Deshpande,sejal"/>
    <n v="2"/>
    <e v="#REF!"/>
    <e v="#REF!"/>
  </r>
  <r>
    <s v="B09HSKYMB3"/>
    <s v="MI REDMI 9i Sport"/>
    <x v="57"/>
    <s v="HalogenHeaters"/>
    <n v="9999"/>
    <n v="7915"/>
    <n v="39996"/>
    <n v="31660"/>
    <n v="8399.16"/>
    <n v="-8336"/>
    <n v="0.21"/>
    <n v="4.3"/>
    <n v="1376"/>
    <s v="N. Lalhunchhungi,Ramakhilavan,Narender,Kotteeswaran"/>
    <n v="4"/>
    <e v="#REF!"/>
    <e v="#REF!"/>
  </r>
  <r>
    <s v="B09YV42QHZ"/>
    <s v="Fire-Boltt Ninja 3 Smartwatch"/>
    <x v="56"/>
    <s v="Pop-upToasters"/>
    <n v="7999"/>
    <n v="1499"/>
    <n v="7999"/>
    <n v="1499"/>
    <n v="6479.1900000000005"/>
    <n v="-6500"/>
    <n v="0.81"/>
    <n v="4.2"/>
    <n v="22638"/>
    <s v="Rahul Singh"/>
    <n v="1"/>
    <e v="#REF!"/>
    <e v="#REF!"/>
  </r>
  <r>
    <s v="B09BF8JBWX"/>
    <s v="Lava A1 Josh 21"/>
    <x v="57"/>
    <s v="HeatConvectors"/>
    <n v="1249"/>
    <n v="1055"/>
    <n v="1249"/>
    <n v="1055"/>
    <n v="199.84"/>
    <n v="-194"/>
    <n v="0.16"/>
    <n v="3.8"/>
    <n v="2352"/>
    <s v="Sudhir Kumar"/>
    <n v="1"/>
    <e v="#REF!"/>
    <e v="#REF!"/>
  </r>
  <r>
    <s v="B0B5YBGCKD"/>
    <s v="POPIO Tempered Glass Compatible"/>
    <x v="63"/>
    <s v="CoffeeGrinders"/>
    <n v="599"/>
    <n v="150"/>
    <n v="1198"/>
    <n v="300"/>
    <n v="898.5"/>
    <n v="-898"/>
    <n v="0.75"/>
    <n v="4.3"/>
    <n v="714"/>
    <s v="vivek vinod,robin"/>
    <n v="2"/>
    <e v="#REF!"/>
    <e v="#REF!"/>
  </r>
  <r>
    <s v="B01GGKYKQM"/>
    <s v="Amazon Basics USB Type-C"/>
    <x v="62"/>
    <s v="ExhaustFans"/>
    <n v="700"/>
    <n v="219"/>
    <n v="5600"/>
    <n v="1752"/>
    <n v="3863.9999999999995"/>
    <n v="-3848"/>
    <n v="0.69"/>
    <n v="4.3"/>
    <n v="20052"/>
    <s v="Hremant,Anjaneyulu,Madhav,NOTTADRIS,Deepak,P,M.SASIKUMAR,S.Suresh"/>
    <n v="8"/>
    <e v="#REF!"/>
    <e v="#REF!"/>
  </r>
  <r>
    <s v="B09MY4W73Q"/>
    <s v="Amozo Ultra Hybrid Camera"/>
    <x v="63"/>
    <s v="DripCoffeeMachines"/>
    <n v="1799"/>
    <n v="474"/>
    <n v="5397"/>
    <n v="1422"/>
    <n v="3993.7799999999997"/>
    <n v="-3975"/>
    <n v="0.74"/>
    <n v="4.3"/>
    <n v="1454"/>
    <s v="Dileep,Amazon Customer,Sharath"/>
    <n v="3"/>
    <e v="#REF!"/>
    <e v="#REF!"/>
  </r>
  <r>
    <s v="B08R69VDHT"/>
    <s v="Pinnaclz Original Combo of"/>
    <x v="64"/>
    <s v="WaterPurifierAccessories"/>
    <n v="499"/>
    <n v="115"/>
    <n v="499"/>
    <n v="115"/>
    <n v="384.23"/>
    <n v="-384"/>
    <n v="0.77"/>
    <n v="4"/>
    <n v="7732"/>
    <s v="Vijayan C"/>
    <n v="1"/>
    <e v="#REF!"/>
    <e v="#REF!"/>
  </r>
  <r>
    <s v="B09T37CKQ5"/>
    <s v="FLiX Usb Charger,Flix"/>
    <x v="64"/>
    <s v="WaterCartridges"/>
    <n v="599"/>
    <n v="239"/>
    <n v="1198"/>
    <n v="478"/>
    <n v="718.8"/>
    <n v="-720"/>
    <n v="0.6"/>
    <n v="3.9"/>
    <n v="2147"/>
    <s v="Bristidev Burman,P"/>
    <n v="2"/>
    <e v="#REF!"/>
    <e v="#REF!"/>
  </r>
  <r>
    <s v="B09GFPN6TP"/>
    <s v="Redmi 9A Sport"/>
    <x v="56"/>
    <s v="Rice&amp;PastaCookers"/>
    <n v="9499"/>
    <n v="7499"/>
    <n v="9499"/>
    <n v="7499"/>
    <n v="1994.79"/>
    <n v="-2000"/>
    <n v="0.21"/>
    <n v="4.0999999999999996"/>
    <n v="313832"/>
    <s v="Roshan Renji"/>
    <n v="1"/>
    <e v="#REF!"/>
    <e v="#REF!"/>
  </r>
  <r>
    <s v="B0B298D54H"/>
    <s v="Prolet Classic Bumper Case"/>
    <x v="65"/>
    <s v="AirPurifiers&amp;Ionizers"/>
    <n v="999"/>
    <n v="265"/>
    <n v="1998"/>
    <n v="530"/>
    <n v="1458.54"/>
    <n v="-1468"/>
    <n v="0.73"/>
    <n v="3.7"/>
    <n v="465"/>
    <s v="Debasish Bhukta,Swastik"/>
    <n v="2"/>
    <e v="#REF!"/>
    <e v="#REF!"/>
  </r>
  <r>
    <s v="B08VB57558"/>
    <s v="Samsung Galaxy S20 FE"/>
    <x v="66"/>
    <s v="HEPAAirPurifiers"/>
    <n v="74999"/>
    <n v="37990"/>
    <n v="149998"/>
    <n v="75980"/>
    <n v="73499.02"/>
    <n v="-74018"/>
    <n v="0.49"/>
    <n v="4.2"/>
    <n v="27790"/>
    <s v="Mohammed Suhail,GVR"/>
    <n v="2"/>
    <e v="#REF!"/>
    <e v="#REF!"/>
  </r>
  <r>
    <s v="B09CMP1SC8"/>
    <s v="Ambrane 2 in 1"/>
    <x v="64"/>
    <s v="WaterFilters&amp;Purifiers"/>
    <n v="499"/>
    <n v="199"/>
    <n v="499"/>
    <n v="199"/>
    <n v="299.39999999999998"/>
    <n v="-300"/>
    <n v="0.6"/>
    <n v="4.0999999999999996"/>
    <n v="602"/>
    <s v="Gopal krishna"/>
    <n v="1"/>
    <e v="#REF!"/>
    <e v="#REF!"/>
  </r>
  <r>
    <s v="B09YLXYP7Y"/>
    <s v="Ambrane 60W / 3A"/>
    <x v="61"/>
    <s v="LaundryBags"/>
    <n v="399"/>
    <n v="179"/>
    <n v="798"/>
    <n v="358"/>
    <n v="438.90000000000003"/>
    <n v="-440"/>
    <n v="0.55000000000000004"/>
    <n v="4"/>
    <n v="1423"/>
    <s v="Actual user,Shanti"/>
    <n v="2"/>
    <e v="#REF!"/>
    <e v="#REF!"/>
  </r>
  <r>
    <s v="B0B9BXKBC7"/>
    <s v="WeCool S5 Long Selfie"/>
    <x v="67"/>
    <s v="Sewing&amp;EmbroideryMachines"/>
    <n v="3999"/>
    <n v="1799"/>
    <n v="7998"/>
    <n v="3598"/>
    <n v="4398.9000000000005"/>
    <n v="-4400"/>
    <n v="0.55000000000000004"/>
    <n v="4.5999999999999996"/>
    <n v="245"/>
    <s v="Sujili v,Paras"/>
    <n v="2"/>
    <e v="#REF!"/>
    <e v="#REF!"/>
  </r>
  <r>
    <s v="B09NY6TRXG"/>
    <s v="POCO C31"/>
    <x v="61"/>
    <s v="IroningAccessories"/>
    <n v="11999"/>
    <n v="8499"/>
    <n v="11999"/>
    <n v="8499"/>
    <n v="3479.7099999999996"/>
    <n v="-3500"/>
    <n v="0.28999999999999998"/>
    <n v="3.9"/>
    <n v="276"/>
    <s v="PREMAL H."/>
    <n v="1"/>
    <e v="#REF!"/>
    <e v="#REF!"/>
  </r>
  <r>
    <s v="B09NVPJ3P4"/>
    <s v="Noise ColorFit Pulse Grand"/>
    <x v="56"/>
    <s v="HandMixers"/>
    <n v="3999"/>
    <n v="1999"/>
    <n v="7998"/>
    <n v="3998"/>
    <n v="3999"/>
    <n v="-4000"/>
    <n v="0.5"/>
    <n v="4"/>
    <n v="30254"/>
    <s v="Ranjitha Parida,Shubham"/>
    <n v="2"/>
    <e v="#REF!"/>
    <e v="#REF!"/>
  </r>
  <r>
    <s v="B0B3NDPCS9"/>
    <s v="Fire-Boltt Visionary 1.78&quot; AMOLED"/>
    <x v="56"/>
    <s v="Mills&amp;Grinders"/>
    <n v="17999"/>
    <n v="3999"/>
    <n v="89995"/>
    <n v="19995"/>
    <n v="70196.100000000006"/>
    <n v="-70000"/>
    <n v="0.78"/>
    <n v="4.3"/>
    <n v="17161"/>
    <s v="Vineet,shreyas,Amazon Customer,shaurya,Kartik"/>
    <n v="5"/>
    <e v="#REF!"/>
    <e v="#REF!"/>
  </r>
  <r>
    <s v="B09VGKFM7Y"/>
    <s v="Amazon Basics 2 Amp"/>
    <x v="56"/>
    <s v="OvenToasterGrills"/>
    <n v="499"/>
    <n v="219"/>
    <n v="1497"/>
    <n v="657"/>
    <n v="838.32000000000016"/>
    <n v="-840"/>
    <n v="0.56000000000000005"/>
    <n v="4.4000000000000004"/>
    <n v="14"/>
    <s v="Prabhanjan,Chittiprolu Ramya,Litu"/>
    <n v="3"/>
    <e v="#REF!"/>
    <e v="#REF!"/>
  </r>
  <r>
    <s v="B07QCWY5XV"/>
    <s v="Mobilife Bluetooth Extendable Selfie"/>
    <x v="56"/>
    <s v="Juicers"/>
    <n v="1399"/>
    <n v="599"/>
    <n v="5596"/>
    <n v="2396"/>
    <n v="3189.72"/>
    <n v="-3200"/>
    <n v="0.56999999999999995"/>
    <n v="4.0999999999999996"/>
    <n v="14560"/>
    <s v="Harshwardhan shinde,Amit,aamtech2,Apurv"/>
    <n v="4"/>
    <e v="#REF!"/>
    <e v="#REF!"/>
  </r>
  <r>
    <s v="B098QXR9X2"/>
    <s v="Ambrane 27000mAh Power Bank,"/>
    <x v="56"/>
    <m/>
    <n v="2999"/>
    <n v="2499"/>
    <n v="5998"/>
    <n v="4998"/>
    <n v="1019.6600000000001"/>
    <n v="-1000"/>
    <n v="0.17"/>
    <n v="4.0999999999999996"/>
    <n v="3156"/>
    <s v="Neeraj Kumar,Deergha"/>
    <n v="2"/>
    <e v="#REF!"/>
    <e v="#REF!"/>
  </r>
  <r>
    <s v="B07H1S7XW8"/>
    <s v="STRIFF Wall Mount Phone"/>
    <x v="68"/>
    <s v="WeighingScales"/>
    <n v="499"/>
    <n v="89"/>
    <n v="998"/>
    <n v="178"/>
    <n v="818.3599999999999"/>
    <n v="-820"/>
    <n v="0.82"/>
    <n v="4.0999999999999996"/>
    <n v="9340"/>
    <s v="Suresh jaat,Mahesh"/>
    <n v="2"/>
    <e v="#REF!"/>
    <e v="#REF!"/>
  </r>
  <r>
    <s v="B0BNXFDTZ2"/>
    <s v="Fire-Boltt Tank 1.85&quot; Bluetooth"/>
    <x v="63"/>
    <s v="EspressoMachines"/>
    <n v="11999"/>
    <n v="2999"/>
    <n v="23998"/>
    <n v="5998"/>
    <n v="17998.5"/>
    <n v="-18000"/>
    <n v="0.75"/>
    <n v="4.4000000000000004"/>
    <n v="768"/>
    <s v="Adwait Kulkarni,Sarvdeo"/>
    <n v="2"/>
    <e v="#REF!"/>
    <e v="#REF!"/>
  </r>
  <r>
    <s v="B088ZFJY82"/>
    <s v="Elv Aluminium Adjustable Mobile"/>
    <x v="62"/>
    <s v="TableFans"/>
    <n v="1499"/>
    <n v="314"/>
    <n v="1499"/>
    <n v="314"/>
    <n v="1184.21"/>
    <n v="-1185"/>
    <n v="0.79"/>
    <n v="4.5"/>
    <n v="28978"/>
    <s v="Shaik John"/>
    <n v="1"/>
    <e v="#REF!"/>
    <e v="#REF!"/>
  </r>
  <r>
    <s v="B0B4F4QZ1H"/>
    <s v="Samsung Galaxy M13 5G"/>
    <x v="63"/>
    <s v="MilkFrothers"/>
    <n v="19499"/>
    <n v="13999"/>
    <n v="38998"/>
    <n v="27998"/>
    <n v="10919.44"/>
    <n v="-11000"/>
    <n v="0.28000000000000003"/>
    <n v="4.0999999999999996"/>
    <n v="18998"/>
    <s v="Satheesh Kadiam,Pritom"/>
    <n v="2"/>
    <e v="#REF!"/>
    <e v="#REF!"/>
  </r>
  <r>
    <s v="B09BCNQ9R2"/>
    <s v="DYAZO USB 3.0 Type"/>
    <x v="69"/>
    <m/>
    <n v="499"/>
    <n v="139"/>
    <n v="1497"/>
    <n v="417"/>
    <n v="1077.8399999999999"/>
    <n v="-1080"/>
    <n v="0.72"/>
    <n v="4.2"/>
    <n v="4971"/>
    <s v="narsatya,Jose Amicattu,Amazon"/>
    <n v="3"/>
    <e v="#REF!"/>
    <e v="#REF!"/>
  </r>
  <r>
    <s v="B0B9BD2YL4"/>
    <s v="KINGONE Wireless Charging Pencil"/>
    <x v="56"/>
    <s v="SmallApplianceParts&amp;Accessories"/>
    <n v="6999"/>
    <n v="2599"/>
    <n v="48993"/>
    <n v="18193"/>
    <n v="30865.59"/>
    <n v="-30800"/>
    <n v="0.63"/>
    <n v="4.5"/>
    <n v="1526"/>
    <s v="Ak,Jitesh,anil,Umpo,G'DAS ENTERPRISES,Neetu,Vaibhav"/>
    <n v="7"/>
    <e v="#REF!"/>
    <e v="#REF!"/>
  </r>
  <r>
    <s v="B071Z8M4KX"/>
    <s v="boAt BassHeads 100 in-Ear"/>
    <x v="56"/>
    <s v="YogurtMakers"/>
    <n v="999"/>
    <n v="365"/>
    <n v="1998"/>
    <n v="730"/>
    <n v="1258.74"/>
    <n v="-1268"/>
    <n v="0.63"/>
    <n v="4.0999999999999996"/>
    <n v="363711"/>
    <s v="tarun kumar,mahesh"/>
    <n v="2"/>
    <e v="#REF!"/>
    <e v="#REF!"/>
  </r>
  <r>
    <s v="B09N3ZNHTY"/>
    <s v="boAt Airdopes 141 Bluetooth"/>
    <x v="56"/>
    <s v="Juicers"/>
    <n v="4490"/>
    <n v="1499"/>
    <n v="13470"/>
    <n v="4497"/>
    <n v="9024.9000000000015"/>
    <n v="-8973"/>
    <n v="0.67"/>
    <n v="3.9"/>
    <n v="136954"/>
    <s v="Anindya,Jacob angami,Dillip"/>
    <n v="3"/>
    <e v="#REF!"/>
    <e v="#REF!"/>
  </r>
  <r>
    <s v="B0B3RRWSF6"/>
    <s v="Fire-Boltt Phoenix Smart Watch"/>
    <x v="70"/>
    <s v="Split-SystemAirConditioners"/>
    <n v="9999"/>
    <n v="1998"/>
    <n v="19998"/>
    <n v="3996"/>
    <n v="15998.400000000001"/>
    <n v="-16002"/>
    <n v="0.8"/>
    <n v="4.3"/>
    <n v="27709"/>
    <s v="yogita ratre,Arun"/>
    <n v="2"/>
    <e v="#REF!"/>
    <e v="#REF!"/>
  </r>
  <r>
    <s v="B0B5B6PQCT"/>
    <s v="boAt Wave Call Smart"/>
    <x v="56"/>
    <s v="SmallApplianceParts&amp;Accessories"/>
    <n v="7990"/>
    <n v="1799"/>
    <n v="23970"/>
    <n v="5397"/>
    <n v="18456.900000000001"/>
    <n v="-18573"/>
    <n v="0.77"/>
    <n v="3.8"/>
    <n v="17833"/>
    <s v="AV,Mathan kumar,Amol"/>
    <n v="3"/>
    <e v="#REF!"/>
    <e v="#REF!"/>
  </r>
  <r>
    <s v="B005FYNT3G"/>
    <s v="SanDisk Cruzer Blade 32GB"/>
    <x v="56"/>
    <s v="WaffleMakers&amp;Irons"/>
    <n v="650"/>
    <n v="289"/>
    <n v="1300"/>
    <n v="578"/>
    <n v="728.00000000000011"/>
    <n v="-722"/>
    <n v="0.56000000000000005"/>
    <n v="4.3"/>
    <n v="253105"/>
    <s v="RAJIV D.,Antony"/>
    <n v="2"/>
    <e v="#REF!"/>
    <e v="#REF!"/>
  </r>
  <r>
    <s v="B01J0XWYKQ"/>
    <s v="Logitech B170 Wireless Mouse,"/>
    <x v="63"/>
    <s v="StovetopEspressoPots"/>
    <n v="895"/>
    <n v="599"/>
    <n v="4475"/>
    <n v="2995"/>
    <n v="1476.75"/>
    <n v="-1480"/>
    <n v="0.33"/>
    <n v="4.4000000000000004"/>
    <n v="61314"/>
    <s v="Anand,Aditya,Shiva,Saleem Kumar,A"/>
    <n v="5"/>
    <e v="#REF!"/>
    <e v="#REF!"/>
  </r>
  <r>
    <s v="B09CTRPSJR"/>
    <s v="Storio Kids Toys LCD"/>
    <x v="63"/>
    <s v="CoffeeMakerAccessories"/>
    <n v="237"/>
    <n v="217"/>
    <n v="474"/>
    <n v="434"/>
    <n v="37.92"/>
    <n v="-40"/>
    <n v="0.08"/>
    <n v="3.8"/>
    <n v="7354"/>
    <s v="Udayakumar R.,Samson"/>
    <n v="2"/>
    <e v="#REF!"/>
    <e v="#REF!"/>
  </r>
  <r>
    <s v="B08JQN8DGZ"/>
    <s v="boAt Airdopes 121v2 in-Ear"/>
    <x v="63"/>
    <s v="CoffeePresses"/>
    <n v="2990"/>
    <n v="1299"/>
    <n v="8970"/>
    <n v="3897"/>
    <n v="5112.8999999999996"/>
    <n v="-5073"/>
    <n v="0.56999999999999995"/>
    <n v="3.8"/>
    <n v="180998"/>
    <s v="Anindya,Aditya Mondkar,Pawan"/>
    <n v="3"/>
    <e v="#REF!"/>
    <e v="#REF!"/>
  </r>
  <r>
    <s v="B0B72BSW7K"/>
    <s v="SKE Bed Study Table"/>
    <x v="56"/>
    <s v="RotiMakers"/>
    <n v="699"/>
    <n v="263"/>
    <n v="1398"/>
    <n v="526"/>
    <n v="866.76"/>
    <n v="-872"/>
    <n v="0.62"/>
    <n v="3.5"/>
    <n v="690"/>
    <s v="Amazon Customer,Tamanna"/>
    <n v="2"/>
    <e v="#REF!"/>
    <e v="#REF!"/>
  </r>
  <r>
    <s v="B0BDRVFDKP"/>
    <s v="SanDisk UltraÂ® microSDXCâ„¢ UHS-I"/>
    <x v="71"/>
    <s v="FanParts&amp;Accessories"/>
    <n v="1000"/>
    <n v="569"/>
    <n v="3000"/>
    <n v="1707"/>
    <n v="1290"/>
    <n v="-1293"/>
    <n v="0.43"/>
    <n v="4.4000000000000004"/>
    <n v="67262"/>
    <s v="Prashant,Sumesh Sundararajan,Vijay"/>
    <n v="3"/>
    <e v="#REF!"/>
    <e v="#REF!"/>
  </r>
  <r>
    <s v="B0B5LVS732"/>
    <s v="Noise Pulse Go Buzz"/>
    <x v="56"/>
    <s v="StandMixers"/>
    <n v="4999"/>
    <n v="1999"/>
    <n v="9998"/>
    <n v="3998"/>
    <n v="5998.8"/>
    <n v="-6000"/>
    <n v="0.6"/>
    <n v="4.0999999999999996"/>
    <n v="10689"/>
    <s v="Sumit Nath,Aneesh"/>
    <n v="2"/>
    <e v="#REF!"/>
    <e v="#REF!"/>
  </r>
  <r>
    <s v="B08TV2P1N8"/>
    <s v="boAt Rockerz 255 Pro+"/>
    <x v="62"/>
    <s v="PedestalFans"/>
    <n v="3990"/>
    <n v="1399"/>
    <n v="7980"/>
    <n v="2798"/>
    <n v="5187"/>
    <n v="-5182"/>
    <n v="0.65"/>
    <n v="4.0999999999999996"/>
    <n v="141841"/>
    <s v="Punyabrata Mondal,ruma"/>
    <n v="2"/>
    <e v="#REF!"/>
    <e v="#REF!"/>
  </r>
  <r>
    <s v="B07XCM6T4N"/>
    <s v="STRIFF Adjustable Laptop Tabletop"/>
    <x v="58"/>
    <s v="Vacuums&amp;FloorCare"/>
    <n v="1499"/>
    <n v="349"/>
    <n v="1499"/>
    <n v="349"/>
    <n v="1154.23"/>
    <n v="-1150"/>
    <n v="0.77"/>
    <n v="4.3"/>
    <n v="24791"/>
    <s v="G D"/>
    <n v="1"/>
    <e v="#REF!"/>
    <e v="#REF!"/>
  </r>
  <r>
    <s v="B07T5DKR5D"/>
    <s v="ZEBRONICS Zeb-Bro in Ear"/>
    <x v="0"/>
    <s v="Cables"/>
    <n v="399"/>
    <n v="149"/>
    <n v="399"/>
    <n v="149"/>
    <n v="251.37"/>
    <n v="-250"/>
    <n v="0.63"/>
    <n v="3.5"/>
    <n v="21764"/>
    <s v="LAKSHMI NARAYANA"/>
    <n v="1"/>
    <e v="#REF!"/>
    <e v="#REF!"/>
  </r>
  <r>
    <s v="B01DEWVZ2C"/>
    <s v="JBL C100SI Wired In"/>
    <x v="1"/>
    <s v="WirelessUSBAdapters"/>
    <n v="999"/>
    <n v="599"/>
    <n v="1998"/>
    <n v="1198"/>
    <n v="799.2"/>
    <n v="-800"/>
    <n v="0.4"/>
    <n v="4.0999999999999996"/>
    <n v="192587"/>
    <s v="Sunny J.,Praveen"/>
    <n v="2"/>
    <e v="#REF!"/>
    <e v="#REF!"/>
  </r>
  <r>
    <s v="B07PR1CL3S"/>
    <s v="boAt Rockerz 450 Bluetooth"/>
    <x v="2"/>
    <s v="Cables"/>
    <n v="3990"/>
    <n v="1220"/>
    <n v="7980"/>
    <n v="2440"/>
    <n v="5506.2"/>
    <n v="-5540"/>
    <n v="0.69"/>
    <n v="4.0999999999999996"/>
    <n v="107151"/>
    <s v="Deepanshu saini,Sunil"/>
    <n v="2"/>
    <e v="#REF!"/>
    <e v="#REF!"/>
  </r>
  <r>
    <s v="B09V12K8NT"/>
    <s v="boAt Wave Lite Smartwatch"/>
    <x v="3"/>
    <s v="SmartTelevisions"/>
    <n v="6990"/>
    <n v="1499"/>
    <n v="13980"/>
    <n v="2998"/>
    <n v="11044.2"/>
    <n v="-10982"/>
    <n v="0.79"/>
    <n v="3.9"/>
    <n v="21797"/>
    <s v="Aby Jimson,Prasad"/>
    <n v="2"/>
    <e v="#REF!"/>
    <e v="#REF!"/>
  </r>
  <r>
    <s v="B07JQKQ91F"/>
    <s v="JBL C50HI, Wired in"/>
    <x v="2"/>
    <s v="RemoteControls"/>
    <n v="999"/>
    <n v="499"/>
    <n v="3996"/>
    <n v="1996"/>
    <n v="1998"/>
    <n v="-2000"/>
    <n v="0.5"/>
    <n v="3.9"/>
    <n v="92995"/>
    <s v="Pooja,Prashant,Kartikey Singh,Sailendra"/>
    <n v="4"/>
    <e v="#REF!"/>
    <e v="#REF!"/>
  </r>
  <r>
    <s v="B08W56G1K9"/>
    <s v="LAPSTER Spiral Charger Spiral"/>
    <x v="3"/>
    <s v="StandardTelevisions"/>
    <n v="999"/>
    <n v="99"/>
    <n v="2997"/>
    <n v="297"/>
    <n v="2697.3"/>
    <n v="-2700"/>
    <n v="0.9"/>
    <n v="4.0999999999999996"/>
    <n v="8751"/>
    <s v="Happy customer,Screcko,Alka"/>
    <n v="3"/>
    <e v="#REF!"/>
    <e v="#REF!"/>
  </r>
  <r>
    <s v="B07WG8PDCW"/>
    <s v="pTron Bullet Pro 36W"/>
    <x v="2"/>
    <s v="TVMounts,Stands&amp;Turntables"/>
    <n v="1299"/>
    <n v="349"/>
    <n v="3897"/>
    <n v="1047"/>
    <n v="2844.81"/>
    <n v="-2850"/>
    <n v="0.73"/>
    <n v="4"/>
    <n v="14283"/>
    <s v="Rakesh Roshan,Kani,Amazon"/>
    <n v="3"/>
    <e v="#REF!"/>
    <e v="#REF!"/>
  </r>
  <r>
    <s v="B01L8ZNWN2"/>
    <s v="HP v236w USB 2.0"/>
    <x v="2"/>
    <s v="Cables"/>
    <n v="1500"/>
    <n v="475"/>
    <n v="4500"/>
    <n v="1425"/>
    <n v="3060.0000000000005"/>
    <n v="-3075"/>
    <n v="0.68"/>
    <n v="4.2"/>
    <n v="64273"/>
    <s v="Varun,Ankit maurya,GANESH"/>
    <n v="3"/>
    <e v="#REF!"/>
    <e v="#REF!"/>
  </r>
  <r>
    <s v="B009VCGPSY"/>
    <s v="HP X1000 Wired USB"/>
    <x v="2"/>
    <s v="SpeakerAccessories"/>
    <n v="649"/>
    <n v="269"/>
    <n v="1947"/>
    <n v="807"/>
    <n v="1148.73"/>
    <n v="-1140"/>
    <n v="0.59"/>
    <n v="4.3"/>
    <n v="54315"/>
    <s v="Shridhan Varadkar,Mahalingam,Rajender"/>
    <n v="3"/>
    <e v="#REF!"/>
    <e v="#REF!"/>
  </r>
  <r>
    <s v="B0B296NTFV"/>
    <s v="Portronics Toad 23 Wireless"/>
    <x v="2"/>
    <s v="Cables"/>
    <n v="599"/>
    <n v="299"/>
    <n v="1198"/>
    <n v="598"/>
    <n v="599"/>
    <n v="-600"/>
    <n v="0.5"/>
    <n v="4.0999999999999996"/>
    <n v="1597"/>
    <s v="Sandip Roy,Neelakantam"/>
    <n v="2"/>
    <e v="#REF!"/>
    <e v="#REF!"/>
  </r>
  <r>
    <s v="B09NVPSCQT"/>
    <s v="Noise ColorFit Pulse Grand"/>
    <x v="4"/>
    <m/>
    <n v="3999"/>
    <n v="1599"/>
    <n v="7998"/>
    <n v="3198"/>
    <n v="4798.8"/>
    <n v="-4800"/>
    <n v="0.6"/>
    <n v="4"/>
    <n v="30254"/>
    <s v="Ranjitha Parida,Shubham"/>
    <n v="2"/>
    <e v="#REF!"/>
    <e v="#REF!"/>
  </r>
  <r>
    <s v="B09YV4RG4D"/>
    <s v="Fire-Boltt Ninja 3 Smartwatch"/>
    <x v="2"/>
    <s v="Adapters"/>
    <n v="7999"/>
    <n v="1499"/>
    <n v="7999"/>
    <n v="1499"/>
    <n v="6479.1900000000005"/>
    <n v="-6500"/>
    <n v="0.81"/>
    <n v="4.2"/>
    <n v="22638"/>
    <s v="Rahul Singh"/>
    <n v="1"/>
    <e v="#REF!"/>
    <e v="#REF!"/>
  </r>
  <r>
    <s v="B07TCN5VR9"/>
    <s v="Boult Audio BassBuds X1"/>
    <x v="5"/>
    <s v="SatelliteReceivers"/>
    <n v="999"/>
    <n v="329"/>
    <n v="1998"/>
    <n v="658"/>
    <n v="1338.66"/>
    <n v="-1340"/>
    <n v="0.67"/>
    <n v="3.9"/>
    <n v="77027"/>
    <s v="ArdKn,An Interested"/>
    <n v="2"/>
    <e v="#REF!"/>
    <e v="#REF!"/>
  </r>
  <r>
    <s v="B00ZYLMQH0"/>
    <s v="Dell KB216 Wired Multimedia"/>
    <x v="0"/>
    <s v="Cables"/>
    <n v="1799"/>
    <n v="549"/>
    <n v="3598"/>
    <n v="1098"/>
    <n v="2482.62"/>
    <n v="-2500"/>
    <n v="0.69"/>
    <n v="4.3"/>
    <n v="28829"/>
    <s v="Minhaj Mohd,Amazon"/>
    <n v="2"/>
    <e v="#REF!"/>
    <e v="#REF!"/>
  </r>
  <r>
    <s v="B09YV4MW2T"/>
    <s v="Fire-Boltt India's No 1"/>
    <x v="2"/>
    <s v="Cables"/>
    <n v="9999"/>
    <n v="2199"/>
    <n v="19998"/>
    <n v="4398"/>
    <n v="15598.44"/>
    <n v="-15600"/>
    <n v="0.78"/>
    <n v="4.2"/>
    <n v="29478"/>
    <s v="Deepankar G.,Babu"/>
    <n v="2"/>
    <e v="#REF!"/>
    <e v="#REF!"/>
  </r>
  <r>
    <s v="B01HJI0FS2"/>
    <s v="Dell MS116 1000Dpi USB"/>
    <x v="6"/>
    <s v="StreamingClients"/>
    <n v="650"/>
    <n v="299"/>
    <n v="3250"/>
    <n v="1495"/>
    <n v="1755"/>
    <n v="-1755"/>
    <n v="0.54"/>
    <n v="4.5"/>
    <n v="33176"/>
    <s v="Mohammad Noushad,Ramkumar.R,Sreeram,Gs7,Dongay"/>
    <n v="5"/>
    <e v="#REF!"/>
    <e v="#REF!"/>
  </r>
  <r>
    <s v="B076B8G5D8"/>
    <s v="Boya ByM1 Auxiliary Omnidirectional"/>
    <x v="7"/>
    <m/>
    <n v="1995"/>
    <n v="798"/>
    <n v="3990"/>
    <n v="1596"/>
    <n v="2394"/>
    <n v="-2394"/>
    <n v="0.6"/>
    <n v="4"/>
    <n v="68664"/>
    <s v="Sameer Patil,Ashish"/>
    <n v="2"/>
    <e v="#REF!"/>
    <e v="#REF!"/>
  </r>
  <r>
    <s v="B07JW9H4J1"/>
    <s v="Wayona Nylon Braided USB"/>
    <x v="8"/>
    <s v="TowerSpeakers"/>
    <n v="1099"/>
    <n v="399"/>
    <n v="4396"/>
    <n v="1596"/>
    <n v="2813.44"/>
    <n v="-2800"/>
    <n v="0.64"/>
    <n v="4.2"/>
    <n v="24269"/>
    <s v="Manav,Adarsh gupta,Sundeep,S.Sayeed"/>
    <n v="4"/>
    <e v="#REF!"/>
    <e v="#REF!"/>
  </r>
  <r>
    <s v="B014SZO90Y"/>
    <s v="Duracell Ultra Alkaline AA"/>
    <x v="2"/>
    <s v="3DGlasses"/>
    <n v="315"/>
    <n v="266"/>
    <n v="945"/>
    <n v="798"/>
    <n v="151.19999999999999"/>
    <n v="-147"/>
    <n v="0.16"/>
    <n v="4.5"/>
    <n v="28030"/>
    <s v="Gopinathan,Punaram Chutia,Amazon"/>
    <n v="3"/>
    <e v="#REF!"/>
    <e v="#REF!"/>
  </r>
  <r>
    <s v="B07KCMR8D6"/>
    <s v="Classmate Octane Neon- Blue"/>
    <x v="9"/>
    <m/>
    <n v="50"/>
    <n v="50"/>
    <n v="100"/>
    <n v="100"/>
    <n v="0"/>
    <n v="0"/>
    <n v="0"/>
    <n v="4.3"/>
    <n v="5792"/>
    <s v="Gatij saini,Biswajit"/>
    <n v="2"/>
    <e v="#REF!"/>
    <e v="#REF!"/>
  </r>
  <r>
    <s v="B00N1U9AJS"/>
    <s v="3M Scotch Double Sided"/>
    <x v="10"/>
    <s v="Chargers"/>
    <n v="165"/>
    <n v="130"/>
    <n v="330"/>
    <n v="260"/>
    <n v="69.3"/>
    <n v="-70"/>
    <n v="0.21"/>
    <n v="3.9"/>
    <n v="14778"/>
    <s v="Amit Shrivastava,Sikandar"/>
    <n v="2"/>
    <e v="#REF!"/>
    <e v="#REF!"/>
  </r>
  <r>
    <s v="B07KY3FNQP"/>
    <s v="boAt Bassheads 152 in"/>
    <x v="11"/>
    <s v="Smartphones"/>
    <n v="1290"/>
    <n v="449"/>
    <n v="3870"/>
    <n v="1347"/>
    <n v="2515.5"/>
    <n v="-2523"/>
    <n v="0.65"/>
    <n v="4.0999999999999996"/>
    <n v="91770"/>
    <s v="Sameer,Dwarakesh Arshu,Arjun"/>
    <n v="3"/>
    <e v="#REF!"/>
    <e v="#REF!"/>
  </r>
  <r>
    <s v="B0B3N7LR6K"/>
    <s v="Fire-Boltt Visionary 1.78&quot; AMOLED"/>
    <x v="12"/>
    <s v="MicroSD"/>
    <n v="16999"/>
    <n v="3999"/>
    <n v="84995"/>
    <n v="19995"/>
    <n v="64596.2"/>
    <n v="-65000"/>
    <n v="0.76"/>
    <n v="4.3"/>
    <n v="17162"/>
    <s v="Vineet,shreyas,Amazon Customer,shaurya,Kartik"/>
    <n v="5"/>
    <e v="#REF!"/>
    <e v="#REF!"/>
  </r>
  <r>
    <s v="B07QZ3CZ48"/>
    <s v="boAt BassHeads 122 Wired"/>
    <x v="11"/>
    <s v="BasicMobiles"/>
    <n v="1290"/>
    <n v="399"/>
    <n v="2580"/>
    <n v="798"/>
    <n v="1780.1999999999998"/>
    <n v="-1782"/>
    <n v="0.69"/>
    <n v="4.2"/>
    <n v="206"/>
    <s v="Clifford Francis,Paras"/>
    <n v="2"/>
    <e v="#REF!"/>
    <e v="#REF!"/>
  </r>
  <r>
    <s v="B09T3H12GV"/>
    <s v="Dell USB Wireless Keyboard"/>
    <x v="13"/>
    <s v="In-Ear"/>
    <n v="2498"/>
    <n v="1399"/>
    <n v="9992"/>
    <n v="5596"/>
    <n v="4396.4800000000005"/>
    <n v="-4396"/>
    <n v="0.44"/>
    <n v="4.2"/>
    <n v="33717"/>
    <s v="Harsh Kumar,Arv,Debayan,Sidharrtha"/>
    <n v="4"/>
    <e v="#REF!"/>
    <e v="#REF!"/>
  </r>
  <r>
    <s v="B098NS6PVG"/>
    <s v="Ambrane Unbreakable 60W /"/>
    <x v="10"/>
    <s v="Chargers"/>
    <n v="349"/>
    <n v="199"/>
    <n v="1047"/>
    <n v="597"/>
    <n v="450.21"/>
    <n v="-450"/>
    <n v="0.43"/>
    <n v="4"/>
    <n v="43994"/>
    <s v="ArdKn,Nirbhay kumar,Sagar"/>
    <n v="3"/>
    <e v="#REF!"/>
    <e v="#REF!"/>
  </r>
  <r>
    <s v="B096MSW6CT"/>
    <s v="Sounce Fast Phone Charging"/>
    <x v="10"/>
    <s v="AutomobileAccessories"/>
    <n v="999"/>
    <n v="199"/>
    <n v="4995"/>
    <n v="995"/>
    <n v="3996"/>
    <n v="-4000"/>
    <n v="0.8"/>
    <n v="3.9"/>
    <n v="7928"/>
    <s v="Kunal,Himanshu,viswanath,sai niharka,saqib"/>
    <n v="5"/>
    <e v="#REF!"/>
    <e v="#REF!"/>
  </r>
  <r>
    <s v="B09ZQK9X8G"/>
    <s v="Noise ColorFit Pro 4"/>
    <x v="10"/>
    <s v="Chargers"/>
    <n v="5999"/>
    <n v="2998"/>
    <n v="11998"/>
    <n v="5996"/>
    <n v="5999"/>
    <n v="-6002"/>
    <n v="0.5"/>
    <n v="4.0999999999999996"/>
    <n v="5179"/>
    <s v="Sanjay G.,Vinay"/>
    <n v="2"/>
    <e v="#REF!"/>
    <e v="#REF!"/>
  </r>
  <r>
    <s v="B08ZJDWTJ1"/>
    <s v="Seagate Expansion 1TB External"/>
    <x v="10"/>
    <s v="Cables&amp;Adapters"/>
    <n v="4999"/>
    <n v="4098"/>
    <n v="29994"/>
    <n v="24588"/>
    <n v="5398.92"/>
    <n v="-5406"/>
    <n v="0.18"/>
    <n v="4.5"/>
    <n v="50810"/>
    <s v="Pallavi Varur,Amitasap,PRADEEP,Karma,JASWANTSINGH,Suhasini"/>
    <n v="6"/>
    <e v="#REF!"/>
    <e v="#REF!"/>
  </r>
  <r>
    <s v="B08FTFXNNB"/>
    <s v="HP w100 480P 30"/>
    <x v="10"/>
    <s v="Photo&amp;VideoAccessories"/>
    <n v="1999"/>
    <n v="499"/>
    <n v="5997"/>
    <n v="1497"/>
    <n v="4497.75"/>
    <n v="-4500"/>
    <n v="0.75"/>
    <n v="3.7"/>
    <n v="3369"/>
    <s v="IC,neetu singh,Prasenjit"/>
    <n v="3"/>
    <e v="#REF!"/>
    <e v="#REF!"/>
  </r>
  <r>
    <s v="B08YDFX7Y1"/>
    <s v="ZEBRONICS Zeb-Dash Plus 2.4GHz"/>
    <x v="10"/>
    <s v="Photo&amp;VideoAccessories"/>
    <n v="449"/>
    <n v="299"/>
    <n v="898"/>
    <n v="598"/>
    <n v="296.34000000000003"/>
    <n v="-300"/>
    <n v="0.33"/>
    <n v="3.5"/>
    <n v="11827"/>
    <s v="Wilson Patel,Sneha"/>
    <n v="2"/>
    <e v="#REF!"/>
    <e v="#REF!"/>
  </r>
  <r>
    <s v="B08HDJ86NZ"/>
    <s v="boAt Deuce USB 300"/>
    <x v="10"/>
    <s v="Stands"/>
    <n v="699"/>
    <n v="329"/>
    <n v="2796"/>
    <n v="1316"/>
    <n v="1481.88"/>
    <n v="-1480"/>
    <n v="0.53"/>
    <n v="4.2"/>
    <n v="94364"/>
    <s v="Omkar dhale,JD,HEMALATHA,Ajwadh"/>
    <n v="4"/>
    <e v="#REF!"/>
    <e v="#REF!"/>
  </r>
  <r>
    <s v="B087FXHB6J"/>
    <s v="Zebronics Zeb-Companion 107 USB"/>
    <x v="0"/>
    <s v="CableConnectionProtectors"/>
    <n v="999"/>
    <n v="699"/>
    <n v="2997"/>
    <n v="2097"/>
    <n v="899.09999999999991"/>
    <n v="-900"/>
    <n v="0.3"/>
    <n v="3.5"/>
    <n v="15295"/>
    <s v="HARDIK A.,JAYANTH,Huq"/>
    <n v="3"/>
    <e v="#REF!"/>
    <e v="#REF!"/>
  </r>
  <r>
    <s v="B07N42JB4S"/>
    <s v="SYVO WT 3130 Aluminum"/>
    <x v="10"/>
    <s v="DÃ©cor"/>
    <n v="3990"/>
    <n v="799"/>
    <n v="11970"/>
    <n v="2397"/>
    <n v="9576"/>
    <n v="-9573"/>
    <n v="0.8"/>
    <n v="4.3"/>
    <n v="27139"/>
    <s v="Mananveer singh,Lavanya.G,Ananta"/>
    <n v="3"/>
    <e v="#REF!"/>
    <e v="#REF!"/>
  </r>
  <r>
    <s v="B0B31BYXQQ"/>
    <s v="Boult Audio Airbass Z20"/>
    <x v="10"/>
    <s v="Maintenance,Upkeep&amp;Repairs"/>
    <n v="5499"/>
    <n v="1399"/>
    <n v="27495"/>
    <n v="6995"/>
    <n v="20621.25"/>
    <n v="-20500"/>
    <n v="0.75"/>
    <n v="3.9"/>
    <n v="9504"/>
    <s v="Ruman,deep,Jatin Sawhney,Nehru,P"/>
    <n v="5"/>
    <e v="#REF!"/>
    <e v="#REF!"/>
  </r>
  <r>
    <s v="B08CF3B7N1"/>
    <s v="Portronics Konnect L 1.2M"/>
    <x v="10"/>
    <s v="StylusPens"/>
    <n v="399"/>
    <n v="154"/>
    <n v="1197"/>
    <n v="462"/>
    <n v="730.17"/>
    <n v="-735"/>
    <n v="0.61"/>
    <n v="4.2"/>
    <n v="16905"/>
    <s v="rahuls6099,Swasat Borah,Ajay"/>
    <n v="3"/>
    <e v="#REF!"/>
    <e v="#REF!"/>
  </r>
  <r>
    <s v="B07SLMR1K6"/>
    <s v="SanDisk Ultra Flair 64GB"/>
    <x v="10"/>
    <s v="Mounts"/>
    <n v="1350"/>
    <n v="519"/>
    <n v="2700"/>
    <n v="1038"/>
    <n v="1674"/>
    <n v="-1662"/>
    <n v="0.62"/>
    <n v="4.3"/>
    <n v="30058"/>
    <s v="Akash Kumar,Anil"/>
    <n v="2"/>
    <e v="#REF!"/>
    <e v="#REF!"/>
  </r>
  <r>
    <s v="B09MQSCJQ1"/>
    <s v="boAt Xtend Smartwatch with"/>
    <x v="10"/>
    <s v="Cases&amp;Covers"/>
    <n v="7990"/>
    <n v="2299"/>
    <n v="23970"/>
    <n v="6897"/>
    <n v="17018.699999999997"/>
    <n v="-17073"/>
    <n v="0.71"/>
    <n v="4.2"/>
    <n v="69619"/>
    <s v="Andy,Deepak Karki,B"/>
    <n v="3"/>
    <e v="#REF!"/>
    <e v="#REF!"/>
  </r>
  <r>
    <s v="B094YFFSMY"/>
    <s v="Tygot Bluetooth Extendable Selfie"/>
    <x v="10"/>
    <s v="Mounts"/>
    <n v="1999"/>
    <n v="399"/>
    <n v="7996"/>
    <n v="1596"/>
    <n v="6396.8"/>
    <n v="-6400"/>
    <n v="0.8"/>
    <n v="4"/>
    <n v="3382"/>
    <s v="Shekhar Badola,Pravin,Kishor,Ananta"/>
    <n v="4"/>
    <e v="#REF!"/>
    <e v="#REF!"/>
  </r>
  <r>
    <s v="B092X94QNQ"/>
    <s v="boAt Rockerz 330 in-Ear"/>
    <x v="13"/>
    <s v="On-Ear"/>
    <n v="3990"/>
    <n v="1499"/>
    <n v="7980"/>
    <n v="2998"/>
    <n v="4947.6000000000004"/>
    <n v="-4982"/>
    <n v="0.62"/>
    <n v="4.0999999999999996"/>
    <n v="109864"/>
    <s v="Srikar Kandikonda,Alden"/>
    <n v="2"/>
    <e v="#REF!"/>
    <e v="#REF!"/>
  </r>
  <r>
    <s v="B0846D5CBP"/>
    <s v="Casio FX-991ES Plus-2nd Edition"/>
    <x v="14"/>
    <s v="CameraPrivacyCovers"/>
    <n v="1295"/>
    <n v="1295"/>
    <n v="3885"/>
    <n v="3885"/>
    <n v="0"/>
    <n v="0"/>
    <n v="0"/>
    <n v="4.5"/>
    <n v="5760"/>
    <s v="Vajrala s.,Goutham.G.A.,Abhishek"/>
    <n v="3"/>
    <e v="#REF!"/>
    <e v="#REF!"/>
  </r>
  <r>
    <s v="B00KXULGJQ"/>
    <s v="TP-Link AC750 Wifi Range"/>
    <x v="15"/>
    <m/>
    <n v="5499"/>
    <n v="1889"/>
    <n v="10998"/>
    <n v="3778"/>
    <n v="7258.68"/>
    <n v="-7220"/>
    <n v="0.66"/>
    <n v="4.2"/>
    <n v="49551"/>
    <s v="Amazon Customer,Sanu"/>
    <n v="2"/>
    <e v="#REF!"/>
    <e v="#REF!"/>
  </r>
  <r>
    <s v="B08H9Z3XQW"/>
    <s v="boAt Bassheads 242 in"/>
    <x v="10"/>
    <s v="DÃ©cor"/>
    <n v="1490"/>
    <n v="455"/>
    <n v="8940"/>
    <n v="2730"/>
    <n v="6168.5999999999995"/>
    <n v="-6210"/>
    <n v="0.69"/>
    <n v="4.0999999999999996"/>
    <n v="161677"/>
    <s v="Tanu,THENNARASU,uday,Rohit,Akshat Sharma,pramod"/>
    <n v="6"/>
    <e v="#REF!"/>
    <e v="#REF!"/>
  </r>
  <r>
    <s v="B08LPJZSSW"/>
    <s v="DIGITEKÂ®"/>
    <x v="10"/>
    <s v="Mounts"/>
    <n v="995"/>
    <n v="399"/>
    <n v="3980"/>
    <n v="1596"/>
    <n v="2388"/>
    <n v="-2384"/>
    <n v="0.6"/>
    <n v="3.9"/>
    <n v="21372"/>
    <s v="A. Dubey,anandmohan,PREM,Daanish"/>
    <n v="4"/>
    <e v="#REF!"/>
    <e v="#REF!"/>
  </r>
  <r>
    <s v="B09MT84WV5"/>
    <s v="Samsung EVO Plus 128GB"/>
    <x v="16"/>
    <m/>
    <n v="3999"/>
    <n v="1059"/>
    <n v="7998"/>
    <n v="2118"/>
    <n v="5918.5199999999995"/>
    <n v="-5880"/>
    <n v="0.74"/>
    <n v="4.3"/>
    <n v="140035"/>
    <s v="Rashmi Joshi,Soumendra"/>
    <n v="2"/>
    <e v="#REF!"/>
    <e v="#REF!"/>
  </r>
  <r>
    <s v="B08Y1TFSP6"/>
    <s v="pTron Solero TB301 3A"/>
    <x v="17"/>
    <s v="Mice"/>
    <n v="1000"/>
    <n v="149"/>
    <n v="4000"/>
    <n v="596"/>
    <n v="3400"/>
    <n v="-3404"/>
    <n v="0.85"/>
    <n v="3.9"/>
    <n v="24870"/>
    <s v="Jayesh,Rajesh k.,Soopy,amazon"/>
    <n v="4"/>
    <e v="#REF!"/>
    <e v="#REF!"/>
  </r>
  <r>
    <s v="B08CYPB15D"/>
    <s v="HP 805 Black Original"/>
    <x v="17"/>
    <s v="GraphicTablets"/>
    <n v="761"/>
    <n v="717"/>
    <n v="3805"/>
    <n v="3585"/>
    <n v="228.29999999999998"/>
    <n v="-220"/>
    <n v="0.06"/>
    <n v="4"/>
    <n v="7199"/>
    <s v="Devendra,TILAK C.,krishnakanth,Nisha,Amazon"/>
    <n v="5"/>
    <e v="#REF!"/>
    <e v="#REF!"/>
  </r>
  <r>
    <s v="B085HY1DGR"/>
    <s v="Sounce Spiral Charger Cable"/>
    <x v="14"/>
    <s v="Lapdesks"/>
    <n v="999"/>
    <n v="99"/>
    <n v="1998"/>
    <n v="198"/>
    <n v="1798.2"/>
    <n v="-1800"/>
    <n v="0.9"/>
    <n v="4"/>
    <n v="1396"/>
    <s v="Diamond heart,Amazon"/>
    <n v="2"/>
    <e v="#REF!"/>
    <e v="#REF!"/>
  </r>
  <r>
    <s v="B00MFPCY5C"/>
    <s v="GIZGA essentials Universal Silicone"/>
    <x v="14"/>
    <s v="NotebookComputerStands"/>
    <n v="299"/>
    <n v="39"/>
    <n v="598"/>
    <n v="78"/>
    <n v="520.26"/>
    <n v="-520"/>
    <n v="0.87"/>
    <n v="3.5"/>
    <n v="15233"/>
    <s v="Selva sibi,Apparao"/>
    <n v="2"/>
    <e v="#REF!"/>
    <e v="#REF!"/>
  </r>
  <r>
    <s v="B07JJFSG2B"/>
    <s v="SanDisk Ultra 128 GB"/>
    <x v="17"/>
    <s v="Keyboards"/>
    <n v="2500"/>
    <n v="889"/>
    <n v="7500"/>
    <n v="2667"/>
    <n v="4800"/>
    <n v="-4833"/>
    <n v="0.64"/>
    <n v="4.3"/>
    <n v="55747"/>
    <s v="Brijesh Kamani,venkatesh.R,Saidur"/>
    <n v="3"/>
    <e v="#REF!"/>
    <e v="#REF!"/>
  </r>
  <r>
    <s v="B09NR6G588"/>
    <s v="Boult Audio ZCharge Bluetooth"/>
    <x v="18"/>
    <m/>
    <n v="4999"/>
    <n v="1199"/>
    <n v="4999"/>
    <n v="1199"/>
    <n v="3799.2400000000002"/>
    <n v="-3800"/>
    <n v="0.76"/>
    <n v="3.8"/>
    <n v="14961"/>
    <s v="Kevin Nathan"/>
    <n v="1"/>
    <e v="#REF!"/>
    <e v="#REF!"/>
  </r>
  <r>
    <s v="B07JPX9CR7"/>
    <s v="Dell WM118 Wireless Mouse,"/>
    <x v="19"/>
    <m/>
    <n v="1299"/>
    <n v="569"/>
    <n v="3897"/>
    <n v="1707"/>
    <n v="2182.3200000000002"/>
    <n v="-2190"/>
    <n v="0.56000000000000005"/>
    <n v="4.4000000000000004"/>
    <n v="9275"/>
    <s v="Gopinadh.P,BANDARU SAIDULU,S.Sankaranarayana"/>
    <n v="3"/>
    <e v="#REF!"/>
    <e v="#REF!"/>
  </r>
  <r>
    <s v="B08D11DZ2W"/>
    <s v="Boult Audio AirBass PowerBuds"/>
    <x v="20"/>
    <s v="Stationery"/>
    <n v="8999"/>
    <n v="1499"/>
    <n v="26997"/>
    <n v="4497"/>
    <n v="22407.510000000002"/>
    <n v="-22500"/>
    <n v="0.83"/>
    <n v="3.7"/>
    <n v="28324"/>
    <s v="Vivek,Anas CA,trivendram"/>
    <n v="3"/>
    <e v="#REF!"/>
    <e v="#REF!"/>
  </r>
  <r>
    <s v="B07Q7561HD"/>
    <s v="Eveready 1015 Carbon Zinc"/>
    <x v="21"/>
    <s v="Tape"/>
    <n v="180"/>
    <n v="149"/>
    <n v="540"/>
    <n v="447"/>
    <n v="91.800000000000011"/>
    <n v="-93"/>
    <n v="0.17"/>
    <n v="4.4000000000000004"/>
    <n v="644"/>
    <s v="Manish,Tanveer Sayed,Sadhan"/>
    <n v="3"/>
    <e v="#REF!"/>
    <e v="#REF!"/>
  </r>
  <r>
    <s v="B0819HZPXL"/>
    <s v="Zebronics Zeb-Transformer-M Optical USB"/>
    <x v="17"/>
    <s v="Keyboard&amp;MouseSets"/>
    <n v="549"/>
    <n v="399"/>
    <n v="1098"/>
    <n v="798"/>
    <n v="296.46000000000004"/>
    <n v="-300"/>
    <n v="0.27"/>
    <n v="4.4000000000000004"/>
    <n v="18139"/>
    <s v="Dhiraj Bansal,Shaikh"/>
    <n v="2"/>
    <e v="#REF!"/>
    <e v="#REF!"/>
  </r>
  <r>
    <s v="B00LXTFMRS"/>
    <s v="PIDILITE Fevicryl Acrylic Colours"/>
    <x v="22"/>
    <m/>
    <n v="225"/>
    <n v="191"/>
    <n v="900"/>
    <n v="764"/>
    <n v="135"/>
    <n v="-136"/>
    <n v="0.15"/>
    <n v="4.4000000000000004"/>
    <n v="7203"/>
    <s v="Safiya,Archana,S. Yates,Shwetha"/>
    <n v="4"/>
    <e v="#REF!"/>
    <e v="#REF!"/>
  </r>
  <r>
    <s v="B0B9LDCX89"/>
    <s v="STRIFF Mpad Mouse Mat"/>
    <x v="23"/>
    <m/>
    <n v="999"/>
    <n v="129"/>
    <n v="1998"/>
    <n v="258"/>
    <n v="1738.26"/>
    <n v="-1740"/>
    <n v="0.87"/>
    <n v="4.2"/>
    <n v="491"/>
    <s v="muhamad s.,Aruna"/>
    <n v="2"/>
    <e v="#REF!"/>
    <e v="#REF!"/>
  </r>
  <r>
    <s v="B0765B3TH7"/>
    <s v="Gizga Essentials Hard Drive"/>
    <x v="2"/>
    <s v="Tripods&amp;Monopods"/>
    <n v="599"/>
    <n v="199"/>
    <n v="1797"/>
    <n v="597"/>
    <n v="1203.9900000000002"/>
    <n v="-1200"/>
    <n v="0.67"/>
    <n v="4.5"/>
    <n v="13568"/>
    <s v="Dhirendar,Chris Fernandes,DHRITIMAN"/>
    <n v="3"/>
    <e v="#REF!"/>
    <e v="#REF!"/>
  </r>
  <r>
    <s v="B0B1F6GQPS"/>
    <s v="Boult Audio FXCharge with"/>
    <x v="24"/>
    <s v="Scientific"/>
    <n v="4499"/>
    <n v="999"/>
    <n v="13497"/>
    <n v="2997"/>
    <n v="10527.66"/>
    <n v="-10500"/>
    <n v="0.78"/>
    <n v="3.8"/>
    <n v="3390"/>
    <s v="V.W.,Nitin desai,Amazon"/>
    <n v="3"/>
    <e v="#REF!"/>
    <e v="#REF!"/>
  </r>
  <r>
    <s v="B07LG59NPV"/>
    <s v="Boult Audio Probass Curve"/>
    <x v="25"/>
    <m/>
    <n v="4499"/>
    <n v="899"/>
    <n v="8998"/>
    <n v="1798"/>
    <n v="7198.4000000000005"/>
    <n v="-7200"/>
    <n v="0.8"/>
    <n v="3.8"/>
    <n v="103052"/>
    <s v="Mukesh Maurya,Gyan"/>
    <n v="2"/>
    <e v="#REF!"/>
    <e v="#REF!"/>
  </r>
  <r>
    <s v="B07RD611Z8"/>
    <s v="Ambrane 20000mAh Power Bank"/>
    <x v="2"/>
    <s v="Tripods&amp;Monopods"/>
    <n v="2499"/>
    <n v="1799"/>
    <n v="7497"/>
    <n v="5397"/>
    <n v="2099.16"/>
    <n v="-2100"/>
    <n v="0.28000000000000003"/>
    <n v="4.0999999999999996"/>
    <n v="18678"/>
    <s v="Vikrant,Ganesh Gholap,âš¡"/>
    <n v="3"/>
    <e v="#REF!"/>
    <e v="#REF!"/>
  </r>
  <r>
    <s v="B08WRWPM22"/>
    <s v="boAt Micro USB 55"/>
    <x v="26"/>
    <s v="InkjetInkCartridges"/>
    <n v="499"/>
    <n v="176.63"/>
    <n v="998"/>
    <n v="353.26"/>
    <n v="648.70000000000005"/>
    <n v="-644.74"/>
    <n v="0.65"/>
    <n v="4.0999999999999996"/>
    <n v="15189"/>
    <s v="Vivek kumar,Amazon"/>
    <n v="2"/>
    <e v="#REF!"/>
    <e v="#REF!"/>
  </r>
  <r>
    <s v="B00AXHBBXU"/>
    <s v="Casio FX-82MS 2nd Gen"/>
    <x v="17"/>
    <s v="Keyboard&amp;MiceAccessories"/>
    <n v="550"/>
    <n v="522"/>
    <n v="1100"/>
    <n v="1044"/>
    <n v="55"/>
    <n v="-56"/>
    <n v="0.05"/>
    <n v="4.4000000000000004"/>
    <n v="12179"/>
    <s v="Jojo Dominic,Anshi"/>
    <n v="2"/>
    <e v="#REF!"/>
    <e v="#REF!"/>
  </r>
  <r>
    <s v="B08MCD9JFY"/>
    <s v="Tygot 10 Inches Big"/>
    <x v="27"/>
    <s v="GamingMice"/>
    <n v="1999"/>
    <n v="799"/>
    <n v="3998"/>
    <n v="1598"/>
    <n v="2398.7999999999997"/>
    <n v="-2400"/>
    <n v="0.6"/>
    <n v="3.8"/>
    <n v="12958"/>
    <s v="Avnish Kshirsagar,Vivek"/>
    <n v="2"/>
    <e v="#REF!"/>
    <e v="#REF!"/>
  </r>
  <r>
    <s v="B083RCTXLL"/>
    <s v="HP X200 Wireless Mouse"/>
    <x v="28"/>
    <s v="Paints"/>
    <n v="1199"/>
    <n v="681"/>
    <n v="5995"/>
    <n v="3405"/>
    <n v="2577.8499999999995"/>
    <n v="-2590"/>
    <n v="0.43"/>
    <n v="4.2"/>
    <n v="8258"/>
    <s v="Reetu Solanki,Amazon_user,AniS,karun,Chandrajit"/>
    <n v="5"/>
    <e v="#REF!"/>
    <e v="#REF!"/>
  </r>
  <r>
    <s v="B08HLZ28QC"/>
    <s v="Oakter Mini UPS for"/>
    <x v="17"/>
    <s v="Keyboard&amp;MiceAccessories"/>
    <n v="3490"/>
    <n v="1199"/>
    <n v="17450"/>
    <n v="5995"/>
    <n v="11517"/>
    <n v="-11455"/>
    <n v="0.66"/>
    <n v="4.0999999999999996"/>
    <n v="11716"/>
    <s v="Shraddha,Ravibaskar,Pramod,Amazon Customer,Amazon"/>
    <n v="5"/>
    <e v="#REF!"/>
    <e v="#REF!"/>
  </r>
  <r>
    <s v="B07GVR9TG7"/>
    <s v="TP-Link Archer AC1200 Archer"/>
    <x v="29"/>
    <m/>
    <n v="4999"/>
    <n v="2499"/>
    <n v="14997"/>
    <n v="7497"/>
    <n v="7498.5"/>
    <n v="-7500"/>
    <n v="0.5"/>
    <n v="4.4000000000000004"/>
    <n v="35024"/>
    <s v="Pratyush,Karan G.,Aditya"/>
    <n v="3"/>
    <e v="#REF!"/>
    <e v="#REF!"/>
  </r>
  <r>
    <s v="B0856HY85J"/>
    <s v="boAt Rockerz 550 Over"/>
    <x v="30"/>
    <s v="Macro&amp;RinglightFlashes"/>
    <n v="4999"/>
    <n v="1799"/>
    <n v="14997"/>
    <n v="5397"/>
    <n v="9598.08"/>
    <n v="-9600"/>
    <n v="0.64"/>
    <n v="4.0999999999999996"/>
    <n v="55192"/>
    <s v="Ananthu,Dheeraj Krishnan,Rani"/>
    <n v="3"/>
    <e v="#REF!"/>
    <e v="#REF!"/>
  </r>
  <r>
    <s v="B07CD2BN46"/>
    <s v="Xiaomi Mi Wired in"/>
    <x v="31"/>
    <m/>
    <n v="599"/>
    <n v="429"/>
    <n v="1198"/>
    <n v="858"/>
    <n v="335.44000000000005"/>
    <n v="-340"/>
    <n v="0.28000000000000003"/>
    <n v="4.0999999999999996"/>
    <n v="119466"/>
    <s v="Kishor Patro,NOORUL"/>
    <n v="2"/>
    <e v="#REF!"/>
    <e v="#REF!"/>
  </r>
  <r>
    <s v="B07PLHTTB4"/>
    <s v="Zodo 8. 5 inch"/>
    <x v="32"/>
    <m/>
    <n v="499"/>
    <n v="100"/>
    <n v="1996"/>
    <n v="400"/>
    <n v="1596.8000000000002"/>
    <n v="-1596"/>
    <n v="0.8"/>
    <n v="3.5"/>
    <n v="9638"/>
    <s v="vasanth,Hemant Ghengat,Gopal,ANUKUMAR"/>
    <n v="4"/>
    <e v="#REF!"/>
    <e v="#REF!"/>
  </r>
  <r>
    <s v="B077T3BG5L"/>
    <s v="Zebronics ZEB-KM2100 Multimedia USB"/>
    <x v="13"/>
    <s v="Over-Ear"/>
    <n v="399"/>
    <n v="329"/>
    <n v="1596"/>
    <n v="1316"/>
    <n v="287.27999999999997"/>
    <n v="-280"/>
    <n v="0.18"/>
    <n v="3.6"/>
    <n v="33735"/>
    <s v="Sagarjit,balvant ghanekar,rohit,NATESA"/>
    <n v="4"/>
    <e v="#REF!"/>
    <e v="#REF!"/>
  </r>
  <r>
    <s v="B08DDRGWTJ"/>
    <s v="MI Usb Type-C Cable"/>
    <x v="8"/>
    <s v="BluetoothSpeakers"/>
    <n v="299"/>
    <n v="229"/>
    <n v="299"/>
    <n v="229"/>
    <n v="68.77"/>
    <n v="-70"/>
    <n v="0.23"/>
    <n v="4.3"/>
    <n v="30411"/>
    <s v="Pavan A"/>
    <n v="1"/>
    <e v="#REF!"/>
    <e v="#REF!"/>
  </r>
  <r>
    <s v="B079Y6JZC8"/>
    <s v="ZEBRONICS Zeb-Comfort Wired USB"/>
    <x v="31"/>
    <m/>
    <n v="299"/>
    <n v="139"/>
    <n v="598"/>
    <n v="278"/>
    <n v="322.92"/>
    <n v="-320"/>
    <n v="0.54"/>
    <n v="3.8"/>
    <n v="3044"/>
    <s v="Saikat Chakravorty,Rajasekar"/>
    <n v="2"/>
    <e v="#REF!"/>
    <e v="#REF!"/>
  </r>
  <r>
    <s v="B0856HNMR7"/>
    <s v="boAt Rockerz 370 On"/>
    <x v="20"/>
    <s v="Stationery"/>
    <n v="2499"/>
    <n v="1199"/>
    <n v="4998"/>
    <n v="2398"/>
    <n v="2598.96"/>
    <n v="-2600"/>
    <n v="0.52"/>
    <n v="4"/>
    <n v="33584"/>
    <s v="Sandeep K.,Prabha"/>
    <n v="2"/>
    <e v="#REF!"/>
    <e v="#REF!"/>
  </r>
  <r>
    <s v="B0B12K5BPM"/>
    <s v="ZEBRONICS Zeb-Astra 20 Wireless"/>
    <x v="33"/>
    <m/>
    <n v="2299"/>
    <n v="1049"/>
    <n v="6897"/>
    <n v="3147"/>
    <n v="3724.38"/>
    <n v="-3750"/>
    <n v="0.54"/>
    <n v="3.9"/>
    <n v="1779"/>
    <s v="Pranav Pacholee,Divakar,ANUDEEP"/>
    <n v="3"/>
    <e v="#REF!"/>
    <e v="#REF!"/>
  </r>
  <r>
    <s v="B08MTCKDYN"/>
    <s v="Gizga Essentials Spiral Cable"/>
    <x v="1"/>
    <s v="BluetoothAdapters"/>
    <n v="299"/>
    <n v="119"/>
    <n v="897"/>
    <n v="357"/>
    <n v="538.20000000000005"/>
    <n v="-540"/>
    <n v="0.6"/>
    <n v="4.0999999999999996"/>
    <n v="5999"/>
    <s v="Velir,Dileep Venigalla,chakrapani"/>
    <n v="3"/>
    <e v="#REF!"/>
    <e v="#REF!"/>
  </r>
  <r>
    <s v="B08CF3D7QR"/>
    <s v="Portronics Konnect L POR-1081"/>
    <x v="15"/>
    <s v="USBtoUSBAdapters"/>
    <n v="339"/>
    <n v="154"/>
    <n v="1356"/>
    <n v="616"/>
    <n v="745.80000000000007"/>
    <n v="-740"/>
    <n v="0.55000000000000004"/>
    <n v="4.3"/>
    <n v="13391"/>
    <s v="Tanya,Anu,Akshay,Vishal Sagara"/>
    <n v="4"/>
    <e v="#REF!"/>
    <e v="#REF!"/>
  </r>
  <r>
    <s v="B00LVMTA2A"/>
    <s v="Panasonic CR-2032/5BE Lithium Coin"/>
    <x v="2"/>
    <s v="Tripods&amp;Monopods"/>
    <n v="250"/>
    <n v="225"/>
    <n v="1500"/>
    <n v="1350"/>
    <n v="150"/>
    <n v="-150"/>
    <n v="0.1"/>
    <n v="4.4000000000000004"/>
    <n v="26556"/>
    <s v="Malik,Anil reddy,Sunil,Swamy,Athish,Vasanth"/>
    <n v="6"/>
    <e v="#REF!"/>
    <e v="#REF!"/>
  </r>
  <r>
    <s v="B07TR5HSR9"/>
    <s v="MemeHoÂ® Smart Standard Multi-Purpose"/>
    <x v="2"/>
    <s v="Film"/>
    <n v="1499"/>
    <n v="656"/>
    <n v="5996"/>
    <n v="2624"/>
    <n v="3357.76"/>
    <n v="-3372"/>
    <n v="0.56000000000000005"/>
    <n v="4.3"/>
    <n v="25903"/>
    <s v="soma sekhar,Shreeg91,Jagadish,Zinal"/>
    <n v="4"/>
    <e v="#REF!"/>
    <e v="#REF!"/>
  </r>
  <r>
    <s v="B0819ZZK5K"/>
    <s v="SanDisk Ultra Dual Drive"/>
    <x v="31"/>
    <m/>
    <n v="2800"/>
    <n v="1109"/>
    <n v="14000"/>
    <n v="5545"/>
    <n v="8400"/>
    <n v="-8455"/>
    <n v="0.6"/>
    <n v="4.3"/>
    <n v="53464"/>
    <s v="Amita,Ganesh,zhiv,Sarasij Pal,à¤œà¥à¤žà¤¾à¤¨à¥‡à¤‚à¤¦à¥à¤°"/>
    <n v="5"/>
    <e v="#REF!"/>
    <e v="#REF!"/>
  </r>
  <r>
    <s v="B096VF5YYF"/>
    <s v="boAt Xtend Smartwatch with"/>
    <x v="34"/>
    <s v="Lamps"/>
    <n v="7990"/>
    <n v="2999"/>
    <n v="23970"/>
    <n v="8997"/>
    <n v="14861.400000000001"/>
    <n v="-14973"/>
    <n v="0.62"/>
    <n v="4.0999999999999996"/>
    <n v="48448"/>
    <s v="archit,Arjun Sen,Divya"/>
    <n v="3"/>
    <e v="#REF!"/>
    <e v="#REF!"/>
  </r>
  <r>
    <s v="B08QJJCY2Q"/>
    <s v="Tizum Mouse Pad/ Computer"/>
    <x v="2"/>
    <s v="Cleaners"/>
    <n v="299"/>
    <n v="169"/>
    <n v="598"/>
    <n v="338"/>
    <n v="257.14"/>
    <n v="-260"/>
    <n v="0.43"/>
    <n v="4.4000000000000004"/>
    <n v="5176"/>
    <s v="Divya Nancy,Jay"/>
    <n v="2"/>
    <e v="#REF!"/>
    <e v="#REF!"/>
  </r>
  <r>
    <s v="B07L5L4GTB"/>
    <s v="Epson 003 65 ml"/>
    <x v="35"/>
    <s v="DomeCameras"/>
    <n v="404"/>
    <n v="309"/>
    <n v="808"/>
    <n v="618"/>
    <n v="193.92"/>
    <n v="-190"/>
    <n v="0.24"/>
    <n v="4.4000000000000004"/>
    <n v="8614"/>
    <s v="Genuine Reviewer,Rajib"/>
    <n v="2"/>
    <e v="#REF!"/>
    <e v="#REF!"/>
  </r>
  <r>
    <s v="B07L8KNP5F"/>
    <s v="ZEBRONICS Zeb-Thunder Bluetooth Wireless"/>
    <x v="36"/>
    <s v="ScreenProtectors"/>
    <n v="1399"/>
    <n v="599"/>
    <n v="4197"/>
    <n v="1797"/>
    <n v="2392.29"/>
    <n v="-2400"/>
    <n v="0.56999999999999995"/>
    <n v="3.8"/>
    <n v="60026"/>
    <s v="ram,Abhishek kumar,Syeeda"/>
    <n v="3"/>
    <e v="#REF!"/>
    <e v="#REF!"/>
  </r>
  <r>
    <s v="B08CF4SCNP"/>
    <s v="Quantum QHM-7406 Full-Sized Keyboard"/>
    <x v="27"/>
    <s v="Gamepads"/>
    <n v="599"/>
    <n v="299"/>
    <n v="1198"/>
    <n v="598"/>
    <n v="599"/>
    <n v="-600"/>
    <n v="0.5"/>
    <n v="3.8"/>
    <n v="3066"/>
    <s v="Hariom Mishra,Vikas"/>
    <n v="2"/>
    <e v="#REF!"/>
    <e v="#REF!"/>
  </r>
  <r>
    <s v="B09XX51X2G"/>
    <s v="STRIFF Laptop Tabletop Stand,"/>
    <x v="24"/>
    <s v="Basic"/>
    <n v="999"/>
    <n v="449"/>
    <n v="2997"/>
    <n v="1347"/>
    <n v="1648.3500000000001"/>
    <n v="-1650"/>
    <n v="0.55000000000000004"/>
    <n v="4"/>
    <n v="2102"/>
    <s v="Rahil,Swapnil s.,HIREN"/>
    <n v="3"/>
    <e v="#REF!"/>
    <e v="#REF!"/>
  </r>
  <r>
    <s v="B01M72LILF"/>
    <s v="Logitech M221 Wireless Mouse,"/>
    <x v="37"/>
    <m/>
    <n v="1295"/>
    <n v="799"/>
    <n v="3885"/>
    <n v="2397"/>
    <n v="1476.3000000000002"/>
    <n v="-1488"/>
    <n v="0.38"/>
    <n v="4.4000000000000004"/>
    <n v="34852"/>
    <s v="Kshitij,UMAKANTA SASMAL,Deepak"/>
    <n v="3"/>
    <e v="#REF!"/>
    <e v="#REF!"/>
  </r>
  <r>
    <s v="B07KSMBL2H"/>
    <s v="AmazonBasics Flexible Premium HDMI"/>
    <x v="38"/>
    <s v="PCMicrophones"/>
    <n v="700"/>
    <n v="219"/>
    <n v="1400"/>
    <n v="438"/>
    <n v="965.99999999999989"/>
    <n v="-962"/>
    <n v="0.69"/>
    <n v="4.4000000000000004"/>
    <n v="426972"/>
    <s v="Rishav Gossain,Shashank"/>
    <n v="2"/>
    <e v="#REF!"/>
    <e v="#REF!"/>
  </r>
  <r>
    <s v="B00LZLQ624"/>
    <s v="Classmate Soft Cover 6"/>
    <x v="8"/>
    <s v="OutdoorSpeakers"/>
    <n v="160"/>
    <n v="157"/>
    <n v="480"/>
    <n v="471"/>
    <n v="9.6000000000000014"/>
    <n v="-9"/>
    <n v="0.02"/>
    <n v="4.5"/>
    <n v="8618"/>
    <s v="Anirban B.,Amita,Ayushi"/>
    <n v="3"/>
    <e v="#REF!"/>
    <e v="#REF!"/>
  </r>
  <r>
    <s v="B07DJLFMPS"/>
    <s v="HP 32GB Class 10"/>
    <x v="14"/>
    <s v="Bags&amp;Sleeves"/>
    <n v="1600"/>
    <n v="369"/>
    <n v="1600"/>
    <n v="369"/>
    <n v="1232"/>
    <n v="-1231"/>
    <n v="0.77"/>
    <n v="4"/>
    <n v="32625"/>
    <s v="Ajit Kumar"/>
    <n v="1"/>
    <e v="#REF!"/>
    <e v="#REF!"/>
  </r>
  <r>
    <s v="B09GB5B4BK"/>
    <s v="HP 150 Wireless USB"/>
    <x v="39"/>
    <m/>
    <n v="899"/>
    <n v="599"/>
    <n v="3596"/>
    <n v="2396"/>
    <n v="1186.68"/>
    <n v="-1200"/>
    <n v="0.33"/>
    <n v="4"/>
    <n v="4018"/>
    <s v="Wajiha,Gaurav Choudhary,Kenil,Indrajeet"/>
    <n v="4"/>
    <e v="#REF!"/>
    <e v="#REF!"/>
  </r>
  <r>
    <s v="B015ZXUDD0"/>
    <s v="Duracell Rechargeable AA 1300mAh"/>
    <x v="0"/>
    <s v="Cables"/>
    <n v="599"/>
    <n v="479"/>
    <n v="1797"/>
    <n v="1437"/>
    <n v="359.40000000000003"/>
    <n v="-360"/>
    <n v="0.2"/>
    <n v="4.3"/>
    <n v="11687"/>
    <s v="Rameez Khan,Sidhdharth,Daljeet"/>
    <n v="3"/>
    <e v="#REF!"/>
    <e v="#REF!"/>
  </r>
  <r>
    <s v="B085DTN6R2"/>
    <s v="Portronics Konnect CL 20W"/>
    <x v="40"/>
    <m/>
    <n v="899"/>
    <n v="350"/>
    <n v="5394"/>
    <n v="2100"/>
    <n v="3290.34"/>
    <n v="-3294"/>
    <n v="0.61"/>
    <n v="4.2"/>
    <n v="2262"/>
    <s v="Priya,Mansi,Plaban,Vivek,Taufique Ahmed,Praveen"/>
    <n v="6"/>
    <e v="#REF!"/>
    <e v="#REF!"/>
  </r>
  <r>
    <s v="B09PL79D2X"/>
    <s v="boAt Airdopes 181 in-Ear"/>
    <x v="41"/>
    <m/>
    <n v="2990"/>
    <n v="1598"/>
    <n v="5980"/>
    <n v="3196"/>
    <n v="2810.6"/>
    <n v="-2784"/>
    <n v="0.47"/>
    <n v="3.8"/>
    <n v="11015"/>
    <s v="Alif Rahaman,Mahesh"/>
    <n v="2"/>
    <e v="#REF!"/>
    <e v="#REF!"/>
  </r>
  <r>
    <s v="B098K3H92Z"/>
    <s v="TP-Link USB Bluetooth Adapter"/>
    <x v="42"/>
    <m/>
    <n v="899"/>
    <n v="599"/>
    <n v="899"/>
    <n v="599"/>
    <n v="296.67"/>
    <n v="-300"/>
    <n v="0.33"/>
    <n v="4.3"/>
    <n v="95116"/>
    <s v="Noble P"/>
    <n v="1"/>
    <e v="#REF!"/>
    <e v="#REF!"/>
  </r>
  <r>
    <s v="B09KLVMZ3B"/>
    <s v="Portronics Konnect L 1.2M"/>
    <x v="12"/>
    <s v="SecureDigitalCards"/>
    <n v="399"/>
    <n v="159"/>
    <n v="798"/>
    <n v="318"/>
    <n v="478.79999999999995"/>
    <n v="-480"/>
    <n v="0.6"/>
    <n v="4.0999999999999996"/>
    <n v="4768"/>
    <s v="Deepaak Singh,siva"/>
    <n v="2"/>
    <e v="#REF!"/>
    <e v="#REF!"/>
  </r>
  <r>
    <s v="B084PJSSQ1"/>
    <s v="SanDisk Ultra Dual Drive"/>
    <x v="10"/>
    <s v="Photo&amp;VideoAccessories"/>
    <n v="3000"/>
    <n v="1299"/>
    <n v="18000"/>
    <n v="7794"/>
    <n v="10259.999999999998"/>
    <n v="-10206"/>
    <n v="0.56999999999999995"/>
    <n v="4.3"/>
    <n v="23022"/>
    <s v="Arun,Muneeb,Jatin,Gangadhar,Rohael saifi,Amazon"/>
    <n v="6"/>
    <e v="#REF!"/>
    <e v="#REF!"/>
  </r>
  <r>
    <s v="B097R25DP7"/>
    <s v="Noise ColorFit Pulse Smartwatch"/>
    <x v="38"/>
    <s v="Webcams&amp;VoIPEquipment"/>
    <n v="4999"/>
    <n v="1599"/>
    <n v="9998"/>
    <n v="3198"/>
    <n v="6798.64"/>
    <n v="-6800"/>
    <n v="0.68"/>
    <n v="4"/>
    <n v="67951"/>
    <s v="Ankita Dwivedi,Malathi"/>
    <n v="2"/>
    <e v="#REF!"/>
    <e v="#REF!"/>
  </r>
  <r>
    <s v="B097C564GC"/>
    <s v="rts [2 Pack] Mini"/>
    <x v="14"/>
    <s v="CoolingPads"/>
    <n v="4999"/>
    <n v="294"/>
    <n v="4999"/>
    <n v="294"/>
    <n v="4699.0599999999995"/>
    <n v="-4705"/>
    <n v="0.94"/>
    <n v="4.3"/>
    <n v="4426"/>
    <s v="Naga Sai"/>
    <n v="1"/>
    <e v="#REF!"/>
    <e v="#REF!"/>
  </r>
  <r>
    <s v="B08CYNJ5KY"/>
    <s v="HP 682 Black Original"/>
    <x v="14"/>
    <m/>
    <n v="861"/>
    <n v="828"/>
    <n v="3444"/>
    <n v="3312"/>
    <n v="137.76"/>
    <n v="-132"/>
    <n v="0.04"/>
    <n v="4.2"/>
    <n v="4567"/>
    <s v="Hrishikesh,Mir Manzoor,Hanumathkumar,Amazon"/>
    <n v="4"/>
    <e v="#REF!"/>
    <e v="#REF!"/>
  </r>
  <r>
    <s v="B00Y4ORQ46"/>
    <s v="Logitech H111 Wired On"/>
    <x v="36"/>
    <s v="Stands"/>
    <n v="795"/>
    <n v="745"/>
    <n v="3180"/>
    <n v="2980"/>
    <n v="190.79999999999998"/>
    <n v="-200"/>
    <n v="0.06"/>
    <n v="4"/>
    <n v="13797"/>
    <s v="kishorekr,Anil.c,Abhishek B.,Ashutosh"/>
    <n v="4"/>
    <e v="#REF!"/>
    <e v="#REF!"/>
  </r>
  <r>
    <s v="B074CWD7MS"/>
    <s v="Digitek DTR 550 LW"/>
    <x v="43"/>
    <m/>
    <n v="2495"/>
    <n v="1549"/>
    <n v="4990"/>
    <n v="3098"/>
    <n v="1896.2"/>
    <n v="-1892"/>
    <n v="0.38"/>
    <n v="4.4000000000000004"/>
    <n v="15137"/>
    <s v="Joel Thomas,Joy"/>
    <n v="2"/>
    <e v="#REF!"/>
    <e v="#REF!"/>
  </r>
  <r>
    <s v="B083342NKJ"/>
    <s v="MI Braided USB Type-C"/>
    <x v="20"/>
    <s v="Copy&amp;PrintingPaper"/>
    <n v="399"/>
    <n v="349"/>
    <n v="399"/>
    <n v="349"/>
    <n v="51.870000000000005"/>
    <n v="-50"/>
    <n v="0.13"/>
    <n v="4.4000000000000004"/>
    <n v="18757"/>
    <s v="Birendra ku"/>
    <n v="1"/>
    <e v="#REF!"/>
    <e v="#REF!"/>
  </r>
  <r>
    <s v="B09C6HXFC1"/>
    <s v="Duracell USB Lightning Apple"/>
    <x v="44"/>
    <m/>
    <n v="1799"/>
    <n v="970"/>
    <n v="3598"/>
    <n v="1940"/>
    <n v="1655.0800000000002"/>
    <n v="-1658"/>
    <n v="0.46"/>
    <n v="4.5"/>
    <n v="815"/>
    <s v="Prasannavijayaraghavan G.,Preet"/>
    <n v="2"/>
    <e v="#REF!"/>
    <e v="#REF!"/>
  </r>
  <r>
    <s v="B00A0VCJPI"/>
    <s v="TP-Link TL-WA850RE Single_Band 300Mbps"/>
    <x v="8"/>
    <s v="MultimediaSpeakerSystems"/>
    <n v="2499"/>
    <n v="1469"/>
    <n v="2499"/>
    <n v="1469"/>
    <n v="1024.5899999999999"/>
    <n v="-1030"/>
    <n v="0.41"/>
    <n v="4.2"/>
    <n v="156638"/>
    <s v="Satya Sai"/>
    <n v="1"/>
    <e v="#REF!"/>
    <e v="#REF!"/>
  </r>
  <r>
    <s v="B00UGZWM2I"/>
    <s v="COI Note Pad/Memo Book"/>
    <x v="45"/>
    <m/>
    <n v="800"/>
    <n v="198"/>
    <n v="4000"/>
    <n v="990"/>
    <n v="3000"/>
    <n v="-3010"/>
    <n v="0.75"/>
    <n v="4.0999999999999996"/>
    <n v="9344"/>
    <s v="Ghazal,Vishwajeet,PREETI RAWAT,Karthi,Punjal"/>
    <n v="5"/>
    <e v="#REF!"/>
    <e v="#REF!"/>
  </r>
  <r>
    <s v="B00R1P3B4O"/>
    <s v="Fujifilm Instax Mini Single"/>
    <x v="14"/>
    <s v="LaptopChargers&amp;PowerSupplies"/>
    <n v="549"/>
    <n v="549"/>
    <n v="2196"/>
    <n v="2196"/>
    <n v="0"/>
    <n v="0"/>
    <n v="0"/>
    <n v="4.5"/>
    <n v="4875"/>
    <s v="Nidhi,Nilanko Halder,Seenu,Daring"/>
    <n v="4"/>
    <e v="#REF!"/>
    <e v="#REF!"/>
  </r>
  <r>
    <s v="B0B3MWYCHQ"/>
    <s v="Fire-Boltt Ring 3 Smart"/>
    <x v="38"/>
    <s v="PCSpeakers"/>
    <n v="9999"/>
    <n v="2999"/>
    <n v="39996"/>
    <n v="11996"/>
    <n v="27997.199999999997"/>
    <n v="-28000"/>
    <n v="0.7"/>
    <n v="4.2"/>
    <n v="20881"/>
    <s v="Anirban,Abhi Khaire,Sachin,Tanisha"/>
    <n v="4"/>
    <e v="#REF!"/>
    <e v="#REF!"/>
  </r>
  <r>
    <s v="B09DG9VNWB"/>
    <s v="Samsung Galaxy Watch4 Bluetooth"/>
    <x v="2"/>
    <s v="Batteries&amp;Chargers"/>
    <n v="29999"/>
    <n v="12000"/>
    <n v="59998"/>
    <n v="24000"/>
    <n v="35998.799999999996"/>
    <n v="-35998"/>
    <n v="0.6"/>
    <n v="4.3"/>
    <n v="4744"/>
    <s v="Kshitij D.,gaurav"/>
    <n v="2"/>
    <e v="#REF!"/>
    <e v="#REF!"/>
  </r>
  <r>
    <s v="B09Y5MP7C4"/>
    <s v="Noise Buds Vs104 Bluetooth"/>
    <x v="36"/>
    <s v="Bags,Cases&amp;Sleeves"/>
    <n v="3499"/>
    <n v="1299"/>
    <n v="17495"/>
    <n v="6495"/>
    <n v="11021.849999999999"/>
    <n v="-11000"/>
    <n v="0.63"/>
    <n v="3.9"/>
    <n v="12452"/>
    <s v="Achint,Anish,bhomick bhaskar,Sumit,Des"/>
    <n v="5"/>
    <e v="#REF!"/>
    <e v="#REF!"/>
  </r>
  <r>
    <s v="B01DJJVFPC"/>
    <s v="Duracell Ultra Alkaline AAA"/>
    <x v="46"/>
    <s v="DrawingMedia"/>
    <n v="315"/>
    <n v="269"/>
    <n v="630"/>
    <n v="538"/>
    <n v="94.5"/>
    <n v="-92"/>
    <n v="0.15"/>
    <n v="4.5"/>
    <n v="17810"/>
    <s v="Aadi Injal,A"/>
    <n v="2"/>
    <e v="#REF!"/>
    <e v="#REF!"/>
  </r>
  <r>
    <s v="B07DFYJRQV"/>
    <s v="JBL C200SI, Premium in"/>
    <x v="47"/>
    <m/>
    <n v="1499"/>
    <n v="799"/>
    <n v="2998"/>
    <n v="1598"/>
    <n v="1409.06"/>
    <n v="-1400"/>
    <n v="0.47"/>
    <n v="4.0999999999999996"/>
    <n v="53648"/>
    <s v="Amazon Customer,Viswas"/>
    <n v="2"/>
    <e v="#REF!"/>
    <e v="#REF!"/>
  </r>
  <r>
    <s v="B08L879JSN"/>
    <s v="Acer EK220Q 21.5 Inch"/>
    <x v="48"/>
    <m/>
    <n v="13750"/>
    <n v="6299"/>
    <n v="27500"/>
    <n v="12598"/>
    <n v="14850.000000000002"/>
    <n v="-14902"/>
    <n v="0.54"/>
    <n v="4.2"/>
    <n v="2014"/>
    <s v="Mr. NÃ¸bÃ¸dy,Muzammil"/>
    <n v="2"/>
    <e v="#REF!"/>
    <e v="#REF!"/>
  </r>
  <r>
    <s v="B08TDJNM3G"/>
    <s v="E-COSMOS 5V 1.2W Portable"/>
    <x v="46"/>
    <s v="DrawingMedia"/>
    <n v="59"/>
    <n v="59"/>
    <n v="59"/>
    <n v="59"/>
    <n v="0"/>
    <n v="0"/>
    <n v="0"/>
    <n v="3.8"/>
    <n v="5958"/>
    <s v="Ravi Kumar"/>
    <n v="1"/>
    <e v="#REF!"/>
    <e v="#REF!"/>
  </r>
  <r>
    <s v="B06XSK3XL6"/>
    <s v="boAt Dual Port Rapid"/>
    <x v="0"/>
    <s v="Cables"/>
    <n v="999"/>
    <n v="571"/>
    <n v="6993"/>
    <n v="3997"/>
    <n v="3006.99"/>
    <n v="-2996"/>
    <n v="0.43"/>
    <n v="4.3"/>
    <n v="38221"/>
    <s v="suraj,Bharanidhar,S.B.Vignesh,Srikanth GR,Hari,Shashi,Palanivel"/>
    <n v="7"/>
    <e v="#REF!"/>
    <e v="#REF!"/>
  </r>
  <r>
    <s v="B07YNTJ8ZM"/>
    <s v="Zebronics ZEB-COUNTY 3W Wireless"/>
    <x v="38"/>
    <s v="PCHeadsets"/>
    <n v="999"/>
    <n v="549"/>
    <n v="1998"/>
    <n v="1098"/>
    <n v="899.1"/>
    <n v="-900"/>
    <n v="0.45"/>
    <n v="3.9"/>
    <n v="64705"/>
    <s v="Bhuwaneshwar kathlane,Jainit"/>
    <n v="2"/>
    <e v="#REF!"/>
    <e v="#REF!"/>
  </r>
  <r>
    <s v="B09KGV7WSV"/>
    <s v="KINGONE Upgraded Stylus Pen,"/>
    <x v="27"/>
    <s v="GamingKeyboards"/>
    <n v="5999"/>
    <n v="2099"/>
    <n v="5999"/>
    <n v="2099"/>
    <n v="3899.35"/>
    <n v="-3900"/>
    <n v="0.65"/>
    <n v="4.3"/>
    <n v="17129"/>
    <s v="Ishwar Singh"/>
    <n v="1"/>
    <e v="#REF!"/>
    <e v="#REF!"/>
  </r>
  <r>
    <s v="B08DPLCM6T"/>
    <s v="LG 80 cm"/>
    <x v="8"/>
    <s v="SoundbarSpeakers"/>
    <n v="21990"/>
    <n v="13490"/>
    <n v="65970"/>
    <n v="40470"/>
    <n v="25728.300000000003"/>
    <n v="-25500"/>
    <n v="0.39"/>
    <n v="4.3"/>
    <n v="11976"/>
    <s v="NIRMAL.N,Manoj kumar,SOMNATH"/>
    <n v="3"/>
    <e v="#REF!"/>
    <e v="#REF!"/>
  </r>
  <r>
    <s v="B07KR5P3YD"/>
    <s v="Zebronics Wired Keyboard and"/>
    <x v="49"/>
    <m/>
    <n v="699"/>
    <n v="448"/>
    <n v="2097"/>
    <n v="1344"/>
    <n v="754.92"/>
    <n v="-753"/>
    <n v="0.36"/>
    <n v="3.9"/>
    <n v="17348"/>
    <s v="lucky,SALMAN S,Rahul"/>
    <n v="3"/>
    <e v="#REF!"/>
    <e v="#REF!"/>
  </r>
  <r>
    <s v="B08FB2LNSZ"/>
    <s v="JBL Tune 215BT, 16"/>
    <x v="48"/>
    <s v="InkjetPrinters"/>
    <n v="2999"/>
    <n v="1499"/>
    <n v="14995"/>
    <n v="7495"/>
    <n v="7497.5"/>
    <n v="-7500"/>
    <n v="0.5"/>
    <n v="3.7"/>
    <n v="87798"/>
    <s v="Amazonnig,Anurag,p_v_,Anil Kumar,Ignatius"/>
    <n v="5"/>
    <e v="#REF!"/>
    <e v="#REF!"/>
  </r>
  <r>
    <s v="B01IBRHE3E"/>
    <s v="Gizga Essentials Professional 3-in-1"/>
    <x v="50"/>
    <s v="ColouringPens&amp;Markers"/>
    <n v="499"/>
    <n v="299"/>
    <n v="998"/>
    <n v="598"/>
    <n v="399.20000000000005"/>
    <n v="-400"/>
    <n v="0.4"/>
    <n v="4.2"/>
    <n v="24432"/>
    <s v="Siddharth suman,Soumayan"/>
    <n v="2"/>
    <e v="#REF!"/>
    <e v="#REF!"/>
  </r>
  <r>
    <s v="B01N6LU1VF"/>
    <s v="SanDisk Ultra Dual 64"/>
    <x v="27"/>
    <s v="Headsets"/>
    <n v="1400"/>
    <n v="579"/>
    <n v="4200"/>
    <n v="1737"/>
    <n v="2478"/>
    <n v="-2463"/>
    <n v="0.59"/>
    <n v="4.3"/>
    <n v="189104"/>
    <s v="Neeraj Vishwakarma,UD,M.Sathish"/>
    <n v="3"/>
    <e v="#REF!"/>
    <e v="#REF!"/>
  </r>
  <r>
    <s v="B07XLML2YS"/>
    <s v="TP-Link Tapo 360Â° 2MP"/>
    <x v="51"/>
    <m/>
    <n v="3299"/>
    <n v="2499"/>
    <n v="26392"/>
    <n v="19992"/>
    <n v="6334.08"/>
    <n v="-6400"/>
    <n v="0.24"/>
    <n v="4.2"/>
    <n v="93112"/>
    <s v="Maxrock89,Ayush negi,Rakesh,prasanth,Suraj,Sudhi/Deeps,Vigneshraja,KONDOJU"/>
    <n v="8"/>
    <e v="#REF!"/>
    <e v="#REF!"/>
  </r>
  <r>
    <s v="B086WMSCN3"/>
    <s v="boAt Airdopes 171 in"/>
    <x v="1"/>
    <s v="PowerLANAdapters"/>
    <n v="5999"/>
    <n v="1199"/>
    <n v="11998"/>
    <n v="2398"/>
    <n v="9598.4"/>
    <n v="-9600"/>
    <n v="0.8"/>
    <n v="3.9"/>
    <n v="47521"/>
    <s v="Narasimha Rao,Anitha"/>
    <n v="2"/>
    <e v="#REF!"/>
    <e v="#REF!"/>
  </r>
  <r>
    <s v="B003B00484"/>
    <s v="Duracell Plus AAA Rechargeable"/>
    <x v="26"/>
    <s v="InkjetInkRefills&amp;Kits"/>
    <n v="499"/>
    <n v="399"/>
    <n v="499"/>
    <n v="399"/>
    <n v="99.800000000000011"/>
    <n v="-100"/>
    <n v="0.2"/>
    <n v="4.3"/>
    <n v="27201"/>
    <s v="T N"/>
    <n v="1"/>
    <e v="#REF!"/>
    <e v="#REF!"/>
  </r>
  <r>
    <s v="B085194JFL"/>
    <s v="tizum HDMI to VGA"/>
    <x v="2"/>
    <s v="PhotoStudio&amp;Lighting"/>
    <n v="499"/>
    <n v="279"/>
    <n v="1497"/>
    <n v="837"/>
    <n v="658.68000000000006"/>
    <n v="-660"/>
    <n v="0.44"/>
    <n v="3.7"/>
    <n v="10962"/>
    <s v="aditya d.,Paranthaman,ashik"/>
    <n v="3"/>
    <e v="#REF!"/>
    <e v="#REF!"/>
  </r>
  <r>
    <s v="B09F6S8BT6"/>
    <s v="Samsung 80 cm"/>
    <x v="24"/>
    <s v="Financial&amp;Business"/>
    <n v="22900"/>
    <n v="13490"/>
    <n v="45800"/>
    <n v="26980"/>
    <n v="18778"/>
    <n v="-18820"/>
    <n v="0.41"/>
    <n v="4.3"/>
    <n v="16299"/>
    <s v="Rahman Ali,MARIYA"/>
    <n v="2"/>
    <e v="#REF!"/>
    <e v="#REF!"/>
  </r>
  <r>
    <s v="B003L62T7W"/>
    <s v="Logitech B100 Wired USB"/>
    <x v="52"/>
    <m/>
    <n v="375"/>
    <n v="279"/>
    <n v="750"/>
    <n v="558"/>
    <n v="195"/>
    <n v="-192"/>
    <n v="0.26"/>
    <n v="4.3"/>
    <n v="31534"/>
    <s v="Uday Joglekar,Simi"/>
    <n v="2"/>
    <e v="#REF!"/>
    <e v="#REF!"/>
  </r>
  <r>
    <s v="B09P18XVW6"/>
    <s v="Noise Pulse Buzz 1.69&quot;"/>
    <x v="31"/>
    <m/>
    <n v="4999"/>
    <n v="2499"/>
    <n v="9998"/>
    <n v="4998"/>
    <n v="4999"/>
    <n v="-5000"/>
    <n v="0.5"/>
    <n v="3.9"/>
    <n v="7571"/>
    <s v="Kindle Customer,Arun"/>
    <n v="2"/>
    <e v="#REF!"/>
    <e v="#REF!"/>
  </r>
  <r>
    <s v="B00LZLPYHW"/>
    <s v="Classmate 2100117 Soft Cover"/>
    <x v="53"/>
    <m/>
    <n v="160"/>
    <n v="137"/>
    <n v="1120"/>
    <n v="959"/>
    <n v="156.80000000000001"/>
    <n v="-161"/>
    <n v="0.14000000000000001"/>
    <n v="4.4000000000000004"/>
    <n v="6537"/>
    <s v="Hamsavarthini,Samir Shukla,Shahbaz,Shar,Akshay,armaan,Alok"/>
    <n v="7"/>
    <e v="#REF!"/>
    <e v="#REF!"/>
  </r>
  <r>
    <s v="B09NHVCHS9"/>
    <s v="Flix Micro Usb Cable"/>
    <x v="28"/>
    <m/>
    <n v="199"/>
    <n v="59"/>
    <n v="597"/>
    <n v="177"/>
    <n v="417.9"/>
    <n v="-420"/>
    <n v="0.7"/>
    <n v="4"/>
    <n v="9377"/>
    <s v="$@|\|TO$|-|,Sethu madhav,Akash"/>
    <n v="3"/>
    <e v="#REF!"/>
    <e v="#REF!"/>
  </r>
  <r>
    <s v="B00NNQMYNE"/>
    <s v="AirCase Rugged Hard Drive"/>
    <x v="26"/>
    <s v="TonerCartridges"/>
    <n v="499"/>
    <n v="299"/>
    <n v="1497"/>
    <n v="897"/>
    <n v="598.80000000000007"/>
    <n v="-600"/>
    <n v="0.4"/>
    <n v="4.5"/>
    <n v="21010"/>
    <s v="Souradip,Narendran D,Mandar"/>
    <n v="3"/>
    <e v="#REF!"/>
    <e v="#REF!"/>
  </r>
  <r>
    <s v="B0B217Z5VK"/>
    <s v="Noise Buds VS402 Truly"/>
    <x v="54"/>
    <s v="Caddies"/>
    <n v="3999"/>
    <n v="1799"/>
    <n v="11997"/>
    <n v="5397"/>
    <n v="6598.35"/>
    <n v="-6600"/>
    <n v="0.55000000000000004"/>
    <n v="3.9"/>
    <n v="3517"/>
    <s v="RAHUL GOUD,Nitesh,Lokesh"/>
    <n v="3"/>
    <e v="#REF!"/>
    <e v="#REF!"/>
  </r>
  <r>
    <s v="B07B88KQZ8"/>
    <s v="JBL Go 2, Wireless"/>
    <x v="55"/>
    <m/>
    <n v="2999"/>
    <n v="1999"/>
    <n v="5998"/>
    <n v="3998"/>
    <n v="1979.3400000000001"/>
    <n v="-2000"/>
    <n v="0.33"/>
    <n v="4.3"/>
    <n v="63899"/>
    <s v="Murali am,Mithul"/>
    <n v="2"/>
    <e v="#REF!"/>
    <e v="#REF!"/>
  </r>
  <r>
    <s v="B01M4GGIVU"/>
    <s v="Tizum High Speed HDMI"/>
    <x v="56"/>
    <s v="Kettles&amp;HotWaterDispensers"/>
    <n v="699"/>
    <n v="199"/>
    <n v="2097"/>
    <n v="597"/>
    <n v="1509.84"/>
    <n v="-1500"/>
    <n v="0.72"/>
    <n v="4.2"/>
    <n v="12153"/>
    <s v="Yashpreet Singh,Abiram,Aakaash"/>
    <n v="3"/>
    <e v="#REF!"/>
    <e v="#REF!"/>
  </r>
  <r>
    <s v="B07Z3K96FR"/>
    <s v="Robustrion Tempered Glass Screen"/>
    <x v="57"/>
    <s v="ElectricHeaters"/>
    <n v="1499"/>
    <n v="399"/>
    <n v="2998"/>
    <n v="798"/>
    <n v="2188.54"/>
    <n v="-2200"/>
    <n v="0.73"/>
    <n v="4.0999999999999996"/>
    <n v="5730"/>
    <s v="Dakshvir Singh,Palash"/>
    <n v="2"/>
    <e v="#REF!"/>
    <e v="#REF!"/>
  </r>
  <r>
    <s v="B0756CLQWL"/>
    <s v="Redgear Pro Wireless Gamepad"/>
    <x v="57"/>
    <s v="FanHeaters"/>
    <n v="3999"/>
    <n v="1699"/>
    <n v="7998"/>
    <n v="3398"/>
    <n v="4638.8399999999992"/>
    <n v="-4600"/>
    <n v="0.57999999999999996"/>
    <n v="4.2"/>
    <n v="25488"/>
    <s v="Shafeer Pn,Sudhanshu"/>
    <n v="2"/>
    <e v="#REF!"/>
    <e v="#REF!"/>
  </r>
  <r>
    <s v="B004IO5BMQ"/>
    <s v="Logitech M235 Wireless Mouse,"/>
    <x v="58"/>
    <s v="Irons,Steamers&amp;Accessories"/>
    <n v="995"/>
    <n v="699"/>
    <n v="1990"/>
    <n v="1398"/>
    <n v="597"/>
    <n v="-592"/>
    <n v="0.3"/>
    <n v="4.5"/>
    <n v="54405"/>
    <s v="Chandrashekar SK,Mohammed"/>
    <n v="2"/>
    <e v="#REF!"/>
    <e v="#REF!"/>
  </r>
  <r>
    <s v="B09Z6WH2N1"/>
    <s v="STRIFF 12 Pieces Highly"/>
    <x v="56"/>
    <s v="DigitalKitchenScales"/>
    <n v="499"/>
    <n v="95"/>
    <n v="998"/>
    <n v="190"/>
    <n v="808.38000000000011"/>
    <n v="-808"/>
    <n v="0.81"/>
    <n v="4.2"/>
    <n v="1949"/>
    <s v="Santosh Kumar,Prateek"/>
    <n v="2"/>
    <e v="#REF!"/>
    <e v="#REF!"/>
  </r>
  <r>
    <s v="B01HGCLUH6"/>
    <s v="TP-link N300 WiFi Wireless"/>
    <x v="59"/>
    <s v="ManualChoppers&amp;Chippers"/>
    <n v="1699"/>
    <n v="1149"/>
    <n v="3398"/>
    <n v="2298"/>
    <n v="1087.3600000000001"/>
    <n v="-1100"/>
    <n v="0.32"/>
    <n v="4.2"/>
    <n v="122478"/>
    <s v="Vaishnavi Khedekar,Sandeep"/>
    <n v="2"/>
    <e v="#REF!"/>
    <e v="#REF!"/>
  </r>
  <r>
    <s v="B01N4EV2TL"/>
    <s v="Logitech MK240 Nano Wireless"/>
    <x v="56"/>
    <s v="InductionCooktop"/>
    <n v="1995"/>
    <n v="1495"/>
    <n v="5985"/>
    <n v="4485"/>
    <n v="1496.25"/>
    <n v="-1500"/>
    <n v="0.25"/>
    <n v="4.3"/>
    <n v="7241"/>
    <s v="Abhishek,Kindle Customer,Raghu"/>
    <n v="3"/>
    <e v="#REF!"/>
    <e v="#REF!"/>
  </r>
  <r>
    <s v="B08MZQBFLN"/>
    <s v="Callas Multipurpose Foldable Laptop"/>
    <x v="56"/>
    <s v="HandBlenders"/>
    <n v="4999"/>
    <n v="849"/>
    <n v="19996"/>
    <n v="3396"/>
    <n v="16596.68"/>
    <n v="-16600"/>
    <n v="0.83"/>
    <n v="4"/>
    <n v="20457"/>
    <s v="Jasmeen,Santam paul,Deepak,Perabathula"/>
    <n v="4"/>
    <e v="#REF!"/>
    <e v="#REF!"/>
  </r>
  <r>
    <s v="B0752LL57V"/>
    <s v="Casio MJ-12D 150 Steps"/>
    <x v="58"/>
    <s v="Irons,Steamers&amp;Accessories"/>
    <n v="440"/>
    <n v="440"/>
    <n v="1320"/>
    <n v="1320"/>
    <n v="0"/>
    <n v="0"/>
    <n v="0"/>
    <n v="4.5"/>
    <n v="8610"/>
    <s v="Dipu,Kayumuddin,Ankit salunke"/>
    <n v="3"/>
    <e v="#REF!"/>
    <e v="#REF!"/>
  </r>
  <r>
    <s v="B08K4PSZ3V"/>
    <s v="Tukzer Capacitive Stylus Pen"/>
    <x v="56"/>
    <s v="MixerGrinders"/>
    <n v="999"/>
    <n v="349"/>
    <n v="2997"/>
    <n v="1047"/>
    <n v="1948.0500000000002"/>
    <n v="-1950"/>
    <n v="0.65"/>
    <n v="3.8"/>
    <n v="16557"/>
    <s v="Sneha Suyal,Maheswaran,Vamsi"/>
    <n v="3"/>
    <e v="#REF!"/>
    <e v="#REF!"/>
  </r>
  <r>
    <s v="B09Z28BQZT"/>
    <s v="Amazon Basics Multipurpose Foldable"/>
    <x v="60"/>
    <s v="InstantWaterHeaters"/>
    <n v="3999"/>
    <n v="599"/>
    <n v="7998"/>
    <n v="1198"/>
    <n v="6798.3"/>
    <n v="-6800"/>
    <n v="0.85"/>
    <n v="3.9"/>
    <n v="1087"/>
    <s v="Arun J,Sebonti"/>
    <n v="2"/>
    <e v="#REF!"/>
    <e v="#REF!"/>
  </r>
  <r>
    <s v="B094DQWV9B"/>
    <s v="Kanget [2 Pack] Type"/>
    <x v="57"/>
    <m/>
    <n v="399"/>
    <n v="149"/>
    <n v="1995"/>
    <n v="745"/>
    <n v="1256.8499999999999"/>
    <n v="-1250"/>
    <n v="0.63"/>
    <n v="4"/>
    <n v="1540"/>
    <s v="Abhi_K,Amazon Customer,Swap,shivam,Abhinav"/>
    <n v="5"/>
    <e v="#REF!"/>
    <e v="#REF!"/>
  </r>
  <r>
    <s v="B0BBMPH39N"/>
    <s v="Amazon Basics Magic Slate"/>
    <x v="56"/>
    <s v="Kettles&amp;HotWaterDispensers"/>
    <n v="999"/>
    <n v="289"/>
    <n v="1998"/>
    <n v="578"/>
    <n v="1418.58"/>
    <n v="-1420"/>
    <n v="0.71"/>
    <n v="4.0999999999999996"/>
    <n v="401"/>
    <s v="Amazon Customer,Prince"/>
    <n v="2"/>
    <e v="#REF!"/>
    <e v="#REF!"/>
  </r>
  <r>
    <s v="B097JQ1J5G"/>
    <s v="Zebronics ZEB-90HB USB Hub,"/>
    <x v="60"/>
    <s v="StorageWaterHeaters"/>
    <n v="499"/>
    <n v="179"/>
    <n v="998"/>
    <n v="358"/>
    <n v="638.72"/>
    <n v="-640"/>
    <n v="0.64"/>
    <n v="3.4"/>
    <n v="9385"/>
    <s v="Dilip Kumar,Aakash"/>
    <n v="2"/>
    <e v="#REF!"/>
    <e v="#REF!"/>
  </r>
  <r>
    <s v="B07YY1BY5B"/>
    <s v="Noise ColorFit Pro 2"/>
    <x v="60"/>
    <s v="ImmersionRods"/>
    <n v="4999"/>
    <n v="1499"/>
    <n v="14997"/>
    <n v="4497"/>
    <n v="10497.9"/>
    <n v="-10500"/>
    <n v="0.7"/>
    <n v="4"/>
    <n v="92588"/>
    <s v="Vishal shah,Sameer,Joshilla"/>
    <n v="3"/>
    <e v="#REF!"/>
    <e v="#REF!"/>
  </r>
  <r>
    <s v="B08VRMK55F"/>
    <s v="Zebronics Zeb Buds C2"/>
    <x v="56"/>
    <s v="DeepFatFryers"/>
    <n v="699"/>
    <n v="399"/>
    <n v="2097"/>
    <n v="1197"/>
    <n v="901.71"/>
    <n v="-900"/>
    <n v="0.43"/>
    <n v="3.4"/>
    <n v="3454"/>
    <s v="aravind,AbdulKhader Mohammed,Mehul"/>
    <n v="3"/>
    <e v="#REF!"/>
    <e v="#REF!"/>
  </r>
  <r>
    <s v="B08CHZ3ZQ7"/>
    <s v="Redgear A-15 Wired Gaming"/>
    <x v="61"/>
    <s v="LaundryBaskets"/>
    <n v="799"/>
    <n v="599"/>
    <n v="1598"/>
    <n v="1198"/>
    <n v="399.5"/>
    <n v="-400"/>
    <n v="0.25"/>
    <n v="4.3"/>
    <n v="15790"/>
    <s v="Suraj Singh,Shashi"/>
    <n v="2"/>
    <e v="#REF!"/>
    <e v="#REF!"/>
  </r>
  <r>
    <s v="B08SCCG9D4"/>
    <s v="JBL Commercial CSLM20B Auxiliary"/>
    <x v="56"/>
    <s v="JuicerMixerGrinders"/>
    <n v="2000"/>
    <n v="949"/>
    <n v="4000"/>
    <n v="1898"/>
    <n v="2120"/>
    <n v="-2102"/>
    <n v="0.53"/>
    <n v="3.9"/>
    <n v="14969"/>
    <s v="Ansh KaTariA,Saqlain"/>
    <n v="2"/>
    <e v="#REF!"/>
    <e v="#REF!"/>
  </r>
  <r>
    <s v="B0972BQ2RS"/>
    <s v="Fire-Boltt India's No 1"/>
    <x v="58"/>
    <s v="Vacuums&amp;FloorCare"/>
    <n v="9999"/>
    <n v="2499"/>
    <n v="29997"/>
    <n v="7497"/>
    <n v="22497.75"/>
    <n v="-22500"/>
    <n v="0.75"/>
    <n v="4.0999999999999996"/>
    <n v="42139"/>
    <s v="Rajesh Panchanathan,Ravikumar_Mani_INDIA,SATYAM"/>
    <n v="3"/>
    <e v="#REF!"/>
    <e v="#REF!"/>
  </r>
  <r>
    <s v="B00ZRBWPA0"/>
    <s v="Eveready Red 1012 AAA"/>
    <x v="56"/>
    <s v="EggBoilers"/>
    <n v="180"/>
    <n v="159"/>
    <n v="360"/>
    <n v="318"/>
    <n v="43.199999999999996"/>
    <n v="-42"/>
    <n v="0.12"/>
    <n v="4.3"/>
    <n v="989"/>
    <s v="Amazon Customer,Cijo"/>
    <n v="2"/>
    <e v="#REF!"/>
    <e v="#REF!"/>
  </r>
  <r>
    <s v="B0B2DD66GS"/>
    <s v="SanDisk Extreme microSD UHS"/>
    <x v="56"/>
    <s v="SandwichMakers"/>
    <n v="2900"/>
    <n v="1329"/>
    <n v="11600"/>
    <n v="5316"/>
    <n v="6264"/>
    <n v="-6284"/>
    <n v="0.54"/>
    <n v="4.5"/>
    <n v="19624"/>
    <s v="Prasad,Prajwal Shetty,Venkataraam,Zubair"/>
    <n v="4"/>
    <e v="#REF!"/>
    <e v="#REF!"/>
  </r>
  <r>
    <s v="B09M869Z5V"/>
    <s v="Portronics MPORT 31C 4-in-1"/>
    <x v="56"/>
    <s v="MiniFoodProcessors&amp;Choppers"/>
    <n v="999"/>
    <n v="570"/>
    <n v="999"/>
    <n v="570"/>
    <n v="429.57"/>
    <n v="-429"/>
    <n v="0.43"/>
    <n v="4.2"/>
    <n v="3201"/>
    <s v="A K"/>
    <n v="1"/>
    <e v="#REF!"/>
    <e v="#REF!"/>
  </r>
  <r>
    <s v="B07W6VWZ8C"/>
    <s v="Infinity"/>
    <x v="56"/>
    <s v="DigitalKitchenScales"/>
    <n v="1999"/>
    <n v="899"/>
    <n v="3998"/>
    <n v="1798"/>
    <n v="2198.9"/>
    <n v="-2200"/>
    <n v="0.55000000000000004"/>
    <n v="4.0999999999999996"/>
    <n v="30469"/>
    <s v="Vaibhav kumar,Raju"/>
    <n v="2"/>
    <e v="#REF!"/>
    <e v="#REF!"/>
  </r>
  <r>
    <s v="B07Z1X6VFC"/>
    <s v="AirCase Protective Laptop Bag"/>
    <x v="56"/>
    <s v="VacuumSealers"/>
    <n v="999"/>
    <n v="449"/>
    <n v="1998"/>
    <n v="898"/>
    <n v="1098.9000000000001"/>
    <n v="-1100"/>
    <n v="0.55000000000000004"/>
    <n v="4.4000000000000004"/>
    <n v="9940"/>
    <s v="Yesha Bhatt,Vedanth"/>
    <n v="2"/>
    <e v="#REF!"/>
    <e v="#REF!"/>
  </r>
  <r>
    <s v="B07YL54NVJ"/>
    <s v="Brand Conquer 6 in"/>
    <x v="62"/>
    <s v="CeilingFans"/>
    <n v="999"/>
    <n v="549"/>
    <n v="1998"/>
    <n v="1098"/>
    <n v="899.1"/>
    <n v="-900"/>
    <n v="0.45"/>
    <n v="4.3"/>
    <n v="7758"/>
    <s v="SRI RAGAV,Sachin"/>
    <n v="2"/>
    <e v="#REF!"/>
    <e v="#REF!"/>
  </r>
  <r>
    <s v="B0759QMF85"/>
    <s v="TP-Link AC750 Dual Band"/>
    <x v="58"/>
    <s v="PressureWashers,Steam&amp;WindowCleaners"/>
    <n v="2399"/>
    <n v="1529"/>
    <n v="7197"/>
    <n v="4587"/>
    <n v="2590.92"/>
    <n v="-2610"/>
    <n v="0.36"/>
    <n v="4.3"/>
    <n v="68409"/>
    <s v="Jagrat,Prince kumar,Uma"/>
    <n v="3"/>
    <e v="#REF!"/>
    <e v="#REF!"/>
  </r>
  <r>
    <s v="B00LM4X0KU"/>
    <s v="Parker Quink Ink Bottle,"/>
    <x v="57"/>
    <s v="HalogenHeaters"/>
    <n v="100"/>
    <n v="100"/>
    <n v="300"/>
    <n v="300"/>
    <n v="0"/>
    <n v="0"/>
    <n v="0"/>
    <n v="4.3"/>
    <n v="3095"/>
    <s v="Kindle Customer,Aryan,pooja"/>
    <n v="3"/>
    <e v="#REF!"/>
    <e v="#REF!"/>
  </r>
  <r>
    <s v="B08PFSZ7FH"/>
    <s v="STRIFF Laptop Stand Adjustable"/>
    <x v="56"/>
    <s v="Pop-upToasters"/>
    <n v="1499"/>
    <n v="299"/>
    <n v="8994"/>
    <n v="1794"/>
    <n v="7195.2000000000007"/>
    <n v="-7200"/>
    <n v="0.8"/>
    <n v="4.2"/>
    <n v="903"/>
    <s v="Omar,Devesh,PsyShaank,Amazon Customer,logananil,Amazon"/>
    <n v="6"/>
    <e v="#REF!"/>
    <e v="#REF!"/>
  </r>
  <r>
    <s v="B012MQS060"/>
    <s v="Logitech MK215 Wireless Keyboard"/>
    <x v="57"/>
    <s v="HeatConvectors"/>
    <n v="1795"/>
    <n v="1295"/>
    <n v="3590"/>
    <n v="2590"/>
    <n v="1005.2"/>
    <n v="-1000"/>
    <n v="0.28000000000000003"/>
    <n v="4.0999999999999996"/>
    <n v="25771"/>
    <s v="Anirban Mukherjee,Arbaj"/>
    <n v="2"/>
    <e v="#REF!"/>
    <e v="#REF!"/>
  </r>
  <r>
    <s v="B01MF8MB65"/>
    <s v="boAt Bassheads 225 in"/>
    <x v="63"/>
    <s v="CoffeeGrinders"/>
    <n v="999"/>
    <n v="699"/>
    <n v="3996"/>
    <n v="2796"/>
    <n v="1198.8"/>
    <n v="-1200"/>
    <n v="0.3"/>
    <n v="4.0999999999999996"/>
    <n v="273189"/>
    <s v="Arnav,Bharjil Deka,suraj.s,Shubham"/>
    <n v="4"/>
    <e v="#REF!"/>
    <e v="#REF!"/>
  </r>
  <r>
    <s v="B00LHZWD0C"/>
    <s v="Luxor 5 Subject Single"/>
    <x v="62"/>
    <s v="ExhaustFans"/>
    <n v="315"/>
    <n v="252"/>
    <n v="945"/>
    <n v="756"/>
    <n v="189"/>
    <n v="-189"/>
    <n v="0.2"/>
    <n v="4.5"/>
    <n v="3785"/>
    <s v="Aksa akhila,Subhadip,Kanna"/>
    <n v="3"/>
    <e v="#REF!"/>
    <e v="#REF!"/>
  </r>
  <r>
    <s v="B08QDPB1SL"/>
    <s v="Duracell Chhota Power AA"/>
    <x v="63"/>
    <s v="DripCoffeeMachines"/>
    <n v="220"/>
    <n v="190"/>
    <n v="1100"/>
    <n v="950"/>
    <n v="154.00000000000003"/>
    <n v="-150"/>
    <n v="0.14000000000000001"/>
    <n v="4.4000000000000004"/>
    <n v="2866"/>
    <s v="Annan,Sushmita Ghosh,Ananya,Jsivasankarreddy,Rohan"/>
    <n v="5"/>
    <e v="#REF!"/>
    <e v="#REF!"/>
  </r>
  <r>
    <s v="B07BRKK9JQ"/>
    <s v="Zebronics Zeb-Transformer Gaming Keyboard"/>
    <x v="64"/>
    <s v="WaterPurifierAccessories"/>
    <n v="1599"/>
    <n v="1299"/>
    <n v="6396"/>
    <n v="5196"/>
    <n v="1215.24"/>
    <n v="-1200"/>
    <n v="0.19"/>
    <n v="4.3"/>
    <n v="27223"/>
    <s v="Kshanik Rajak,Gajanan,Tester,Shiva"/>
    <n v="4"/>
    <e v="#REF!"/>
    <e v="#REF!"/>
  </r>
  <r>
    <s v="B01EZ0X3L8"/>
    <s v="SanDisk Ultra 64 GB"/>
    <x v="64"/>
    <s v="WaterCartridges"/>
    <n v="1650"/>
    <n v="729"/>
    <n v="8250"/>
    <n v="3645"/>
    <n v="4620.0000000000009"/>
    <n v="-4605"/>
    <n v="0.56000000000000005"/>
    <n v="4.3"/>
    <n v="82356"/>
    <s v="Sanjeev Prasad,Sivanagasai,Karthikeyan,shruti,Harshada"/>
    <n v="5"/>
    <e v="#REF!"/>
    <e v="#REF!"/>
  </r>
  <r>
    <s v="B00LM4W1N2"/>
    <s v="Parker Classic Gold Gold"/>
    <x v="56"/>
    <s v="Rice&amp;PastaCookers"/>
    <n v="600"/>
    <n v="480"/>
    <n v="1800"/>
    <n v="1440"/>
    <n v="360"/>
    <n v="-360"/>
    <n v="0.2"/>
    <n v="4.3"/>
    <n v="5719"/>
    <s v="Diksha Wankhede,Sam,Shafi"/>
    <n v="3"/>
    <e v="#REF!"/>
    <e v="#REF!"/>
  </r>
  <r>
    <s v="B0949SBKMP"/>
    <s v="boAt Flash Edition Smart"/>
    <x v="65"/>
    <s v="AirPurifiers&amp;Ionizers"/>
    <n v="6990"/>
    <n v="1799"/>
    <n v="13980"/>
    <n v="3598"/>
    <n v="10345.200000000001"/>
    <n v="-10382"/>
    <n v="0.74"/>
    <n v="4"/>
    <n v="26880"/>
    <s v="Gojo Satoru,NOORUL"/>
    <n v="2"/>
    <e v="#REF!"/>
    <e v="#REF!"/>
  </r>
  <r>
    <s v="B08YD264ZS"/>
    <s v="Tarkan Portable Folding Laptop"/>
    <x v="66"/>
    <s v="HEPAAirPurifiers"/>
    <n v="2499"/>
    <n v="999"/>
    <n v="12495"/>
    <n v="4995"/>
    <n v="7496.9999999999991"/>
    <n v="-7500"/>
    <n v="0.6"/>
    <n v="4.3"/>
    <n v="1690"/>
    <s v="Divya Sood,Athar,RINO,Purvesh,R"/>
    <n v="5"/>
    <e v="#REF!"/>
    <e v="#REF!"/>
  </r>
  <r>
    <s v="B094JNXNPV"/>
    <s v="Ambrane Unbreakable 3 in"/>
    <x v="64"/>
    <s v="WaterFilters&amp;Purifiers"/>
    <n v="399"/>
    <n v="299"/>
    <n v="1596"/>
    <n v="1196"/>
    <n v="399"/>
    <n v="-400"/>
    <n v="0.25"/>
    <n v="4"/>
    <n v="2766"/>
    <s v="Anand sarma,lokeshnist,C,SAI"/>
    <n v="4"/>
    <e v="#REF!"/>
    <e v="#REF!"/>
  </r>
  <r>
    <s v="B00GZLB57U"/>
    <s v="Quantum RJ45 Ethernet Patch"/>
    <x v="61"/>
    <s v="LaundryBags"/>
    <n v="699"/>
    <n v="238"/>
    <n v="699"/>
    <n v="238"/>
    <n v="461.34000000000003"/>
    <n v="-461"/>
    <n v="0.66"/>
    <n v="4.4000000000000004"/>
    <n v="8372"/>
    <s v="Parenky Amaresha"/>
    <n v="1"/>
    <e v="#REF!"/>
    <e v="#REF!"/>
  </r>
  <r>
    <s v="B07V82W5CN"/>
    <s v="HP USB Wireless Spill"/>
    <x v="67"/>
    <s v="Sewing&amp;EmbroideryMachines"/>
    <n v="2198"/>
    <n v="1349"/>
    <n v="4396"/>
    <n v="2698"/>
    <n v="1714.44"/>
    <n v="-1698"/>
    <n v="0.39"/>
    <n v="4"/>
    <n v="7113"/>
    <s v="Pranjall Kumar,tapas"/>
    <n v="2"/>
    <e v="#REF!"/>
    <e v="#REF!"/>
  </r>
  <r>
    <s v="B077Z65HSD"/>
    <s v="boAt A400 USB Type-C"/>
    <x v="61"/>
    <s v="IroningAccessories"/>
    <n v="999"/>
    <n v="299"/>
    <n v="2997"/>
    <n v="897"/>
    <n v="2097.8999999999996"/>
    <n v="-2100"/>
    <n v="0.7"/>
    <n v="4.3"/>
    <n v="20850"/>
    <s v="GHOST,Amazon Customer,A"/>
    <n v="3"/>
    <e v="#REF!"/>
    <e v="#REF!"/>
  </r>
  <r>
    <s v="B08HD7JQHX"/>
    <s v="HUMBLE Dynamic Lapel Collar"/>
    <x v="56"/>
    <s v="HandMixers"/>
    <n v="499"/>
    <n v="199"/>
    <n v="1497"/>
    <n v="597"/>
    <n v="898.19999999999993"/>
    <n v="-900"/>
    <n v="0.6"/>
    <n v="3.3"/>
    <n v="2804"/>
    <s v="Afrina Hasnat,BKBasu,Ayush"/>
    <n v="3"/>
    <e v="#REF!"/>
    <e v="#REF!"/>
  </r>
  <r>
    <s v="B0B31FR4Y2"/>
    <s v="Boult Audio Omega with"/>
    <x v="56"/>
    <s v="Mills&amp;Grinders"/>
    <n v="9999"/>
    <n v="1999"/>
    <n v="19998"/>
    <n v="3998"/>
    <n v="15998.400000000001"/>
    <n v="-16000"/>
    <n v="0.8"/>
    <n v="3.7"/>
    <n v="1986"/>
    <s v="Anand Kadu,Toney"/>
    <n v="2"/>
    <e v="#REF!"/>
    <e v="#REF!"/>
  </r>
  <r>
    <s v="B09Y14JLP3"/>
    <s v="STRIFF UPH2W Multi Angle"/>
    <x v="56"/>
    <s v="OvenToasterGrills"/>
    <n v="499"/>
    <n v="99"/>
    <n v="998"/>
    <n v="198"/>
    <n v="798.40000000000009"/>
    <n v="-800"/>
    <n v="0.8"/>
    <n v="4.0999999999999996"/>
    <n v="2451"/>
    <s v="Sean m.,Medha"/>
    <n v="2"/>
    <e v="#REF!"/>
    <e v="#REF!"/>
  </r>
  <r>
    <s v="B09ZHCJDP1"/>
    <s v="Amazon Basics Wireless Mouse"/>
    <x v="56"/>
    <s v="Juicers"/>
    <n v="1000"/>
    <n v="499"/>
    <n v="3000"/>
    <n v="1497"/>
    <n v="1500"/>
    <n v="-1503"/>
    <n v="0.5"/>
    <n v="5"/>
    <n v="23"/>
    <s v="Rambeer kumar,Ramesh,Digambar"/>
    <n v="3"/>
    <e v="#REF!"/>
    <e v="#REF!"/>
  </r>
  <r>
    <s v="B08C4Z69LN"/>
    <s v="Crucial RAM 8GB DDR4"/>
    <x v="56"/>
    <m/>
    <n v="3500"/>
    <n v="1792"/>
    <n v="10500"/>
    <n v="5376"/>
    <n v="5145"/>
    <n v="-5124"/>
    <n v="0.49"/>
    <n v="4.5"/>
    <n v="26194"/>
    <s v="Riz,Akshat Nehra,Kishan"/>
    <n v="3"/>
    <e v="#REF!"/>
    <e v="#REF!"/>
  </r>
  <r>
    <s v="B016XVRKZM"/>
    <s v="APC Back-UPS BX600C-IN 600VA"/>
    <x v="68"/>
    <s v="WeighingScales"/>
    <n v="4100"/>
    <n v="3299"/>
    <n v="16400"/>
    <n v="13196"/>
    <n v="3280"/>
    <n v="-3204"/>
    <n v="0.2"/>
    <n v="3.9"/>
    <n v="15783"/>
    <s v="KNReddy,Shashank Reddy,sid,Bharat"/>
    <n v="4"/>
    <e v="#REF!"/>
    <e v="#REF!"/>
  </r>
  <r>
    <s v="B00LHZW3XY"/>
    <s v="Luxor 5 Subject Single"/>
    <x v="63"/>
    <s v="EspressoMachines"/>
    <n v="180"/>
    <n v="125"/>
    <n v="540"/>
    <n v="375"/>
    <n v="167.39999999999998"/>
    <n v="-165"/>
    <n v="0.31"/>
    <n v="4.4000000000000004"/>
    <n v="8053"/>
    <s v="Ankita,AR,A Rohini"/>
    <n v="3"/>
    <e v="#REF!"/>
    <e v="#REF!"/>
  </r>
  <r>
    <s v="B098JYT4SY"/>
    <s v="Zebronics Zeb-Jaguar Wireless Mouse,"/>
    <x v="62"/>
    <s v="TableFans"/>
    <n v="1190"/>
    <n v="399"/>
    <n v="3570"/>
    <n v="1197"/>
    <n v="2356.2000000000003"/>
    <n v="-2373"/>
    <n v="0.66"/>
    <n v="4.0999999999999996"/>
    <n v="2809"/>
    <s v="Deepak,Dhara singh,Shravan"/>
    <n v="3"/>
    <e v="#REF!"/>
    <e v="#REF!"/>
  </r>
  <r>
    <s v="B08CFCK6CW"/>
    <s v="Boult Audio Truebuds with"/>
    <x v="63"/>
    <s v="MilkFrothers"/>
    <n v="7999"/>
    <n v="1199"/>
    <n v="15998"/>
    <n v="2398"/>
    <n v="13598.3"/>
    <n v="-13600"/>
    <n v="0.85"/>
    <n v="3.6"/>
    <n v="25910"/>
    <s v="Guhan V,Kailas"/>
    <n v="2"/>
    <e v="#REF!"/>
    <e v="#REF!"/>
  </r>
  <r>
    <s v="B09P564ZTJ"/>
    <s v="Wembley LCD Writing Pad/Tab"/>
    <x v="69"/>
    <m/>
    <n v="1599"/>
    <n v="235"/>
    <n v="1599"/>
    <n v="235"/>
    <n v="1359.1499999999999"/>
    <n v="-1364"/>
    <n v="0.85"/>
    <n v="3.8"/>
    <n v="1173"/>
    <s v="Yogeshwaran P"/>
    <n v="1"/>
    <e v="#REF!"/>
    <e v="#REF!"/>
  </r>
  <r>
    <s v="B07MSLTW8Z"/>
    <s v="Gizga Essentials Multi-Purpose Portable"/>
    <x v="56"/>
    <s v="SmallApplianceParts&amp;Accessories"/>
    <n v="1999"/>
    <n v="549"/>
    <n v="7996"/>
    <n v="2196"/>
    <n v="5837.08"/>
    <n v="-5800"/>
    <n v="0.73"/>
    <n v="3.6"/>
    <n v="6422"/>
    <s v="Swapnil,Kunalb,SATISH MALVIYA,Manisha"/>
    <n v="4"/>
    <e v="#REF!"/>
    <e v="#REF!"/>
  </r>
  <r>
    <s v="B09N6TTHT6"/>
    <s v="E-COSMOS Plug in LED"/>
    <x v="56"/>
    <s v="YogurtMakers"/>
    <n v="99"/>
    <n v="89"/>
    <n v="198"/>
    <n v="178"/>
    <n v="19.8"/>
    <n v="-20"/>
    <n v="0.1"/>
    <n v="4.2"/>
    <n v="241"/>
    <s v="ABHISHEK SAXENA,C.M."/>
    <n v="2"/>
    <e v="#REF!"/>
    <e v="#REF!"/>
  </r>
  <r>
    <s v="B09W5XR9RT"/>
    <s v="Duracell USB C To"/>
    <x v="56"/>
    <s v="Juicers"/>
    <n v="1999"/>
    <n v="970"/>
    <n v="3998"/>
    <n v="1940"/>
    <n v="2038.98"/>
    <n v="-2058"/>
    <n v="0.51"/>
    <n v="4.4000000000000004"/>
    <n v="184"/>
    <s v="Amazon Customer,Govind"/>
    <n v="2"/>
    <e v="#REF!"/>
    <e v="#REF!"/>
  </r>
  <r>
    <s v="B098R25TGC"/>
    <s v="Noise Buds VS201 V2"/>
    <x v="70"/>
    <s v="Split-SystemAirConditioners"/>
    <n v="2999"/>
    <n v="1299"/>
    <n v="11996"/>
    <n v="5196"/>
    <n v="6837.7199999999993"/>
    <n v="-6800"/>
    <n v="0.56999999999999995"/>
    <n v="3.8"/>
    <n v="14629"/>
    <s v="Karthik,akshay,Prosper Paul,Raksha"/>
    <n v="4"/>
    <e v="#REF!"/>
    <e v="#REF!"/>
  </r>
  <r>
    <s v="B0B2PQL5N3"/>
    <s v="Lapster Gel Mouse pad"/>
    <x v="56"/>
    <s v="SmallApplianceParts&amp;Accessories"/>
    <n v="999"/>
    <n v="230"/>
    <n v="3996"/>
    <n v="920"/>
    <n v="3076.92"/>
    <n v="-3076"/>
    <n v="0.77"/>
    <n v="4.2"/>
    <n v="1528"/>
    <s v="shree,Sandeep Reddy,Raj,Rhythm"/>
    <n v="4"/>
    <e v="#REF!"/>
    <e v="#REF!"/>
  </r>
  <r>
    <s v="B07DKZCZ89"/>
    <s v="Gizga Essentials Earphone Carrying"/>
    <x v="56"/>
    <s v="WaffleMakers&amp;Irons"/>
    <n v="499"/>
    <n v="119"/>
    <n v="499"/>
    <n v="119"/>
    <n v="379.24"/>
    <n v="-380"/>
    <n v="0.76"/>
    <n v="4.3"/>
    <n v="15032"/>
    <s v="shiv pratap"/>
    <n v="1"/>
    <e v="#REF!"/>
    <e v="#REF!"/>
  </r>
  <r>
    <s v="B08GYG6T12"/>
    <s v="SanDisk Ultra SDHC UHS-I"/>
    <x v="63"/>
    <s v="StovetopEspressoPots"/>
    <n v="800"/>
    <n v="449"/>
    <n v="1600"/>
    <n v="898"/>
    <n v="704"/>
    <n v="-702"/>
    <n v="0.44"/>
    <n v="4.4000000000000004"/>
    <n v="69585"/>
    <s v="Bikki Chowdhury,mÌ¶aÌ¶nÌ¶nÌ¶uÌ¶"/>
    <n v="2"/>
    <e v="#REF!"/>
    <e v="#REF!"/>
  </r>
  <r>
    <s v="B09BN2NPBD"/>
    <s v="DIGITEKÂ®"/>
    <x v="63"/>
    <s v="CoffeeMakerAccessories"/>
    <n v="3495"/>
    <n v="1699"/>
    <n v="17475"/>
    <n v="8495"/>
    <n v="8912.25"/>
    <n v="-8980"/>
    <n v="0.51"/>
    <n v="4.0999999999999996"/>
    <n v="14371"/>
    <s v="Surendra,Mahalingam,Anindita Rout,Priyanka,Nikhil"/>
    <n v="5"/>
    <e v="#REF!"/>
    <e v="#REF!"/>
  </r>
  <r>
    <s v="B00J4YG0PC"/>
    <s v="Classmate Long Notebook -"/>
    <x v="63"/>
    <s v="CoffeePresses"/>
    <n v="720"/>
    <n v="561"/>
    <n v="2160"/>
    <n v="1683"/>
    <n v="475.20000000000005"/>
    <n v="-477"/>
    <n v="0.22"/>
    <n v="4.4000000000000004"/>
    <n v="3182"/>
    <s v="MOHD NASIM,Shab,Aniket"/>
    <n v="3"/>
    <e v="#REF!"/>
    <e v="#REF!"/>
  </r>
  <r>
    <s v="B073BRXPZX"/>
    <s v="Lenovo 300 Wired Plug"/>
    <x v="56"/>
    <s v="RotiMakers"/>
    <n v="590"/>
    <n v="289"/>
    <n v="1770"/>
    <n v="867"/>
    <n v="902.69999999999993"/>
    <n v="-903"/>
    <n v="0.51"/>
    <n v="4.4000000000000004"/>
    <n v="25886"/>
    <s v="Harsha,TUSHAR BANSAL,Harmanpreet"/>
    <n v="3"/>
    <e v="#REF!"/>
    <e v="#REF!"/>
  </r>
  <r>
    <s v="B08LHTJTBB"/>
    <s v="Dyazo 6 Angles Adjustable"/>
    <x v="71"/>
    <s v="FanParts&amp;Accessories"/>
    <n v="1999"/>
    <n v="599"/>
    <n v="3998"/>
    <n v="1198"/>
    <n v="2798.6"/>
    <n v="-2800"/>
    <n v="0.7"/>
    <n v="4.4000000000000004"/>
    <n v="4736"/>
    <s v="Sharon Murmoo,Kuldeep"/>
    <n v="2"/>
    <e v="#REF!"/>
    <e v="#REF!"/>
  </r>
  <r>
    <s v="B07VTFN6HM"/>
    <s v="Western Digital WD 2TB"/>
    <x v="56"/>
    <s v="StandMixers"/>
    <n v="7350"/>
    <n v="5599"/>
    <n v="7350"/>
    <n v="5599"/>
    <n v="1764"/>
    <n v="-1751"/>
    <n v="0.24"/>
    <n v="4.4000000000000004"/>
    <n v="73005"/>
    <s v="Dr. Mujtaba"/>
    <n v="1"/>
    <e v="#REF!"/>
    <e v="#REF!"/>
  </r>
  <r>
    <s v="B008QS9J6Y"/>
    <s v="Logitech C270 Digital HD"/>
    <x v="62"/>
    <s v="PedestalFans"/>
    <n v="2595"/>
    <n v="1990"/>
    <n v="5190"/>
    <n v="3980"/>
    <n v="1193.7"/>
    <n v="-1210"/>
    <n v="0.23"/>
    <n v="4.3"/>
    <n v="20398"/>
    <s v="Ariz Siddique,RAMKESH"/>
    <n v="2"/>
    <e v="#REF!"/>
    <e v="#REF!"/>
  </r>
  <r>
    <s v="B09M8888DM"/>
    <s v="Portronics MPORT 31 4"/>
    <x v="58"/>
    <s v="Vacuums&amp;FloorCare"/>
    <n v="799"/>
    <n v="499"/>
    <n v="3995"/>
    <n v="2495"/>
    <n v="1518.1"/>
    <n v="-1500"/>
    <n v="0.38"/>
    <n v="4.3"/>
    <n v="2125"/>
    <s v="Aniket Raj,SA,Anonymous,Gaurav,Amit"/>
    <n v="5"/>
    <e v="#REF!"/>
    <e v="#REF!"/>
  </r>
  <r>
    <s v="B07Z1YVP72"/>
    <s v="AirCase Protective Laptop Bag"/>
    <x v="0"/>
    <s v="Cables"/>
    <n v="999"/>
    <n v="449"/>
    <n v="1998"/>
    <n v="898"/>
    <n v="1098.9000000000001"/>
    <n v="-1100"/>
    <n v="0.55000000000000004"/>
    <n v="4.3"/>
    <n v="11330"/>
    <s v="Kalpesh Panchal,Raviranjan"/>
    <n v="2"/>
    <e v="#REF!"/>
    <e v="#REF!"/>
  </r>
  <r>
    <s v="B082FTPRSK"/>
    <s v="Zinq Five Fan Cooling"/>
    <x v="1"/>
    <s v="WirelessUSBAdapters"/>
    <n v="1999"/>
    <n v="999"/>
    <n v="5997"/>
    <n v="2997"/>
    <n v="2998.5"/>
    <n v="-3000"/>
    <n v="0.5"/>
    <n v="4.2"/>
    <n v="27441"/>
    <s v="Abraham M.,Varun,Sandeep"/>
    <n v="3"/>
    <e v="#REF!"/>
    <e v="#REF!"/>
  </r>
  <r>
    <s v="B09RF2QXGX"/>
    <s v="Gizga Essentials Webcam Cover,"/>
    <x v="2"/>
    <s v="Cables"/>
    <n v="299"/>
    <n v="69"/>
    <n v="1794"/>
    <n v="414"/>
    <n v="1381.38"/>
    <n v="-1380"/>
    <n v="0.77"/>
    <n v="4.3"/>
    <n v="255"/>
    <s v="Jrs,Jayakrishna Shenoy,SNR,ank_bangalore,GSN,Debabrata"/>
    <n v="6"/>
    <e v="#REF!"/>
    <e v="#REF!"/>
  </r>
  <r>
    <s v="B01KK0HU3Y"/>
    <s v="HP Z3700 Wireless Optical"/>
    <x v="3"/>
    <s v="SmartTelevisions"/>
    <n v="1499"/>
    <n v="899"/>
    <n v="2998"/>
    <n v="1798"/>
    <n v="1199.2"/>
    <n v="-1200"/>
    <n v="0.4"/>
    <n v="4.2"/>
    <n v="23174"/>
    <s v="Ayan Chakraborty,Amazon"/>
    <n v="2"/>
    <e v="#REF!"/>
    <e v="#REF!"/>
  </r>
  <r>
    <s v="B07JF9B592"/>
    <s v="MAONO AU-400 Lavalier Auxiliary"/>
    <x v="2"/>
    <s v="RemoteControls"/>
    <n v="699"/>
    <n v="478"/>
    <n v="1398"/>
    <n v="956"/>
    <n v="447.36"/>
    <n v="-442"/>
    <n v="0.32"/>
    <n v="3.8"/>
    <n v="20218"/>
    <s v="Ë¢á´°82Ë¢á¶œ âœ”ï¸,Manish"/>
    <n v="2"/>
    <e v="#REF!"/>
    <e v="#REF!"/>
  </r>
  <r>
    <s v="B086394NY5"/>
    <s v="TABLE MAGIC Multipurpose Laptop"/>
    <x v="3"/>
    <s v="StandardTelevisions"/>
    <n v="2490"/>
    <n v="1399"/>
    <n v="19920"/>
    <n v="11192"/>
    <n v="8764.7999999999993"/>
    <n v="-8728"/>
    <n v="0.44"/>
    <n v="4.3"/>
    <n v="11074"/>
    <s v="Parul Walkey,Kirthivasan,Ashok.,Deepika,kavan,Mohan,Saikumar,Hari"/>
    <n v="8"/>
    <e v="#REF!"/>
    <e v="#REF!"/>
  </r>
  <r>
    <s v="B00NH11PEY"/>
    <s v="AmazonBasics USB 2.0 -"/>
    <x v="2"/>
    <s v="TVMounts,Stands&amp;Turntables"/>
    <n v="750"/>
    <n v="199"/>
    <n v="6000"/>
    <n v="1592"/>
    <n v="4380"/>
    <n v="-4408"/>
    <n v="0.73"/>
    <n v="4.5"/>
    <n v="74976"/>
    <s v="Pravin Kumar,Maestrov,rag,Mukundha2good,Amazon_Shopper,Sonic,Pratap,Amazon"/>
    <n v="8"/>
    <e v="#REF!"/>
    <e v="#REF!"/>
  </r>
  <r>
    <s v="B017PDR9N0"/>
    <s v="GIZGA Essentials Portable Tabletop"/>
    <x v="2"/>
    <s v="Cables"/>
    <n v="499"/>
    <n v="149"/>
    <n v="998"/>
    <n v="298"/>
    <n v="698.59999999999991"/>
    <n v="-700"/>
    <n v="0.7"/>
    <n v="4.0999999999999996"/>
    <n v="25607"/>
    <s v="Atul Modi,Akash"/>
    <n v="2"/>
    <e v="#REF!"/>
    <e v="#REF!"/>
  </r>
  <r>
    <s v="B07NC12T2R"/>
    <s v="boAt Stone 650 10W"/>
    <x v="2"/>
    <s v="SpeakerAccessories"/>
    <n v="4990"/>
    <n v="1799"/>
    <n v="19960"/>
    <n v="7196"/>
    <n v="12774.4"/>
    <n v="-12764"/>
    <n v="0.64"/>
    <n v="4.2"/>
    <n v="41226"/>
    <s v="VSMS,karthik,Latheesh Reddy,Mayank"/>
    <n v="4"/>
    <e v="#REF!"/>
    <e v="#REF!"/>
  </r>
  <r>
    <s v="B07WKBD37W"/>
    <s v="ESnipe Mart Worldwide Travel"/>
    <x v="2"/>
    <s v="Cables"/>
    <n v="999"/>
    <n v="425"/>
    <n v="999"/>
    <n v="425"/>
    <n v="569.42999999999995"/>
    <n v="-574"/>
    <n v="0.56999999999999995"/>
    <n v="4"/>
    <n v="2581"/>
    <s v="Ehsan Ul"/>
    <n v="1"/>
    <e v="#REF!"/>
    <e v="#REF!"/>
  </r>
  <r>
    <s v="B08JMC1988"/>
    <s v="boAt Stone 180 5W"/>
    <x v="4"/>
    <m/>
    <n v="2490"/>
    <n v="999"/>
    <n v="4980"/>
    <n v="1998"/>
    <n v="2988"/>
    <n v="-2982"/>
    <n v="0.6"/>
    <n v="4.0999999999999996"/>
    <n v="18331"/>
    <s v="Meghana,Udit narayan"/>
    <n v="2"/>
    <e v="#REF!"/>
    <e v="#REF!"/>
  </r>
  <r>
    <s v="B09GFN8WZL"/>
    <s v="Portronics Ruffpad 8.5M Multicolor"/>
    <x v="2"/>
    <s v="Adapters"/>
    <n v="999"/>
    <n v="378"/>
    <n v="1998"/>
    <n v="756"/>
    <n v="1238.76"/>
    <n v="-1242"/>
    <n v="0.62"/>
    <n v="4.0999999999999996"/>
    <n v="1779"/>
    <s v="HIREN PARMAR,Yateesh"/>
    <n v="2"/>
    <e v="#REF!"/>
    <e v="#REF!"/>
  </r>
  <r>
    <s v="B095X38CJS"/>
    <s v="BRUSTRO Copytinta Coloured Craft"/>
    <x v="5"/>
    <s v="SatelliteReceivers"/>
    <n v="99"/>
    <n v="99"/>
    <n v="792"/>
    <n v="792"/>
    <n v="0"/>
    <n v="0"/>
    <n v="0"/>
    <n v="4.3"/>
    <n v="388"/>
    <s v="kashif,sezhian,Dinesh K.,Jenifer,Harsh,suresh,Madhu,Amazon"/>
    <n v="8"/>
    <e v="#REF!"/>
    <e v="#REF!"/>
  </r>
  <r>
    <s v="B07ZKD8T1Q"/>
    <s v="Cuzor 12V Mini ups"/>
    <x v="0"/>
    <s v="Cables"/>
    <n v="2999"/>
    <n v="1499"/>
    <n v="8997"/>
    <n v="4497"/>
    <n v="4498.5"/>
    <n v="-4500"/>
    <n v="0.5"/>
    <n v="4.5"/>
    <n v="8656"/>
    <s v="Subramanian M,krupasindhu,Amazon"/>
    <n v="3"/>
    <e v="#REF!"/>
    <e v="#REF!"/>
  </r>
  <r>
    <s v="B07G3YNLJB"/>
    <s v="Crucial BX500 240GB 3D"/>
    <x v="2"/>
    <s v="Cables"/>
    <n v="3100"/>
    <n v="1815"/>
    <n v="6200"/>
    <n v="3630"/>
    <n v="2542"/>
    <n v="-2570"/>
    <n v="0.41"/>
    <n v="4.5"/>
    <n v="92925"/>
    <s v="Shaikh Faisal,SISODIYA"/>
    <n v="2"/>
    <e v="#REF!"/>
    <e v="#REF!"/>
  </r>
  <r>
    <s v="B00P93X2H6"/>
    <s v="Classmate Pulse Spiral Notebook"/>
    <x v="6"/>
    <s v="StreamingClients"/>
    <n v="75"/>
    <n v="67"/>
    <n v="150"/>
    <n v="134"/>
    <n v="16.5"/>
    <n v="-16"/>
    <n v="0.11"/>
    <n v="4.0999999999999996"/>
    <n v="1269"/>
    <s v="Nafisa Nehar,Narinder"/>
    <n v="2"/>
    <e v="#REF!"/>
    <e v="#REF!"/>
  </r>
  <r>
    <s v="B0798PJPCL"/>
    <s v="Portronics My buddy plus"/>
    <x v="7"/>
    <m/>
    <n v="2699"/>
    <n v="1889"/>
    <n v="2699"/>
    <n v="1889"/>
    <n v="809.69999999999993"/>
    <n v="-810"/>
    <n v="0.3"/>
    <n v="4.3"/>
    <n v="17394"/>
    <s v="Nayeem ur"/>
    <n v="1"/>
    <e v="#REF!"/>
    <e v="#REF!"/>
  </r>
  <r>
    <s v="B09GFWJDY1"/>
    <s v="ZEBRONICS Zeb-Evolve Wireless in"/>
    <x v="8"/>
    <s v="TowerSpeakers"/>
    <n v="1499"/>
    <n v="499"/>
    <n v="2998"/>
    <n v="998"/>
    <n v="2008.66"/>
    <n v="-2000"/>
    <n v="0.67"/>
    <n v="3.6"/>
    <n v="9169"/>
    <s v="Vibhor sharma,Eshaan"/>
    <n v="2"/>
    <e v="#REF!"/>
    <e v="#REF!"/>
  </r>
  <r>
    <s v="B09MZ6WZ6V"/>
    <s v="INOVERA World Map Extended"/>
    <x v="2"/>
    <s v="3DGlasses"/>
    <n v="999"/>
    <n v="499"/>
    <n v="2997"/>
    <n v="1497"/>
    <n v="1498.5"/>
    <n v="-1500"/>
    <n v="0.5"/>
    <n v="4.4000000000000004"/>
    <n v="1030"/>
    <s v="f1rstmehul,Kalyani Ramasubbu,sourin"/>
    <n v="3"/>
    <e v="#REF!"/>
    <e v="#REF!"/>
  </r>
  <r>
    <s v="B094QZLJQ6"/>
    <s v="Seagate One Touch 2TB"/>
    <x v="9"/>
    <m/>
    <n v="7999"/>
    <n v="5799"/>
    <n v="15998"/>
    <n v="11598"/>
    <n v="4479.4400000000005"/>
    <n v="-4400"/>
    <n v="0.28000000000000003"/>
    <n v="4.5"/>
    <n v="50273"/>
    <s v="Amazon Customer,Jayesh"/>
    <n v="2"/>
    <e v="#REF!"/>
    <e v="#REF!"/>
  </r>
  <r>
    <s v="B07L3NDN24"/>
    <s v="ZEBRONICS Zeb-Fame 5watts 2.0"/>
    <x v="10"/>
    <s v="Chargers"/>
    <n v="799"/>
    <n v="499"/>
    <n v="2397"/>
    <n v="1497"/>
    <n v="910.86"/>
    <n v="-900"/>
    <n v="0.38"/>
    <n v="3.9"/>
    <n v="6742"/>
    <s v="Asraful,Sagar prajapati,Mahesh"/>
    <n v="3"/>
    <e v="#REF!"/>
    <e v="#REF!"/>
  </r>
  <r>
    <s v="B08WD18LJZ"/>
    <s v="TVARA LCD Writing Tablet"/>
    <x v="11"/>
    <s v="Smartphones"/>
    <n v="600"/>
    <n v="249"/>
    <n v="3600"/>
    <n v="1494"/>
    <n v="2124"/>
    <n v="-2106"/>
    <n v="0.59"/>
    <n v="4"/>
    <n v="1208"/>
    <s v="Uthiranathan,Scuba_3d,Amazon Customer,archana,Nithin,Annie"/>
    <n v="6"/>
    <e v="#REF!"/>
    <e v="#REF!"/>
  </r>
  <r>
    <s v="B09CMM3VGK"/>
    <s v="Ambrane 60W / 3A"/>
    <x v="12"/>
    <s v="MicroSD"/>
    <n v="499"/>
    <n v="179"/>
    <n v="1497"/>
    <n v="537"/>
    <n v="958.08"/>
    <n v="-960"/>
    <n v="0.64"/>
    <n v="4"/>
    <n v="1933"/>
    <s v="Rishabh,Amazon Customer,Darpan"/>
    <n v="3"/>
    <e v="#REF!"/>
    <e v="#REF!"/>
  </r>
  <r>
    <s v="B06XDKWLJH"/>
    <s v="Western Digital WD 1.5TB"/>
    <x v="11"/>
    <s v="BasicMobiles"/>
    <n v="5734"/>
    <n v="4449"/>
    <n v="28670"/>
    <n v="22245"/>
    <n v="6307.4"/>
    <n v="-6425"/>
    <n v="0.22"/>
    <n v="4.4000000000000004"/>
    <n v="25006"/>
    <s v="Mastercard,Krupal Gajjar,Sanket,lional,Atteng"/>
    <n v="5"/>
    <e v="#REF!"/>
    <e v="#REF!"/>
  </r>
  <r>
    <s v="B01J1CFO5I"/>
    <s v="Redgear MP35 Speed-Type Gaming"/>
    <x v="13"/>
    <s v="In-Ear"/>
    <n v="550"/>
    <n v="299"/>
    <n v="1650"/>
    <n v="897"/>
    <n v="759"/>
    <n v="-753"/>
    <n v="0.46"/>
    <n v="4.5999999999999996"/>
    <n v="33434"/>
    <s v="Jayaprakash,Keshav Rana,Mohit"/>
    <n v="3"/>
    <e v="#REF!"/>
    <e v="#REF!"/>
  </r>
  <r>
    <s v="B07J2NGB69"/>
    <s v="Lenovo 400 Wireless Mouse,"/>
    <x v="10"/>
    <s v="Chargers"/>
    <n v="1390"/>
    <n v="629"/>
    <n v="6950"/>
    <n v="3145"/>
    <n v="3822.5000000000005"/>
    <n v="-3805"/>
    <n v="0.55000000000000004"/>
    <n v="4.4000000000000004"/>
    <n v="6301"/>
    <s v="abhilash n.,Tk,Mayur,Ajay,himanshu"/>
    <n v="5"/>
    <e v="#REF!"/>
    <e v="#REF!"/>
  </r>
  <r>
    <s v="B00MUTWLW4"/>
    <s v="Logitech K480 Wireless Multi-Device"/>
    <x v="10"/>
    <s v="AutomobileAccessories"/>
    <n v="3295"/>
    <n v="2595"/>
    <n v="9885"/>
    <n v="7785"/>
    <n v="2075.85"/>
    <n v="-2100"/>
    <n v="0.21"/>
    <n v="4.4000000000000004"/>
    <n v="22618"/>
    <s v="Nikhil M.,Quader,Amith"/>
    <n v="3"/>
    <e v="#REF!"/>
    <e v="#REF!"/>
  </r>
  <r>
    <s v="B08QSC1XY8"/>
    <s v="Zoul USB C 60W"/>
    <x v="10"/>
    <s v="Chargers"/>
    <n v="1099"/>
    <n v="389"/>
    <n v="4396"/>
    <n v="1556"/>
    <n v="2857.4"/>
    <n v="-2840"/>
    <n v="0.65"/>
    <n v="4.3"/>
    <n v="974"/>
    <s v="Pratyush Pahuja,Thiyagarajan,yeses,Amazon"/>
    <n v="4"/>
    <e v="#REF!"/>
    <e v="#REF!"/>
  </r>
  <r>
    <s v="B017NC2IPM"/>
    <s v="RESONATE RouterUPS CRU12V2A |"/>
    <x v="10"/>
    <s v="Cables&amp;Adapters"/>
    <n v="2911"/>
    <n v="1799"/>
    <n v="5822"/>
    <n v="3598"/>
    <n v="2212.36"/>
    <n v="-2224"/>
    <n v="0.38"/>
    <n v="4.3"/>
    <n v="20342"/>
    <s v="JAYASHANKAR VB,SHAHABAAZ"/>
    <n v="2"/>
    <e v="#REF!"/>
    <e v="#REF!"/>
  </r>
  <r>
    <s v="B00N1U7JXM"/>
    <s v="3M Post-it Sticky Note"/>
    <x v="10"/>
    <s v="Photo&amp;VideoAccessories"/>
    <n v="175"/>
    <n v="90"/>
    <n v="350"/>
    <n v="180"/>
    <n v="171.5"/>
    <n v="-170"/>
    <n v="0.49"/>
    <n v="4.4000000000000004"/>
    <n v="7429"/>
    <s v="Deepak kumar,Ahsan"/>
    <n v="2"/>
    <e v="#REF!"/>
    <e v="#REF!"/>
  </r>
  <r>
    <s v="B08HQL67D6"/>
    <s v="OFIXO Multi-Purpose Laptop Table/Study"/>
    <x v="10"/>
    <s v="Photo&amp;VideoAccessories"/>
    <n v="599"/>
    <n v="599"/>
    <n v="1797"/>
    <n v="1797"/>
    <n v="0"/>
    <n v="0"/>
    <n v="0"/>
    <n v="4"/>
    <n v="26423"/>
    <s v="Sonubhai,Sujili v,Mohammad"/>
    <n v="3"/>
    <e v="#REF!"/>
    <e v="#REF!"/>
  </r>
  <r>
    <s v="B09RKFBCV7"/>
    <s v="Fire-Boltt Ninja Calling 1.69&quot;"/>
    <x v="10"/>
    <s v="Stands"/>
    <n v="7999"/>
    <n v="1999"/>
    <n v="15998"/>
    <n v="3998"/>
    <n v="11998.5"/>
    <n v="-12000"/>
    <n v="0.75"/>
    <n v="4.2"/>
    <n v="31305"/>
    <s v="siddhi kamat,Reshma"/>
    <n v="2"/>
    <e v="#REF!"/>
    <e v="#REF!"/>
  </r>
  <r>
    <s v="B08KHM9VBJ"/>
    <s v="Airtel AMF-311WW Data Card"/>
    <x v="0"/>
    <s v="CableConnectionProtectors"/>
    <n v="3250"/>
    <n v="2099"/>
    <n v="3250"/>
    <n v="2099"/>
    <n v="1137.5"/>
    <n v="-1151"/>
    <n v="0.35"/>
    <n v="3.8"/>
    <n v="11213"/>
    <s v="Sancha Bir"/>
    <n v="1"/>
    <e v="#REF!"/>
    <e v="#REF!"/>
  </r>
  <r>
    <s v="B01IOZUHRS"/>
    <s v="Gizga Essentials Laptop Power"/>
    <x v="10"/>
    <s v="DÃ©cor"/>
    <n v="499"/>
    <n v="179"/>
    <n v="1497"/>
    <n v="537"/>
    <n v="958.08"/>
    <n v="-960"/>
    <n v="0.64"/>
    <n v="4.0999999999999996"/>
    <n v="10174"/>
    <s v="Chetan C.,Bhasker,Heet"/>
    <n v="3"/>
    <e v="#REF!"/>
    <e v="#REF!"/>
  </r>
  <r>
    <s v="B00CEQEGPI"/>
    <s v="Logitech MK270r USB Wireless"/>
    <x v="10"/>
    <s v="Maintenance,Upkeep&amp;Repairs"/>
    <n v="2295"/>
    <n v="1345"/>
    <n v="9180"/>
    <n v="5380"/>
    <n v="3763.7999999999997"/>
    <n v="-3800"/>
    <n v="0.41"/>
    <n v="4.2"/>
    <n v="17413"/>
    <s v="Jaldeep,karan,Kalyanchakravarti Nemana,Swapnil"/>
    <n v="4"/>
    <e v="#REF!"/>
    <e v="#REF!"/>
  </r>
  <r>
    <s v="B08B6XWQ1C"/>
    <s v="DIGITEKÂ®"/>
    <x v="10"/>
    <s v="StylusPens"/>
    <n v="995"/>
    <n v="349"/>
    <n v="3980"/>
    <n v="1396"/>
    <n v="2587"/>
    <n v="-2584"/>
    <n v="0.65"/>
    <n v="4.2"/>
    <n v="6676"/>
    <s v="Rajesh singha,Bhavesh,Sivanath,Akanksha"/>
    <n v="4"/>
    <e v="#REF!"/>
    <e v="#REF!"/>
  </r>
  <r>
    <s v="B01DGVKBC6"/>
    <s v="FEDUS Cat6 Ethernet Cable,"/>
    <x v="10"/>
    <s v="Mounts"/>
    <n v="499"/>
    <n v="287"/>
    <n v="499"/>
    <n v="287"/>
    <n v="209.57999999999998"/>
    <n v="-212"/>
    <n v="0.42"/>
    <n v="4.4000000000000004"/>
    <n v="8076"/>
    <s v="K. Vijay"/>
    <n v="1"/>
    <e v="#REF!"/>
    <e v="#REF!"/>
  </r>
  <r>
    <s v="B008FWZGSG"/>
    <s v="Samsung Original Type C"/>
    <x v="10"/>
    <s v="Cases&amp;Covers"/>
    <n v="599"/>
    <n v="599"/>
    <n v="1198"/>
    <n v="1198"/>
    <n v="0"/>
    <n v="0"/>
    <n v="0"/>
    <n v="4.3"/>
    <n v="355"/>
    <s v="Verified Buyer,Avishek"/>
    <n v="2"/>
    <e v="#REF!"/>
    <e v="#REF!"/>
  </r>
  <r>
    <s v="B08JD36C6H"/>
    <s v="Kingston DataTraveler Exodia DTX/32"/>
    <x v="10"/>
    <s v="Mounts"/>
    <n v="450"/>
    <n v="349"/>
    <n v="450"/>
    <n v="349"/>
    <n v="99"/>
    <n v="-101"/>
    <n v="0.22"/>
    <n v="4.0999999999999996"/>
    <n v="18656"/>
    <s v="Dip J"/>
    <n v="1"/>
    <e v="#REF!"/>
    <e v="#REF!"/>
  </r>
  <r>
    <s v="B00E3DVQFS"/>
    <s v="Duracell Rechargeable AA 2500mAh"/>
    <x v="13"/>
    <s v="On-Ear"/>
    <n v="1109"/>
    <n v="879"/>
    <n v="2218"/>
    <n v="1758"/>
    <n v="465.78"/>
    <n v="-460"/>
    <n v="0.21"/>
    <n v="4.4000000000000004"/>
    <n v="31599"/>
    <s v="Rajendra Singh,SUBRATA"/>
    <n v="2"/>
    <e v="#REF!"/>
    <e v="#REF!"/>
  </r>
  <r>
    <s v="B0B4HJNPV4"/>
    <s v="pTron Solero T351 3.5Amps"/>
    <x v="14"/>
    <s v="CameraPrivacyCovers"/>
    <n v="999"/>
    <n v="199"/>
    <n v="4995"/>
    <n v="995"/>
    <n v="3996"/>
    <n v="-4000"/>
    <n v="0.8"/>
    <n v="3.9"/>
    <n v="1075"/>
    <s v="Placeholder,à¤¶à¥à¤°à¥€PKà¤œà¥€,Gauri salkar,aQeel,Ashish"/>
    <n v="5"/>
    <e v="#REF!"/>
    <e v="#REF!"/>
  </r>
  <r>
    <s v="B00BN5SNF0"/>
    <s v="ENVIEÂ®"/>
    <x v="15"/>
    <m/>
    <n v="250"/>
    <n v="250"/>
    <n v="1500"/>
    <n v="1500"/>
    <n v="0"/>
    <n v="0"/>
    <n v="0"/>
    <n v="3.9"/>
    <n v="13971"/>
    <s v="à¤…à¤¶à¥‹à¤• à¤µà¥ˆà¤·à¥à¤£à¤µ,Satish,KBK,rajendra,BuyerOfProducts,Manjush"/>
    <n v="6"/>
    <e v="#REF!"/>
    <e v="#REF!"/>
  </r>
  <r>
    <s v="B09SGGRKV8"/>
    <s v="ZEBRONICS Zeb-Buds 30 3.5Mm"/>
    <x v="10"/>
    <s v="DÃ©cor"/>
    <n v="499"/>
    <n v="199"/>
    <n v="1996"/>
    <n v="796"/>
    <n v="1197.5999999999999"/>
    <n v="-1200"/>
    <n v="0.6"/>
    <n v="3.6"/>
    <n v="2492"/>
    <s v="Kohana,Sameer,Rishabh singh,Sourav"/>
    <n v="4"/>
    <e v="#REF!"/>
    <e v="#REF!"/>
  </r>
  <r>
    <s v="B07XLCFSSN"/>
    <s v="Amazonbasics Nylon Braided Usb-C"/>
    <x v="10"/>
    <s v="Mounts"/>
    <n v="1900"/>
    <n v="899"/>
    <n v="5700"/>
    <n v="2697"/>
    <n v="3021"/>
    <n v="-3003"/>
    <n v="0.53"/>
    <n v="4.4000000000000004"/>
    <n v="13552"/>
    <s v="Wraith,Krishna Engineering,Kindle"/>
    <n v="3"/>
    <e v="#REF!"/>
    <e v="#REF!"/>
  </r>
  <r>
    <s v="B09RZS1NQT"/>
    <s v="Sounce 65W OnePlus Dash"/>
    <x v="16"/>
    <m/>
    <n v="999"/>
    <n v="199"/>
    <n v="3996"/>
    <n v="796"/>
    <n v="3196.8"/>
    <n v="-3200"/>
    <n v="0.8"/>
    <n v="4"/>
    <n v="575"/>
    <s v="Anmol,Vani,Tejas Jha,Rishabh"/>
    <n v="4"/>
    <e v="#REF!"/>
    <e v="#REF!"/>
  </r>
  <r>
    <s v="B084BR3QX8"/>
    <s v="LAPSTER Accessories Power Cable"/>
    <x v="17"/>
    <s v="Mice"/>
    <n v="999"/>
    <n v="149"/>
    <n v="2997"/>
    <n v="447"/>
    <n v="2547.4499999999998"/>
    <n v="-2550"/>
    <n v="0.85"/>
    <n v="3.5"/>
    <n v="2523"/>
    <s v="vinu,Goutam Banerjee,Rajeesh"/>
    <n v="3"/>
    <e v="#REF!"/>
    <e v="#REF!"/>
  </r>
  <r>
    <s v="B09VC2D2WG"/>
    <s v="Portronics Ruffpad 12E Re-Writable"/>
    <x v="17"/>
    <s v="GraphicTablets"/>
    <n v="1499"/>
    <n v="469"/>
    <n v="1499"/>
    <n v="469"/>
    <n v="1034.31"/>
    <n v="-1030"/>
    <n v="0.69"/>
    <n v="4.0999999999999996"/>
    <n v="352"/>
    <s v="Manish Kumar"/>
    <n v="1"/>
    <e v="#REF!"/>
    <e v="#REF!"/>
  </r>
  <r>
    <s v="B09163Q5CD"/>
    <s v="VeriluxÂ® USB C Hub"/>
    <x v="14"/>
    <s v="Lapdesks"/>
    <n v="1929"/>
    <n v="1187"/>
    <n v="7716"/>
    <n v="4748"/>
    <n v="2932.08"/>
    <n v="-2968"/>
    <n v="0.38"/>
    <n v="4.0999999999999996"/>
    <n v="1662"/>
    <s v="Vignesh,Aniket,Nitish Kumar,Amazon"/>
    <n v="4"/>
    <e v="#REF!"/>
    <e v="#REF!"/>
  </r>
  <r>
    <s v="B08K9PX15C"/>
    <s v="Zebronics Zeb Wonderbar 10"/>
    <x v="14"/>
    <s v="NotebookComputerStands"/>
    <n v="1499"/>
    <n v="849"/>
    <n v="2998"/>
    <n v="1698"/>
    <n v="1289.1399999999999"/>
    <n v="-1300"/>
    <n v="0.43"/>
    <n v="4"/>
    <n v="7352"/>
    <s v="Balamurugan Trivandrum,prathmesh"/>
    <n v="2"/>
    <e v="#REF!"/>
    <e v="#REF!"/>
  </r>
  <r>
    <s v="B083RD1J99"/>
    <s v="HP Wired Mouse 100"/>
    <x v="17"/>
    <s v="Keyboards"/>
    <n v="399"/>
    <n v="328"/>
    <n v="399"/>
    <n v="328"/>
    <n v="71.819999999999993"/>
    <n v="-71"/>
    <n v="0.18"/>
    <n v="4.0999999999999996"/>
    <n v="3441"/>
    <s v="Rakesh Roshan"/>
    <n v="1"/>
    <e v="#REF!"/>
    <e v="#REF!"/>
  </r>
  <r>
    <s v="B09Z7YGV3R"/>
    <s v="Anjaney Enterprise Smart Multipurpose"/>
    <x v="18"/>
    <m/>
    <n v="699"/>
    <n v="269"/>
    <n v="1398"/>
    <n v="538"/>
    <n v="866.76"/>
    <n v="-860"/>
    <n v="0.62"/>
    <n v="4"/>
    <n v="93"/>
    <s v="varshini Mani,giri"/>
    <n v="2"/>
    <e v="#REF!"/>
    <e v="#REF!"/>
  </r>
  <r>
    <s v="B00N3XLDW0"/>
    <s v="ENVIE ECR-20 Charger for"/>
    <x v="19"/>
    <m/>
    <n v="400"/>
    <n v="299"/>
    <n v="1200"/>
    <n v="897"/>
    <n v="300"/>
    <n v="-303"/>
    <n v="0.25"/>
    <n v="3.8"/>
    <n v="40895"/>
    <s v="Satish,Anonymous,AJIT SHRIPAD"/>
    <n v="3"/>
    <e v="#REF!"/>
    <e v="#REF!"/>
  </r>
  <r>
    <s v="B07Z53L5QL"/>
    <s v="ProElite Faux Leather Smart"/>
    <x v="20"/>
    <s v="Stationery"/>
    <n v="1499"/>
    <n v="549"/>
    <n v="4497"/>
    <n v="1647"/>
    <n v="2833.11"/>
    <n v="-2850"/>
    <n v="0.63"/>
    <n v="4.3"/>
    <n v="11006"/>
    <s v="Neha,Amazon Customer,Rajat"/>
    <n v="3"/>
    <e v="#REF!"/>
    <e v="#REF!"/>
  </r>
  <r>
    <s v="B00P93X0VO"/>
    <s v="Classmate Pulse 6 Subject"/>
    <x v="21"/>
    <s v="Tape"/>
    <n v="120"/>
    <n v="114"/>
    <n v="360"/>
    <n v="342"/>
    <n v="18"/>
    <n v="-18"/>
    <n v="0.05"/>
    <n v="4.2"/>
    <n v="8938"/>
    <s v="Aditya Chatterjee,Raksha,shubham"/>
    <n v="3"/>
    <e v="#REF!"/>
    <e v="#REF!"/>
  </r>
  <r>
    <s v="B07SBGFDX9"/>
    <s v="Pentonic Multicolor Ball Point"/>
    <x v="17"/>
    <s v="Keyboard&amp;MouseSets"/>
    <n v="120"/>
    <n v="120"/>
    <n v="240"/>
    <n v="240"/>
    <n v="0"/>
    <n v="0"/>
    <n v="0"/>
    <n v="4.0999999999999996"/>
    <n v="4308"/>
    <s v="Parul S.,Prateek"/>
    <n v="2"/>
    <e v="#REF!"/>
    <e v="#REF!"/>
  </r>
  <r>
    <s v="B09C6HWG18"/>
    <s v="Duracell Type C To"/>
    <x v="22"/>
    <m/>
    <n v="1999"/>
    <n v="970"/>
    <n v="1999"/>
    <n v="970"/>
    <n v="1019.49"/>
    <n v="-1029"/>
    <n v="0.51"/>
    <n v="4.2"/>
    <n v="462"/>
    <s v="Koushal K"/>
    <n v="1"/>
    <e v="#REF!"/>
    <e v="#REF!"/>
  </r>
  <r>
    <s v="B00NH11KIK"/>
    <s v="AmazonBasics USB 2.0 Cable"/>
    <x v="23"/>
    <m/>
    <n v="695"/>
    <n v="209"/>
    <n v="4865"/>
    <n v="1463"/>
    <n v="3405.4999999999995"/>
    <n v="-3402"/>
    <n v="0.7"/>
    <n v="4.5"/>
    <n v="107686"/>
    <s v="Shiva,Uzef,kottala samuel,Renjith,Dhivakaran,Mark,Utkarsh"/>
    <n v="7"/>
    <e v="#REF!"/>
    <e v="#REF!"/>
  </r>
  <r>
    <s v="B07X2L5Z8C"/>
    <s v="Logitech Pebble M350 Wireless"/>
    <x v="2"/>
    <s v="Tripods&amp;Monopods"/>
    <n v="2295"/>
    <n v="1490"/>
    <n v="13770"/>
    <n v="8940"/>
    <n v="4819.5"/>
    <n v="-4830"/>
    <n v="0.35"/>
    <n v="4.5999999999999996"/>
    <n v="10652"/>
    <s v="Ravi,Shrey,Deepthi,sreeraj,Priyadarshini P,Abdul"/>
    <n v="6"/>
    <e v="#REF!"/>
    <e v="#REF!"/>
  </r>
  <r>
    <s v="B00VA7YYUO"/>
    <s v="Apsara Platinum Pencils Value"/>
    <x v="24"/>
    <s v="Scientific"/>
    <n v="99"/>
    <n v="99"/>
    <n v="99"/>
    <n v="99"/>
    <n v="0"/>
    <n v="0"/>
    <n v="0"/>
    <n v="4.3"/>
    <n v="5036"/>
    <s v="Shahul Hameed"/>
    <n v="1"/>
    <e v="#REF!"/>
    <e v="#REF!"/>
  </r>
  <r>
    <s v="B07L9FW9GF"/>
    <s v="Zebronics Zeb-Power Wired USB"/>
    <x v="25"/>
    <m/>
    <n v="249"/>
    <n v="149"/>
    <n v="1245"/>
    <n v="745"/>
    <n v="498.00000000000006"/>
    <n v="-500"/>
    <n v="0.4"/>
    <n v="4"/>
    <n v="5057"/>
    <s v="zain,Deepak,VIMAL,Shiv Sagar,Tamil"/>
    <n v="5"/>
    <e v="#REF!"/>
    <e v="#REF!"/>
  </r>
  <r>
    <s v="B08D64C9FN"/>
    <s v="Ant Esports GM320 RGB"/>
    <x v="2"/>
    <s v="Tripods&amp;Monopods"/>
    <n v="2799"/>
    <n v="575"/>
    <n v="11196"/>
    <n v="2300"/>
    <n v="8844.84"/>
    <n v="-8896"/>
    <n v="0.79"/>
    <n v="4.2"/>
    <n v="8537"/>
    <s v="Sthith,Bhagwan Patil,Abhisekh,Murtaza"/>
    <n v="4"/>
    <e v="#REF!"/>
    <e v="#REF!"/>
  </r>
  <r>
    <s v="B07XJYYH7L"/>
    <s v="Wecool Nylon Braided Multifunction"/>
    <x v="26"/>
    <s v="InkjetInkCartridges"/>
    <n v="999"/>
    <n v="333"/>
    <n v="3996"/>
    <n v="1332"/>
    <n v="2677.32"/>
    <n v="-2664"/>
    <n v="0.67"/>
    <n v="3.3"/>
    <n v="9792"/>
    <s v="Amazon Customer,DHONDU,Saurabh,Promod"/>
    <n v="4"/>
    <e v="#REF!"/>
    <e v="#REF!"/>
  </r>
  <r>
    <s v="B00LOD70SC"/>
    <s v="Pilot V7 Liquid Ink"/>
    <x v="17"/>
    <s v="Keyboard&amp;MiceAccessories"/>
    <n v="210"/>
    <n v="178"/>
    <n v="420"/>
    <n v="356"/>
    <n v="63"/>
    <n v="-64"/>
    <n v="0.15"/>
    <n v="4.3"/>
    <n v="2450"/>
    <s v="Madhusmita singh,Sandeep"/>
    <n v="2"/>
    <e v="#REF!"/>
    <e v="#REF!"/>
  </r>
  <r>
    <s v="B09X76VL5L"/>
    <s v="boAt Airdopes 191G True"/>
    <x v="27"/>
    <s v="GamingMice"/>
    <n v="3490"/>
    <n v="1599"/>
    <n v="13960"/>
    <n v="6396"/>
    <n v="7538.4000000000005"/>
    <n v="-7564"/>
    <n v="0.54"/>
    <n v="3.7"/>
    <n v="676"/>
    <s v="Miki,Nikhil,Nidheesh V,Patel"/>
    <n v="4"/>
    <e v="#REF!"/>
    <e v="#REF!"/>
  </r>
  <r>
    <s v="B091JF2TFD"/>
    <s v="Boult Audio BassBuds Oak"/>
    <x v="28"/>
    <s v="Paints"/>
    <n v="1299"/>
    <n v="499"/>
    <n v="7794"/>
    <n v="2994"/>
    <n v="4832.28"/>
    <n v="-4800"/>
    <n v="0.62"/>
    <n v="3.9"/>
    <n v="1173"/>
    <s v="Kulasekaranslrk,Amazon Customer,Sampada,Rudraksh,Narayan,Vivek"/>
    <n v="6"/>
    <e v="#REF!"/>
    <e v="#REF!"/>
  </r>
  <r>
    <s v="B07S7DCJKS"/>
    <s v="IT2M Designer Mouse Pad"/>
    <x v="17"/>
    <s v="Keyboard&amp;MiceAccessories"/>
    <n v="499"/>
    <n v="199"/>
    <n v="998"/>
    <n v="398"/>
    <n v="598.79999999999995"/>
    <n v="-600"/>
    <n v="0.6"/>
    <n v="4.3"/>
    <n v="9998"/>
    <s v="TASAVUR,Manoj Kumar"/>
    <n v="2"/>
    <e v="#REF!"/>
    <e v="#REF!"/>
  </r>
  <r>
    <s v="B09NC2TY11"/>
    <s v="Noise ColorFit Ultra Buzz"/>
    <x v="29"/>
    <m/>
    <n v="5999"/>
    <n v="2499"/>
    <n v="11998"/>
    <n v="4998"/>
    <n v="6958.8399999999992"/>
    <n v="-7000"/>
    <n v="0.57999999999999996"/>
    <n v="4.0999999999999996"/>
    <n v="5852"/>
    <s v="Sasmita Chopdar,Manas"/>
    <n v="2"/>
    <e v="#REF!"/>
    <e v="#REF!"/>
  </r>
  <r>
    <s v="B0BDS8MY8J"/>
    <s v="Lapster Caddy for ssd"/>
    <x v="30"/>
    <s v="Macro&amp;RinglightFlashes"/>
    <n v="999"/>
    <n v="199"/>
    <n v="4995"/>
    <n v="995"/>
    <n v="3996"/>
    <n v="-4000"/>
    <n v="0.8"/>
    <n v="4.2"/>
    <n v="362"/>
    <s v="Digvijay,Vismay,Yogesh,Rajesh K.,Yogesh"/>
    <n v="5"/>
    <e v="#REF!"/>
    <e v="#REF!"/>
  </r>
  <r>
    <s v="B09X7DY7Q4"/>
    <s v="SanDisk Extreme SD UHS"/>
    <x v="31"/>
    <m/>
    <n v="1800"/>
    <n v="939"/>
    <n v="1800"/>
    <n v="939"/>
    <n v="864"/>
    <n v="-861"/>
    <n v="0.48"/>
    <n v="4.5"/>
    <n v="205052"/>
    <s v="Aadil Fayaz"/>
    <n v="1"/>
    <e v="#REF!"/>
    <e v="#REF!"/>
  </r>
  <r>
    <s v="B09YV575RK"/>
    <s v="Fire-Boltt Ring Pro Bluetooth"/>
    <x v="32"/>
    <m/>
    <n v="9999"/>
    <n v="2499"/>
    <n v="19998"/>
    <n v="4998"/>
    <n v="14998.5"/>
    <n v="-15000"/>
    <n v="0.75"/>
    <n v="4"/>
    <n v="9090"/>
    <s v="Saksham Gaba,Shivam"/>
    <n v="2"/>
    <e v="#REF!"/>
    <e v="#REF!"/>
  </r>
  <r>
    <s v="B08LW31NQ6"/>
    <s v="Lenovo 600 Bluetooth 5.0"/>
    <x v="13"/>
    <s v="Over-Ear"/>
    <n v="2890"/>
    <n v="1439"/>
    <n v="14450"/>
    <n v="7195"/>
    <n v="7225"/>
    <n v="-7255"/>
    <n v="0.5"/>
    <n v="4.5"/>
    <n v="4099"/>
    <s v="Manas,harikrishna,Vinit,Subrat patel,Varun"/>
    <n v="5"/>
    <e v="#REF!"/>
    <e v="#REF!"/>
  </r>
  <r>
    <s v="B09ND94ZRG"/>
    <s v="Boult Audio Airbass Propods"/>
    <x v="8"/>
    <s v="BluetoothSpeakers"/>
    <n v="5999"/>
    <n v="1099"/>
    <n v="29995"/>
    <n v="5495"/>
    <n v="24595.899999999998"/>
    <n v="-24500"/>
    <n v="0.82"/>
    <n v="3.5"/>
    <n v="12966"/>
    <s v="Satish,Siddhant,Dibyendu,Utkarsh Verma,Akashneel"/>
    <n v="5"/>
    <e v="#REF!"/>
    <e v="#REF!"/>
  </r>
  <r>
    <s v="B00P93X6EK"/>
    <s v="Classmate Soft Cover 6"/>
    <x v="31"/>
    <m/>
    <n v="160"/>
    <n v="157"/>
    <n v="320"/>
    <n v="314"/>
    <n v="6.4"/>
    <n v="-6"/>
    <n v="0.02"/>
    <n v="4.5"/>
    <n v="4428"/>
    <s v="Somya Meena,Poojitha"/>
    <n v="2"/>
    <e v="#REF!"/>
    <e v="#REF!"/>
  </r>
  <r>
    <s v="B07KRCW6LZ"/>
    <s v="TP-Link Nano AC600 USB"/>
    <x v="20"/>
    <s v="Stationery"/>
    <n v="1599"/>
    <n v="999"/>
    <n v="3198"/>
    <n v="1998"/>
    <n v="1215.24"/>
    <n v="-1200"/>
    <n v="0.38"/>
    <n v="4.3"/>
    <n v="12093"/>
    <s v="Paul Joe,Simon"/>
    <n v="2"/>
    <e v="#REF!"/>
    <e v="#REF!"/>
  </r>
  <r>
    <s v="B0994GP1CX"/>
    <s v="LS LAPSTER Quality Assured"/>
    <x v="33"/>
    <m/>
    <n v="999"/>
    <n v="115"/>
    <n v="1998"/>
    <n v="230"/>
    <n v="1758.24"/>
    <n v="-1768"/>
    <n v="0.88"/>
    <n v="3.3"/>
    <n v="5692"/>
    <s v="Dinesh jumani,HIREN"/>
    <n v="2"/>
    <e v="#REF!"/>
    <e v="#REF!"/>
  </r>
  <r>
    <s v="B07H8W9PB6"/>
    <s v="KLAM LCD Writing Tablet"/>
    <x v="1"/>
    <s v="BluetoothAdapters"/>
    <n v="499"/>
    <n v="175"/>
    <n v="1497"/>
    <n v="525"/>
    <n v="973.05000000000007"/>
    <n v="-972"/>
    <n v="0.65"/>
    <n v="4.0999999999999996"/>
    <n v="21"/>
    <s v="ðŸ¤˜ðŸ»ðŸ¤˜ðŸ»,Kabi,Manoj kumar"/>
    <n v="3"/>
    <e v="#REF!"/>
    <e v="#REF!"/>
  </r>
  <r>
    <s v="B09NNHFSSF"/>
    <s v="CP PLUS 2MP Full"/>
    <x v="15"/>
    <s v="USBtoUSBAdapters"/>
    <n v="4700"/>
    <n v="1999"/>
    <n v="9400"/>
    <n v="3998"/>
    <n v="5357.9999999999991"/>
    <n v="-5402"/>
    <n v="0.56999999999999995"/>
    <n v="3.8"/>
    <n v="1880"/>
    <s v="Anshula Jain,J"/>
    <n v="2"/>
    <e v="#REF!"/>
    <e v="#REF!"/>
  </r>
  <r>
    <s v="B08D9NDZ1Y"/>
    <s v="HP Deskjet 2331 Colour"/>
    <x v="2"/>
    <s v="Tripods&amp;Monopods"/>
    <n v="4332.96"/>
    <n v="3999"/>
    <n v="12998.880000000001"/>
    <n v="11997"/>
    <n v="1039.9104"/>
    <n v="-1001.880000000001"/>
    <n v="0.08"/>
    <n v="3.5"/>
    <n v="21762"/>
    <s v="Nikhil M.,Sonic,MUTHURAMA"/>
    <n v="3"/>
    <e v="#REF!"/>
    <e v="#REF!"/>
  </r>
  <r>
    <s v="B0085IATT6"/>
    <s v="D-Link DIR-615 Wi-fi Ethernet-N300"/>
    <x v="2"/>
    <s v="Film"/>
    <n v="1800"/>
    <n v="899"/>
    <n v="5400"/>
    <n v="2697"/>
    <n v="2700"/>
    <n v="-2703"/>
    <n v="0.5"/>
    <n v="4.0999999999999996"/>
    <n v="22375"/>
    <s v="Omm....,Cyril George,Chandana"/>
    <n v="3"/>
    <e v="#REF!"/>
    <e v="#REF!"/>
  </r>
  <r>
    <s v="B08WJ86PV2"/>
    <s v="RPM Euro Games Gaming"/>
    <x v="31"/>
    <m/>
    <n v="990"/>
    <n v="299"/>
    <n v="2970"/>
    <n v="897"/>
    <n v="2079"/>
    <n v="-2073"/>
    <n v="0.7"/>
    <n v="4.5"/>
    <n v="2453"/>
    <s v="Aparna,Anshuman,CMA Awdhesh"/>
    <n v="3"/>
    <e v="#REF!"/>
    <e v="#REF!"/>
  </r>
  <r>
    <s v="B078HRR1XV"/>
    <s v="Wacom One by CTL-472/K0-CX"/>
    <x v="34"/>
    <s v="Lamps"/>
    <n v="4699"/>
    <n v="3303"/>
    <n v="9398"/>
    <n v="6606"/>
    <n v="2819.4"/>
    <n v="-2792"/>
    <n v="0.3"/>
    <n v="4.4000000000000004"/>
    <n v="13544"/>
    <s v="Chandrajeet rav,AMAL"/>
    <n v="2"/>
    <e v="#REF!"/>
    <e v="#REF!"/>
  </r>
  <r>
    <s v="B09P22HXH6"/>
    <s v="Lenovo 300 FHD Webcam"/>
    <x v="2"/>
    <s v="Cleaners"/>
    <n v="5490"/>
    <n v="1890"/>
    <n v="5490"/>
    <n v="1890"/>
    <n v="3623.4"/>
    <n v="-3600"/>
    <n v="0.66"/>
    <n v="4.0999999999999996"/>
    <n v="10976"/>
    <s v="Sheikh Asif"/>
    <n v="1"/>
    <e v="#REF!"/>
    <e v="#REF!"/>
  </r>
  <r>
    <s v="B00LM4X3XE"/>
    <s v="Parker Quink Ink Bottle"/>
    <x v="35"/>
    <s v="DomeCameras"/>
    <n v="100"/>
    <n v="90"/>
    <n v="200"/>
    <n v="180"/>
    <n v="20"/>
    <n v="-20"/>
    <n v="0.1"/>
    <n v="4.3"/>
    <n v="3061"/>
    <s v="ghost parris,Zeeshan"/>
    <n v="2"/>
    <e v="#REF!"/>
    <e v="#REF!"/>
  </r>
  <r>
    <s v="B09YLFHFDW"/>
    <s v="Sony WI-C100 Wireless Headphones"/>
    <x v="36"/>
    <s v="ScreenProtectors"/>
    <n v="2790"/>
    <n v="1599"/>
    <n v="5580"/>
    <n v="3198"/>
    <n v="2399.4"/>
    <n v="-2382"/>
    <n v="0.43"/>
    <n v="3.6"/>
    <n v="2272"/>
    <s v="Nikhil M.,Manoj"/>
    <n v="2"/>
    <e v="#REF!"/>
    <e v="#REF!"/>
  </r>
  <r>
    <s v="B07YWS9SP9"/>
    <s v="Zebronics, ZEB-NC3300 USB Powered"/>
    <x v="27"/>
    <s v="Gamepads"/>
    <n v="999"/>
    <n v="599"/>
    <n v="3996"/>
    <n v="2396"/>
    <n v="1598.4"/>
    <n v="-1600"/>
    <n v="0.4"/>
    <n v="4"/>
    <n v="7601"/>
    <s v="BhavenW,satish,Jayakrishnan R,Amazon"/>
    <n v="4"/>
    <e v="#REF!"/>
    <e v="#REF!"/>
  </r>
  <r>
    <s v="B002PD61Y4"/>
    <s v="D-Link DWA-131 300 Mbps"/>
    <x v="24"/>
    <s v="Basic"/>
    <n v="1208"/>
    <n v="507"/>
    <n v="4832"/>
    <n v="2028"/>
    <n v="2802.56"/>
    <n v="-2804"/>
    <n v="0.57999999999999996"/>
    <n v="4.0999999999999996"/>
    <n v="8131"/>
    <s v="nilesh,EAGLE,Manoj KNS,Titus"/>
    <n v="4"/>
    <e v="#REF!"/>
    <e v="#REF!"/>
  </r>
  <r>
    <s v="B08WLY8V9S"/>
    <s v="Tukzer Gel Mouse Pad"/>
    <x v="37"/>
    <m/>
    <n v="899"/>
    <n v="425"/>
    <n v="3596"/>
    <n v="1700"/>
    <n v="1905.88"/>
    <n v="-1896"/>
    <n v="0.53"/>
    <n v="4.5"/>
    <n v="4219"/>
    <s v="Manish,Harish,Amazon Customer,Uday"/>
    <n v="4"/>
    <e v="#REF!"/>
    <e v="#REF!"/>
  </r>
  <r>
    <s v="B0873L7J6X"/>
    <s v="Infinity"/>
    <x v="38"/>
    <s v="PCMicrophones"/>
    <n v="3999"/>
    <n v="1499"/>
    <n v="15996"/>
    <n v="5996"/>
    <n v="10077.48"/>
    <n v="-10000"/>
    <n v="0.63"/>
    <n v="4.2"/>
    <n v="42775"/>
    <s v="(sic),Harshit,Bharath N,Pulkit"/>
    <n v="4"/>
    <e v="#REF!"/>
    <e v="#REF!"/>
  </r>
  <r>
    <s v="B07YNHCW6N"/>
    <s v="Robustrion Smart Trifold Hard"/>
    <x v="8"/>
    <s v="OutdoorSpeakers"/>
    <n v="2499"/>
    <n v="549"/>
    <n v="12495"/>
    <n v="2745"/>
    <n v="9746.1"/>
    <n v="-9750"/>
    <n v="0.78"/>
    <n v="4.3"/>
    <n v="5556"/>
    <s v="Vigi,Sathish,sandep,Tharun Balaji,Aditi"/>
    <n v="5"/>
    <e v="#REF!"/>
    <e v="#REF!"/>
  </r>
  <r>
    <s v="B07232M876"/>
    <s v="Amazonbasics Micro Usb Fast"/>
    <x v="14"/>
    <s v="Bags&amp;Sleeves"/>
    <n v="395"/>
    <n v="199"/>
    <n v="1975"/>
    <n v="995"/>
    <n v="987.5"/>
    <n v="-980"/>
    <n v="0.5"/>
    <n v="4.2"/>
    <n v="92595"/>
    <s v="Neeraj Vishwakarma,Siddharth,SD1908,Mukundha2good,manjunath"/>
    <n v="5"/>
    <e v="#REF!"/>
    <e v="#REF!"/>
  </r>
  <r>
    <s v="B01MQ2A86A"/>
    <s v="Logitech M331 Silent Plus"/>
    <x v="39"/>
    <m/>
    <n v="1645"/>
    <n v="1295"/>
    <n v="3290"/>
    <n v="2590"/>
    <n v="690.9"/>
    <n v="-700"/>
    <n v="0.21"/>
    <n v="4.5999999999999996"/>
    <n v="12375"/>
    <s v="Awesome Shopper,Suresh"/>
    <n v="2"/>
    <e v="#REF!"/>
    <e v="#REF!"/>
  </r>
  <r>
    <s v="B00KIE28X0"/>
    <s v="Camel Artist Acrylic Color"/>
    <x v="0"/>
    <s v="Cables"/>
    <n v="310"/>
    <n v="310"/>
    <n v="620"/>
    <n v="620"/>
    <n v="0"/>
    <n v="0"/>
    <n v="0"/>
    <n v="4.5"/>
    <n v="5882"/>
    <s v="Daisy daniel,POONAM"/>
    <n v="2"/>
    <e v="#REF!"/>
    <e v="#REF!"/>
  </r>
  <r>
    <s v="B08BQ947H3"/>
    <s v="LIRAMARK Webcam Cover Slide,"/>
    <x v="40"/>
    <m/>
    <n v="149"/>
    <n v="149"/>
    <n v="298"/>
    <n v="298"/>
    <n v="0"/>
    <n v="0"/>
    <n v="0"/>
    <n v="4.3"/>
    <n v="10833"/>
    <s v="Vishal Bhardwaj,Parvathi"/>
    <n v="2"/>
    <e v="#REF!"/>
    <e v="#REF!"/>
  </r>
  <r>
    <s v="B0BHYJ8CVF"/>
    <s v="Portronics Key2 Combo Multimedia"/>
    <x v="41"/>
    <m/>
    <n v="1499"/>
    <n v="1149"/>
    <n v="7495"/>
    <n v="5745"/>
    <n v="1723.8500000000001"/>
    <n v="-1750"/>
    <n v="0.23"/>
    <n v="4.0999999999999996"/>
    <n v="10443"/>
    <s v="Navdeep,Tanu,APOORV BHATIA,manohar,bendi"/>
    <n v="5"/>
    <e v="#REF!"/>
    <e v="#REF!"/>
  </r>
  <r>
    <s v="B0BCVJ3PVP"/>
    <s v="SupCares Laptop Stand 7"/>
    <x v="42"/>
    <m/>
    <n v="1299"/>
    <n v="499"/>
    <n v="5196"/>
    <n v="1996"/>
    <n v="3221.52"/>
    <n v="-3200"/>
    <n v="0.62"/>
    <n v="4.5"/>
    <n v="434"/>
    <s v="Devarajan N,S.B.Vignesh,Likhith,Bipin"/>
    <n v="4"/>
    <e v="#REF!"/>
    <e v="#REF!"/>
  </r>
  <r>
    <s v="B0B2931FCV"/>
    <s v="ZEBRONICS Zeb-Sound Bomb N1"/>
    <x v="12"/>
    <s v="SecureDigitalCards"/>
    <n v="4199"/>
    <n v="999"/>
    <n v="12597"/>
    <n v="2997"/>
    <n v="9573.7200000000012"/>
    <n v="-9600"/>
    <n v="0.76"/>
    <n v="3.5"/>
    <n v="1913"/>
    <s v="Amos b.,Srimanth,JATIN"/>
    <n v="3"/>
    <e v="#REF!"/>
    <e v="#REF!"/>
  </r>
  <r>
    <s v="B09TMZ1MF8"/>
    <s v="Western Digital WD Green"/>
    <x v="10"/>
    <s v="Photo&amp;VideoAccessories"/>
    <n v="4000"/>
    <n v="1709"/>
    <n v="8000"/>
    <n v="3418"/>
    <n v="4560"/>
    <n v="-4582"/>
    <n v="0.56999999999999995"/>
    <n v="4.4000000000000004"/>
    <n v="3029"/>
    <s v="SHAHID SHAIKH,Amazon"/>
    <n v="2"/>
    <e v="#REF!"/>
    <e v="#REF!"/>
  </r>
  <r>
    <s v="B07VV37FT4"/>
    <s v="Classmate Octane Neon- 25"/>
    <x v="38"/>
    <s v="Webcams&amp;VoIPEquipment"/>
    <n v="250"/>
    <n v="250"/>
    <n v="750"/>
    <n v="750"/>
    <n v="0"/>
    <n v="0"/>
    <n v="0"/>
    <n v="4.2"/>
    <n v="2628"/>
    <s v="Karthick KJV,Ruchi,Amazon"/>
    <n v="3"/>
    <e v="#REF!"/>
    <e v="#REF!"/>
  </r>
  <r>
    <s v="B07P681N66"/>
    <s v="TP-Link AC600 600 Mbps"/>
    <x v="14"/>
    <s v="CoolingPads"/>
    <n v="2199"/>
    <n v="1199"/>
    <n v="6597"/>
    <n v="3597"/>
    <n v="2968.65"/>
    <n v="-3000"/>
    <n v="0.45"/>
    <n v="4.4000000000000004"/>
    <n v="24780"/>
    <s v="Anonymous,Sugam Agrawal,Diganta"/>
    <n v="3"/>
    <e v="#REF!"/>
    <e v="#REF!"/>
  </r>
  <r>
    <s v="B07JB2Y4SR"/>
    <s v="Classmate Octane Colour Burst-Multicolour"/>
    <x v="14"/>
    <m/>
    <n v="100"/>
    <n v="90"/>
    <n v="300"/>
    <n v="270"/>
    <n v="30"/>
    <n v="-30"/>
    <n v="0.1"/>
    <n v="4.4000000000000004"/>
    <n v="10718"/>
    <s v="Vijaya,Kumkum Kumari,Amazon"/>
    <n v="3"/>
    <e v="#REF!"/>
    <e v="#REF!"/>
  </r>
  <r>
    <s v="B08KRMK9LZ"/>
    <s v="Tukzer Stylus Pen, iPad"/>
    <x v="36"/>
    <s v="Stands"/>
    <n v="5999"/>
    <n v="2025"/>
    <n v="29995"/>
    <n v="10125"/>
    <n v="19796.7"/>
    <n v="-19870"/>
    <n v="0.66"/>
    <n v="4.2"/>
    <n v="6233"/>
    <s v="muntasir kayal,Rohan,Dr.Aasif,Jason,ShreeKrishna"/>
    <n v="5"/>
    <e v="#REF!"/>
    <e v="#REF!"/>
  </r>
  <r>
    <s v="B08LT9BMPP"/>
    <s v="Logitech G102 USB Light"/>
    <x v="43"/>
    <m/>
    <n v="1995"/>
    <n v="1495"/>
    <n v="9975"/>
    <n v="7475"/>
    <n v="2493.75"/>
    <n v="-2500"/>
    <n v="0.25"/>
    <n v="4.5"/>
    <n v="10541"/>
    <s v="Hitesh,Deepak,dv,Abhishek Nigam,RAJ"/>
    <n v="5"/>
    <e v="#REF!"/>
    <e v="#REF!"/>
  </r>
  <r>
    <s v="B082T6V3DT"/>
    <s v="AmazonBasics New Release Nylon"/>
    <x v="20"/>
    <s v="Copy&amp;PrintingPaper"/>
    <n v="2100"/>
    <n v="799"/>
    <n v="6300"/>
    <n v="2397"/>
    <n v="3906"/>
    <n v="-3903"/>
    <n v="0.62"/>
    <n v="4.3"/>
    <n v="8188"/>
    <s v="Arun verma,Arv,Aashna"/>
    <n v="3"/>
    <e v="#REF!"/>
    <e v="#REF!"/>
  </r>
  <r>
    <s v="B0814ZY6FP"/>
    <s v="Zebronics ZEB-VITA Wireless Bluetooth"/>
    <x v="44"/>
    <m/>
    <n v="1199"/>
    <n v="899"/>
    <n v="2398"/>
    <n v="1798"/>
    <n v="599.5"/>
    <n v="-600"/>
    <n v="0.25"/>
    <n v="3.8"/>
    <n v="10751"/>
    <s v="Amazon Customer,Ramveer"/>
    <n v="2"/>
    <e v="#REF!"/>
    <e v="#REF!"/>
  </r>
  <r>
    <s v="B09F3PDDRF"/>
    <s v="Lapster USB 3.0 sata"/>
    <x v="8"/>
    <s v="MultimediaSpeakerSystems"/>
    <n v="999"/>
    <n v="349"/>
    <n v="999"/>
    <n v="349"/>
    <n v="649.35"/>
    <n v="-650"/>
    <n v="0.65"/>
    <n v="3.9"/>
    <n v="817"/>
    <s v="Vignesh Prabu"/>
    <n v="1"/>
    <e v="#REF!"/>
    <e v="#REF!"/>
  </r>
  <r>
    <s v="B07X963JNS"/>
    <s v="URBN 10000 mAh Lithium"/>
    <x v="45"/>
    <m/>
    <n v="2499"/>
    <n v="900"/>
    <n v="4998"/>
    <n v="1800"/>
    <n v="3198.7200000000003"/>
    <n v="-3198"/>
    <n v="0.64"/>
    <n v="4"/>
    <n v="36384"/>
    <s v="Rajesh Martis,priyanka"/>
    <n v="2"/>
    <e v="#REF!"/>
    <e v="#REF!"/>
  </r>
  <r>
    <s v="B09LD3116F"/>
    <s v="Qubo Smart Cam 360"/>
    <x v="14"/>
    <s v="LaptopChargers&amp;PowerSupplies"/>
    <n v="3990"/>
    <n v="2490"/>
    <n v="7980"/>
    <n v="4980"/>
    <n v="3032.4"/>
    <n v="-3000"/>
    <n v="0.38"/>
    <n v="4.0999999999999996"/>
    <n v="3606"/>
    <s v="Ramana KV,akshay"/>
    <n v="2"/>
    <e v="#REF!"/>
    <e v="#REF!"/>
  </r>
  <r>
    <s v="B08Y5QJTVK"/>
    <s v="Duracell CR2025 3V Lithium"/>
    <x v="38"/>
    <s v="PCSpeakers"/>
    <n v="200"/>
    <n v="116"/>
    <n v="200"/>
    <n v="116"/>
    <n v="84"/>
    <n v="-84"/>
    <n v="0.42"/>
    <n v="4.4000000000000004"/>
    <n v="357"/>
    <s v="Dr Ajay"/>
    <n v="1"/>
    <e v="#REF!"/>
    <e v="#REF!"/>
  </r>
  <r>
    <s v="B00LY1FN1K"/>
    <s v="Camel Fabrica Acrylic Ultra"/>
    <x v="2"/>
    <s v="Batteries&amp;Chargers"/>
    <n v="230"/>
    <n v="200"/>
    <n v="690"/>
    <n v="600"/>
    <n v="89.7"/>
    <n v="-90"/>
    <n v="0.13"/>
    <n v="4.4000000000000004"/>
    <n v="10170"/>
    <s v="Abhilasha,G4N,Dr. Gandharav"/>
    <n v="3"/>
    <e v="#REF!"/>
    <e v="#REF!"/>
  </r>
  <r>
    <s v="B07DJ5KYDZ"/>
    <s v="Lenovo GX20L29764 65W Laptop"/>
    <x v="36"/>
    <s v="Bags,Cases&amp;Sleeves"/>
    <n v="2796"/>
    <n v="1249"/>
    <n v="5592"/>
    <n v="2498"/>
    <n v="3075.6000000000004"/>
    <n v="-3094"/>
    <n v="0.55000000000000004"/>
    <n v="4.4000000000000004"/>
    <n v="4598"/>
    <s v="T.Sharanvelan,Devendra Singh"/>
    <n v="2"/>
    <e v="#REF!"/>
    <e v="#REF!"/>
  </r>
  <r>
    <s v="B009LJ2BXA"/>
    <s v="Hp Wired On Ear"/>
    <x v="46"/>
    <s v="DrawingMedia"/>
    <n v="999"/>
    <n v="649"/>
    <n v="2997"/>
    <n v="1947"/>
    <n v="1048.9499999999998"/>
    <n v="-1050"/>
    <n v="0.35"/>
    <n v="3.5"/>
    <n v="7222"/>
    <s v="Deepthi,Nitin Mishra,Raju"/>
    <n v="3"/>
    <e v="#REF!"/>
    <e v="#REF!"/>
  </r>
  <r>
    <s v="B09BVCVTBC"/>
    <s v="Redragon K617 Fizz 60%"/>
    <x v="47"/>
    <m/>
    <n v="3499"/>
    <n v="2649"/>
    <n v="17495"/>
    <n v="13245"/>
    <n v="4198.8"/>
    <n v="-4250"/>
    <n v="0.24"/>
    <n v="4.5"/>
    <n v="1271"/>
    <s v="Bazil,Shoaib,Devis,PK,Unboxing video"/>
    <n v="5"/>
    <e v="#REF!"/>
    <e v="#REF!"/>
  </r>
  <r>
    <s v="B0BFWGBX61"/>
    <s v="Ambrane Unbreakable 3A Fast"/>
    <x v="48"/>
    <m/>
    <n v="349"/>
    <n v="199"/>
    <n v="698"/>
    <n v="398"/>
    <n v="300.14"/>
    <n v="-300"/>
    <n v="0.43"/>
    <n v="4.0999999999999996"/>
    <n v="314"/>
    <s v="Vipan Agnihotri,Hitender"/>
    <n v="2"/>
    <e v="#REF!"/>
    <e v="#REF!"/>
  </r>
  <r>
    <s v="B07SY4C3TD"/>
    <s v="HP GT 53 XL"/>
    <x v="46"/>
    <s v="DrawingMedia"/>
    <n v="723"/>
    <n v="596"/>
    <n v="1446"/>
    <n v="1192"/>
    <n v="260.27999999999997"/>
    <n v="-254"/>
    <n v="0.18"/>
    <n v="4.4000000000000004"/>
    <n v="3219"/>
    <s v="Koustav Gayen,Nagesh"/>
    <n v="2"/>
    <e v="#REF!"/>
    <e v="#REF!"/>
  </r>
  <r>
    <s v="B094JB13XL"/>
    <s v="Noise ColorFit Ultra Smart"/>
    <x v="0"/>
    <s v="Cables"/>
    <n v="5999"/>
    <n v="2499"/>
    <n v="17997"/>
    <n v="7497"/>
    <n v="10438.259999999998"/>
    <n v="-10500"/>
    <n v="0.57999999999999996"/>
    <n v="4.0999999999999996"/>
    <n v="38879"/>
    <s v="shiv,Pankaj Bhatt,Dipanshu"/>
    <n v="3"/>
    <e v="#REF!"/>
    <e v="#REF!"/>
  </r>
  <r>
    <s v="B08CRRQK6Z"/>
    <s v="Zebronics Zeb-JUKEBAR 3900, 80W"/>
    <x v="38"/>
    <s v="PCHeadsets"/>
    <n v="12499"/>
    <n v="4999"/>
    <n v="24998"/>
    <n v="9998"/>
    <n v="14998.8"/>
    <n v="-15000"/>
    <n v="0.6"/>
    <n v="4.2"/>
    <n v="4541"/>
    <s v="Amol G.,Avani"/>
    <n v="2"/>
    <e v="#REF!"/>
    <e v="#REF!"/>
  </r>
  <r>
    <s v="B08MTLLSL8"/>
    <s v="boAt Bassheads 102 Wired"/>
    <x v="27"/>
    <s v="GamingKeyboards"/>
    <n v="1290"/>
    <n v="399"/>
    <n v="2580"/>
    <n v="798"/>
    <n v="1780.1999999999998"/>
    <n v="-1782"/>
    <n v="0.69"/>
    <n v="4.2"/>
    <n v="76042"/>
    <s v="SUPER HEAT,Vicky"/>
    <n v="2"/>
    <e v="#REF!"/>
    <e v="#REF!"/>
  </r>
  <r>
    <s v="B08Y57TPDM"/>
    <s v="Duracell CR2016 3V Lithium"/>
    <x v="8"/>
    <s v="SoundbarSpeakers"/>
    <n v="200"/>
    <n v="116"/>
    <n v="1000"/>
    <n v="580"/>
    <n v="420"/>
    <n v="-420"/>
    <n v="0.42"/>
    <n v="4.3"/>
    <n v="485"/>
    <s v="Suraj,nilesh,Pawan,Deepak Singh,nikhil"/>
    <n v="5"/>
    <e v="#REF!"/>
    <e v="#REF!"/>
  </r>
  <r>
    <s v="B09CYTJV3N"/>
    <s v="MI 360Â° Home Security"/>
    <x v="49"/>
    <m/>
    <n v="5999"/>
    <n v="4499"/>
    <n v="11998"/>
    <n v="8998"/>
    <n v="2999.5"/>
    <n v="-3000"/>
    <n v="0.25"/>
    <n v="4.3"/>
    <n v="44696"/>
    <s v="Amaan Ahmad,Subhani"/>
    <n v="2"/>
    <e v="#REF!"/>
    <e v="#REF!"/>
  </r>
  <r>
    <s v="B07GLNJC25"/>
    <s v="ZEBRONICS Zeb-100HB 4 Ports"/>
    <x v="48"/>
    <s v="InkjetPrinters"/>
    <n v="499"/>
    <n v="330"/>
    <n v="998"/>
    <n v="660"/>
    <n v="339.32000000000005"/>
    <n v="-338"/>
    <n v="0.34"/>
    <n v="3.7"/>
    <n v="8566"/>
    <s v="RajendraK Tiwari,A"/>
    <n v="2"/>
    <e v="#REF!"/>
    <e v="#REF!"/>
  </r>
  <r>
    <s v="B08FY4FG5X"/>
    <s v="Boult Audio Bass Buds"/>
    <x v="50"/>
    <s v="ColouringPens&amp;Markers"/>
    <n v="2499"/>
    <n v="649"/>
    <n v="14994"/>
    <n v="3894"/>
    <n v="11095.56"/>
    <n v="-11100"/>
    <n v="0.74"/>
    <n v="3.9"/>
    <n v="13049"/>
    <s v="Vijay,Asad,Mohan,siddhraj,Nayan Ambhore,achoibam"/>
    <n v="6"/>
    <e v="#REF!"/>
    <e v="#REF!"/>
  </r>
  <r>
    <s v="B07TMCXRFV"/>
    <s v="ESR Screen Protector Compatible"/>
    <x v="27"/>
    <s v="Headsets"/>
    <n v="1599"/>
    <n v="1234"/>
    <n v="4797"/>
    <n v="3702"/>
    <n v="1103.3100000000002"/>
    <n v="-1095"/>
    <n v="0.23"/>
    <n v="4.5"/>
    <n v="16680"/>
    <s v="Aditya Kumar,Awesh,Amazon"/>
    <n v="3"/>
    <e v="#REF!"/>
    <e v="#REF!"/>
  </r>
  <r>
    <s v="B01FSYQ2A4"/>
    <s v="boAt Rockerz 400 Bluetooth"/>
    <x v="51"/>
    <m/>
    <n v="2990"/>
    <n v="1399"/>
    <n v="11960"/>
    <n v="5596"/>
    <n v="6338.8"/>
    <n v="-6364"/>
    <n v="0.53"/>
    <n v="4.0999999999999996"/>
    <n v="97174"/>
    <s v="Sagar,Shreyas,Arjun Thomas,Sachin"/>
    <n v="4"/>
    <e v="#REF!"/>
    <e v="#REF!"/>
  </r>
  <r>
    <s v="B00LZPQVMK"/>
    <s v="Parker Vector Standard Chrome"/>
    <x v="1"/>
    <s v="PowerLANAdapters"/>
    <n v="320"/>
    <n v="272"/>
    <n v="1280"/>
    <n v="1088"/>
    <n v="192"/>
    <n v="-192"/>
    <n v="0.15"/>
    <n v="4"/>
    <n v="3686"/>
    <s v="Fardeen mujawar,Pavan,Danny,Siddhartha"/>
    <n v="4"/>
    <e v="#REF!"/>
    <e v="#REF!"/>
  </r>
  <r>
    <s v="B08X77LM8C"/>
    <s v="Silicone Rubber Earbuds Tips,"/>
    <x v="26"/>
    <s v="InkjetInkRefills&amp;Kits"/>
    <n v="999"/>
    <n v="99"/>
    <n v="2997"/>
    <n v="297"/>
    <n v="2697.3"/>
    <n v="-2700"/>
    <n v="0.9"/>
    <n v="3.8"/>
    <n v="594"/>
    <s v="AmazonCustomermh7790,Akkuu Akshay,Zahid"/>
    <n v="3"/>
    <e v="#REF!"/>
    <e v="#REF!"/>
  </r>
  <r>
    <s v="B01EJ5MM5M"/>
    <s v="Canon PIXMA MG2577s All-in-One"/>
    <x v="2"/>
    <s v="PhotoStudio&amp;Lighting"/>
    <n v="3875"/>
    <n v="3498"/>
    <n v="11625"/>
    <n v="10494"/>
    <n v="1162.5"/>
    <n v="-1131"/>
    <n v="0.1"/>
    <n v="3.4"/>
    <n v="12185"/>
    <s v="Prasad,M. Satyanarayana,Sarthak"/>
    <n v="3"/>
    <e v="#REF!"/>
    <e v="#REF!"/>
  </r>
  <r>
    <s v="B08J82K4GX"/>
    <s v="Samsung 24-inch"/>
    <x v="24"/>
    <s v="Financial&amp;Business"/>
    <n v="19110"/>
    <n v="10099"/>
    <n v="95550"/>
    <n v="50495"/>
    <n v="44908.499999999993"/>
    <n v="-45055"/>
    <n v="0.47"/>
    <n v="4.3"/>
    <n v="2623"/>
    <s v="Srikkanth,Sameer,Alexander,Siddhant Pawar,Deepak"/>
    <n v="5"/>
    <e v="#REF!"/>
    <e v="#REF!"/>
  </r>
  <r>
    <s v="B07Z1Z77ZZ"/>
    <s v="AirCase Protective Laptop Bag"/>
    <x v="52"/>
    <m/>
    <n v="999"/>
    <n v="449"/>
    <n v="2997"/>
    <n v="1347"/>
    <n v="1648.3500000000001"/>
    <n v="-1650"/>
    <n v="0.55000000000000004"/>
    <n v="4.3"/>
    <n v="9701"/>
    <s v="Ashraf Akhter,Faizan,Axay"/>
    <n v="3"/>
    <e v="#REF!"/>
    <e v="#REF!"/>
  </r>
  <r>
    <s v="B00DJ5N9VK"/>
    <s v="Faber-Castell Connector Pen Set"/>
    <x v="31"/>
    <m/>
    <n v="150"/>
    <n v="150"/>
    <n v="300"/>
    <n v="300"/>
    <n v="0"/>
    <n v="0"/>
    <n v="0"/>
    <n v="4.3"/>
    <n v="15867"/>
    <s v="Aradhna Aadhya,sonali"/>
    <n v="2"/>
    <e v="#REF!"/>
    <e v="#REF!"/>
  </r>
  <r>
    <s v="B0B4DT8MKT"/>
    <s v="Wecool Unbreakable 3 in"/>
    <x v="53"/>
    <m/>
    <n v="1499"/>
    <n v="348"/>
    <n v="2998"/>
    <n v="696"/>
    <n v="2308.46"/>
    <n v="-2302"/>
    <n v="0.77"/>
    <n v="4.2"/>
    <n v="656"/>
    <s v="nisar,Pralipta Kumar"/>
    <n v="2"/>
    <e v="#REF!"/>
    <e v="#REF!"/>
  </r>
  <r>
    <s v="B08FGNPQ9X"/>
    <s v="Zinq UPS for Router,"/>
    <x v="28"/>
    <m/>
    <n v="2999"/>
    <n v="1199"/>
    <n v="2999"/>
    <n v="1199"/>
    <n v="1799.3999999999999"/>
    <n v="-1800"/>
    <n v="0.6"/>
    <n v="4.0999999999999996"/>
    <n v="10725"/>
    <s v="Akhil Raj"/>
    <n v="1"/>
    <e v="#REF!"/>
    <e v="#REF!"/>
  </r>
  <r>
    <s v="B07NTKGW45"/>
    <s v="SaleOnâ„¢ Portable Storage Organizer"/>
    <x v="26"/>
    <s v="TonerCartridges"/>
    <n v="899"/>
    <n v="397"/>
    <n v="4495"/>
    <n v="1985"/>
    <n v="2517.2000000000003"/>
    <n v="-2510"/>
    <n v="0.56000000000000005"/>
    <n v="4"/>
    <n v="3025"/>
    <s v="Amazon Customer,Santos,CVN,anonymous,Sacchidanand"/>
    <n v="5"/>
    <e v="#REF!"/>
    <e v="#REF!"/>
  </r>
  <r>
    <s v="B08CDKQ8T6"/>
    <s v="Portronics Konnect L 1.2Mtr,"/>
    <x v="54"/>
    <s v="Caddies"/>
    <n v="349"/>
    <n v="154"/>
    <n v="698"/>
    <n v="308"/>
    <n v="390.88000000000005"/>
    <n v="-390"/>
    <n v="0.56000000000000005"/>
    <n v="4.3"/>
    <n v="7064"/>
    <s v="Arun S.,Jeevan"/>
    <n v="2"/>
    <e v="#REF!"/>
    <e v="#REF!"/>
  </r>
  <r>
    <s v="B08J4PL1Z3"/>
    <s v="RPM Euro Games Laptop/PC"/>
    <x v="55"/>
    <m/>
    <n v="1490"/>
    <n v="699"/>
    <n v="2980"/>
    <n v="1398"/>
    <n v="1579.4"/>
    <n v="-1582"/>
    <n v="0.53"/>
    <n v="4"/>
    <n v="5736"/>
    <s v="Rajesh sharma,Akhil"/>
    <n v="2"/>
    <e v="#REF!"/>
    <e v="#REF!"/>
  </r>
  <r>
    <s v="B07XJWTYM2"/>
    <s v="realme Buds Wireless in"/>
    <x v="56"/>
    <s v="Kettles&amp;HotWaterDispensers"/>
    <n v="1999"/>
    <n v="1679"/>
    <n v="7996"/>
    <n v="6716"/>
    <n v="1279.3600000000001"/>
    <n v="-1280"/>
    <n v="0.16"/>
    <n v="4.0999999999999996"/>
    <n v="72563"/>
    <s v="Tech boy,Deepak,8445025922,Ashok"/>
    <n v="4"/>
    <e v="#REF!"/>
    <e v="#REF!"/>
  </r>
  <r>
    <s v="B09939XJX8"/>
    <s v="TVARA LCD Writing Tablet,"/>
    <x v="57"/>
    <s v="ElectricHeaters"/>
    <n v="1500"/>
    <n v="354"/>
    <n v="4500"/>
    <n v="1062"/>
    <n v="3420"/>
    <n v="-3438"/>
    <n v="0.76"/>
    <n v="4"/>
    <n v="1026"/>
    <s v="Kanta Khaksa,SKK,Subramanian"/>
    <n v="3"/>
    <e v="#REF!"/>
    <e v="#REF!"/>
  </r>
  <r>
    <s v="B09MDCZJXS"/>
    <s v="Wings Phantom Pro Earphones"/>
    <x v="57"/>
    <s v="FanHeaters"/>
    <n v="5499"/>
    <n v="1199"/>
    <n v="10998"/>
    <n v="2398"/>
    <n v="8578.44"/>
    <n v="-8600"/>
    <n v="0.78"/>
    <n v="3.8"/>
    <n v="2043"/>
    <s v="Prince rabha,Aditya"/>
    <n v="2"/>
    <e v="#REF!"/>
    <e v="#REF!"/>
  </r>
  <r>
    <s v="B08CTQP51L"/>
    <s v="Robustrion [Anti-Scratch] &amp; [Smudge"/>
    <x v="58"/>
    <s v="Irons,Steamers&amp;Accessories"/>
    <n v="1499"/>
    <n v="379"/>
    <n v="4497"/>
    <n v="1137"/>
    <n v="3372.75"/>
    <n v="-3360"/>
    <n v="0.75"/>
    <n v="4.2"/>
    <n v="4149"/>
    <s v="Aditya Chauhan,Student,MAHENDRA"/>
    <n v="3"/>
    <e v="#REF!"/>
    <e v="#REF!"/>
  </r>
  <r>
    <s v="B0BG62HMDJ"/>
    <s v="Cablet 2.5 Inch SATA"/>
    <x v="56"/>
    <s v="DigitalKitchenScales"/>
    <n v="775"/>
    <n v="499"/>
    <n v="2325"/>
    <n v="1497"/>
    <n v="837"/>
    <n v="-828"/>
    <n v="0.36"/>
    <n v="4.3"/>
    <n v="74"/>
    <s v="Santosh,Ravindra r.m,Shubham"/>
    <n v="3"/>
    <e v="#REF!"/>
    <e v="#REF!"/>
  </r>
  <r>
    <s v="B08GTYFC37"/>
    <s v="SanDisk 1TB Extreme Portable"/>
    <x v="59"/>
    <s v="ManualChoppers&amp;Chippers"/>
    <n v="32000"/>
    <n v="10389"/>
    <n v="64000"/>
    <n v="20778"/>
    <n v="43520"/>
    <n v="-43222"/>
    <n v="0.68"/>
    <n v="4.4000000000000004"/>
    <n v="41398"/>
    <s v="Naresh R.,Pawan"/>
    <n v="2"/>
    <e v="#REF!"/>
    <e v="#REF!"/>
  </r>
  <r>
    <s v="B08SBH499M"/>
    <s v="ZEBRONICS Zeb-Warrior II 10"/>
    <x v="56"/>
    <s v="InductionCooktop"/>
    <n v="1300"/>
    <n v="649"/>
    <n v="9100"/>
    <n v="4543"/>
    <n v="4550"/>
    <n v="-4557"/>
    <n v="0.5"/>
    <n v="4.0999999999999996"/>
    <n v="5195"/>
    <s v="Pranav,D Joardar,Roy,Puneet,Gokul,Nachiket,Prashant"/>
    <n v="7"/>
    <e v="#REF!"/>
    <e v="#REF!"/>
  </r>
  <r>
    <s v="B08FYB5HHK"/>
    <s v="TP-Link UE300C USB Type-C"/>
    <x v="56"/>
    <s v="HandBlenders"/>
    <n v="1999"/>
    <n v="1199"/>
    <n v="3998"/>
    <n v="2398"/>
    <n v="1599.2"/>
    <n v="-1600"/>
    <n v="0.4"/>
    <n v="4.5"/>
    <n v="22420"/>
    <s v="MOINUL H.,Jayendra"/>
    <n v="2"/>
    <e v="#REF!"/>
    <e v="#REF!"/>
  </r>
  <r>
    <s v="B0994GFWBH"/>
    <s v="Lapster 1.5 mtr USB"/>
    <x v="58"/>
    <s v="Irons,Steamers&amp;Accessories"/>
    <n v="999"/>
    <n v="139"/>
    <n v="2997"/>
    <n v="417"/>
    <n v="2577.42"/>
    <n v="-2580"/>
    <n v="0.86"/>
    <n v="4"/>
    <n v="1313"/>
    <s v="pruthvi natraj,Phani,Amazon"/>
    <n v="3"/>
    <e v="#REF!"/>
    <e v="#REF!"/>
  </r>
  <r>
    <s v="B0B5GJRTHB"/>
    <s v="Wecool Moonwalk M1 ENC"/>
    <x v="56"/>
    <s v="MixerGrinders"/>
    <n v="1999"/>
    <n v="889"/>
    <n v="5997"/>
    <n v="2667"/>
    <n v="3358.32"/>
    <n v="-3330"/>
    <n v="0.56000000000000005"/>
    <n v="4.2"/>
    <n v="2284"/>
    <s v="Siddhesh s.,Karthik,Vikram"/>
    <n v="3"/>
    <e v="#REF!"/>
    <e v="#REF!"/>
  </r>
  <r>
    <s v="B09GBBJV72"/>
    <s v="HP 330 Wireless Black"/>
    <x v="60"/>
    <s v="InstantWaterHeaters"/>
    <n v="2199"/>
    <n v="1409"/>
    <n v="6597"/>
    <n v="4227"/>
    <n v="2374.92"/>
    <n v="-2370"/>
    <n v="0.36"/>
    <n v="3.9"/>
    <n v="427"/>
    <s v="Selva sibi,TZ,c"/>
    <n v="3"/>
    <e v="#REF!"/>
    <e v="#REF!"/>
  </r>
  <r>
    <s v="B07P434WJY"/>
    <s v="RC PRINT GI 790"/>
    <x v="57"/>
    <m/>
    <n v="1999"/>
    <n v="549"/>
    <n v="5997"/>
    <n v="1647"/>
    <n v="4377.8099999999995"/>
    <n v="-4350"/>
    <n v="0.73"/>
    <n v="4.3"/>
    <n v="1367"/>
    <s v="madhu AR,Pawan,Mohamed"/>
    <n v="3"/>
    <e v="#REF!"/>
    <e v="#REF!"/>
  </r>
  <r>
    <s v="B07T9FV9YP"/>
    <s v="Redgear Cloak Wired RGB"/>
    <x v="56"/>
    <s v="Kettles&amp;HotWaterDispensers"/>
    <n v="1799"/>
    <n v="749"/>
    <n v="3598"/>
    <n v="1498"/>
    <n v="2086.8399999999997"/>
    <n v="-2100"/>
    <n v="0.57999999999999996"/>
    <n v="4"/>
    <n v="13199"/>
    <s v="RUPESH BISHT,Sinoj"/>
    <n v="2"/>
    <e v="#REF!"/>
    <e v="#REF!"/>
  </r>
  <r>
    <s v="B01GGKZ0V6"/>
    <s v="AmazonBasics USB Type-C to"/>
    <x v="60"/>
    <s v="StorageWaterHeaters"/>
    <n v="845"/>
    <n v="329"/>
    <n v="1690"/>
    <n v="658"/>
    <n v="1030.9000000000001"/>
    <n v="-1032"/>
    <n v="0.61"/>
    <n v="4.2"/>
    <n v="29746"/>
    <s v="harpreet,Y Kiran"/>
    <n v="2"/>
    <e v="#REF!"/>
    <e v="#REF!"/>
  </r>
  <r>
    <s v="B08WKFSN84"/>
    <s v="Wayona Type C To"/>
    <x v="60"/>
    <s v="ImmersionRods"/>
    <n v="1099"/>
    <n v="379"/>
    <n v="3297"/>
    <n v="1137"/>
    <n v="2176.02"/>
    <n v="-2160"/>
    <n v="0.66"/>
    <n v="4.3"/>
    <n v="2806"/>
    <s v="sameer Dubey,virender,Amazon"/>
    <n v="3"/>
    <e v="#REF!"/>
    <e v="#REF!"/>
  </r>
  <r>
    <s v="B09TBCVJS3"/>
    <s v="Amazfit GTS2 Mini"/>
    <x v="56"/>
    <s v="DeepFatFryers"/>
    <n v="7999"/>
    <n v="5998"/>
    <n v="7999"/>
    <n v="5998"/>
    <n v="1999.75"/>
    <n v="-2001"/>
    <n v="0.25"/>
    <n v="4.2"/>
    <n v="30355"/>
    <s v="Nagarjuna Pavan"/>
    <n v="1"/>
    <e v="#REF!"/>
    <e v="#REF!"/>
  </r>
  <r>
    <s v="B08TR61BVK"/>
    <s v="TabelitoÂ® Polyester Foam, Nylon"/>
    <x v="61"/>
    <s v="LaundryBaskets"/>
    <n v="1499"/>
    <n v="299"/>
    <n v="7495"/>
    <n v="1495"/>
    <n v="5996"/>
    <n v="-6000"/>
    <n v="0.8"/>
    <n v="4.2"/>
    <n v="2868"/>
    <s v="Naveenkumar.K,Jenny,Flora.bebo.vidyarthi,Kimmi Chopra,shivendra"/>
    <n v="5"/>
    <e v="#REF!"/>
    <e v="#REF!"/>
  </r>
  <r>
    <s v="B0B2CPVXHX"/>
    <s v="Robustrion Anti-Scratch &amp; Smudge"/>
    <x v="56"/>
    <s v="JuicerMixerGrinders"/>
    <n v="1499"/>
    <n v="379"/>
    <n v="2998"/>
    <n v="758"/>
    <n v="2248.5"/>
    <n v="-2240"/>
    <n v="0.75"/>
    <n v="4.0999999999999996"/>
    <n v="670"/>
    <s v="Javid Nisar,Dr."/>
    <n v="2"/>
    <e v="#REF!"/>
    <e v="#REF!"/>
  </r>
  <r>
    <s v="B08XNL93PL"/>
    <s v="Portronics Ruffpad 15 Re-Writable"/>
    <x v="58"/>
    <s v="Vacuums&amp;FloorCare"/>
    <n v="2999"/>
    <n v="1399"/>
    <n v="11996"/>
    <n v="5596"/>
    <n v="6357.88"/>
    <n v="-6400"/>
    <n v="0.53"/>
    <n v="4.3"/>
    <n v="3530"/>
    <s v="Shibendra,Rajesh,Hemang verma,Sj"/>
    <n v="4"/>
    <e v="#REF!"/>
    <e v="#REF!"/>
  </r>
  <r>
    <s v="B088GXTJM3"/>
    <s v="DIGITEKÂ®"/>
    <x v="56"/>
    <s v="EggBoilers"/>
    <n v="1299"/>
    <n v="699"/>
    <n v="5196"/>
    <n v="2796"/>
    <n v="2390.1600000000003"/>
    <n v="-2400"/>
    <n v="0.46"/>
    <n v="4.3"/>
    <n v="6183"/>
    <s v="KS,Shubham gupta,Suman,Sishir"/>
    <n v="4"/>
    <e v="#REF!"/>
    <e v="#REF!"/>
  </r>
  <r>
    <s v="B099S26HWG"/>
    <s v="Classmate Pulse 1 Subject"/>
    <x v="56"/>
    <s v="SandwichMakers"/>
    <n v="300"/>
    <n v="300"/>
    <n v="600"/>
    <n v="600"/>
    <n v="0"/>
    <n v="0"/>
    <n v="0"/>
    <n v="4.2"/>
    <n v="419"/>
    <s v="Ayush pandey,Puneet"/>
    <n v="2"/>
    <e v="#REF!"/>
    <e v="#REF!"/>
  </r>
  <r>
    <s v="B08461VC1Z"/>
    <s v="Scarters Mouse Pad, Desk"/>
    <x v="56"/>
    <s v="MiniFoodProcessors&amp;Choppers"/>
    <n v="1995"/>
    <n v="999"/>
    <n v="3990"/>
    <n v="1998"/>
    <n v="1995"/>
    <n v="-1992"/>
    <n v="0.5"/>
    <n v="4.5"/>
    <n v="7317"/>
    <s v="Abhay N.,Karan"/>
    <n v="2"/>
    <e v="#REF!"/>
    <e v="#REF!"/>
  </r>
  <r>
    <s v="B00K32PEW4"/>
    <s v="Casio MJ-120D 150 Steps"/>
    <x v="56"/>
    <s v="DigitalKitchenScales"/>
    <n v="535"/>
    <n v="535"/>
    <n v="1605"/>
    <n v="1605"/>
    <n v="0"/>
    <n v="0"/>
    <n v="0"/>
    <n v="4.4000000000000004"/>
    <n v="4426"/>
    <s v="Certified customer,deepak,Sanjiv"/>
    <n v="3"/>
    <e v="#REF!"/>
    <e v="#REF!"/>
  </r>
  <r>
    <s v="B09F9YQQ7B"/>
    <s v="Redmi 80 cm"/>
    <x v="56"/>
    <s v="VacuumSealers"/>
    <n v="24999"/>
    <n v="13999"/>
    <n v="74997"/>
    <n v="41997"/>
    <n v="32998.68"/>
    <n v="-33000"/>
    <n v="0.44"/>
    <n v="4.2"/>
    <n v="45237"/>
    <s v="prateeq,Suraj Chand,viswanath"/>
    <n v="3"/>
    <e v="#REF!"/>
    <e v="#REF!"/>
  </r>
  <r>
    <s v="B07LFWP97N"/>
    <s v="Gizga Essentials Laptop Bag"/>
    <x v="62"/>
    <s v="CeilingFans"/>
    <n v="1099"/>
    <n v="269"/>
    <n v="3297"/>
    <n v="807"/>
    <n v="2505.7200000000003"/>
    <n v="-2490"/>
    <n v="0.76"/>
    <n v="4.0999999999999996"/>
    <n v="1092"/>
    <s v="Amazon Customer,Prakasha,Indramani"/>
    <n v="3"/>
    <e v="#REF!"/>
    <e v="#REF!"/>
  </r>
  <r>
    <s v="B0746N6WML"/>
    <s v="Parker Vector Camouflage Gift"/>
    <x v="58"/>
    <s v="PressureWashers,Steam&amp;WindowCleaners"/>
    <n v="450"/>
    <n v="341"/>
    <n v="1800"/>
    <n v="1364"/>
    <n v="432"/>
    <n v="-436"/>
    <n v="0.24"/>
    <n v="4.3"/>
    <n v="2493"/>
    <s v="Good,Aayush,Nupur Gupta,Gunjan"/>
    <n v="4"/>
    <e v="#REF!"/>
    <e v="#REF!"/>
  </r>
  <r>
    <s v="B07W9KYT62"/>
    <s v="TP-Link AC1200 Archer A6"/>
    <x v="57"/>
    <s v="HalogenHeaters"/>
    <n v="3999"/>
    <n v="2499"/>
    <n v="7998"/>
    <n v="4998"/>
    <n v="3039.2400000000002"/>
    <n v="-3000"/>
    <n v="0.38"/>
    <n v="4.4000000000000004"/>
    <n v="12679"/>
    <s v="Josh Crooner,ADITYA"/>
    <n v="2"/>
    <e v="#REF!"/>
    <e v="#REF!"/>
  </r>
  <r>
    <s v="B0B5ZF3NRK"/>
    <s v="CEDO 65W OnePlus Dash"/>
    <x v="56"/>
    <s v="Pop-upToasters"/>
    <n v="599"/>
    <n v="349"/>
    <n v="2396"/>
    <n v="1396"/>
    <n v="1006.3199999999999"/>
    <n v="-1000"/>
    <n v="0.42"/>
    <n v="4.0999999999999996"/>
    <n v="210"/>
    <s v="Satyanarayana,mohd irfan,Pankaj,Shirish"/>
    <n v="4"/>
    <e v="#REF!"/>
    <e v="#REF!"/>
  </r>
  <r>
    <s v="B08D9MNH4B"/>
    <s v="HP Deskjet 2723 AIO"/>
    <x v="57"/>
    <s v="HeatConvectors"/>
    <n v="7005"/>
    <n v="5899"/>
    <n v="21015"/>
    <n v="17697"/>
    <n v="3362.3999999999996"/>
    <n v="-3318"/>
    <n v="0.16"/>
    <n v="3.6"/>
    <n v="4199"/>
    <s v="S.mohan,Ashish Raj,Dr.Nirmal"/>
    <n v="3"/>
    <e v="#REF!"/>
    <e v="#REF!"/>
  </r>
  <r>
    <s v="B078G6ZF5Z"/>
    <s v="Oraimo 18W USB &amp;"/>
    <x v="63"/>
    <s v="CoffeeGrinders"/>
    <n v="1199"/>
    <n v="699"/>
    <n v="1199"/>
    <n v="699"/>
    <n v="503.58"/>
    <n v="-500"/>
    <n v="0.42"/>
    <n v="4"/>
    <n v="14403"/>
    <s v="Samar Kumar"/>
    <n v="1"/>
    <e v="#REF!"/>
    <e v="#REF!"/>
  </r>
  <r>
    <s v="B09MKG4ZCM"/>
    <s v="Xiaomi Mi 4A Dual_Band"/>
    <x v="62"/>
    <s v="ExhaustFans"/>
    <n v="2999"/>
    <n v="1565"/>
    <n v="2999"/>
    <n v="1565"/>
    <n v="1439.52"/>
    <n v="-1434"/>
    <n v="0.48"/>
    <n v="4"/>
    <n v="11113"/>
    <s v="Saurabh nath"/>
    <n v="1"/>
    <e v="#REF!"/>
    <e v="#REF!"/>
  </r>
  <r>
    <s v="B07RZZ1QSW"/>
    <s v="SLOVICÂ® Tripod Mount Adapter|"/>
    <x v="63"/>
    <s v="DripCoffeeMachines"/>
    <n v="799"/>
    <n v="326"/>
    <n v="2397"/>
    <n v="978"/>
    <n v="1414.23"/>
    <n v="-1419"/>
    <n v="0.59"/>
    <n v="4.4000000000000004"/>
    <n v="10773"/>
    <s v="Joel Thomas,YMNY,sachin"/>
    <n v="3"/>
    <e v="#REF!"/>
    <e v="#REF!"/>
  </r>
  <r>
    <s v="B08BCKN299"/>
    <s v="Sounce Gold Plated 3.5"/>
    <x v="64"/>
    <s v="WaterPurifierAccessories"/>
    <n v="999"/>
    <n v="120"/>
    <n v="1998"/>
    <n v="240"/>
    <n v="1758.24"/>
    <n v="-1758"/>
    <n v="0.88"/>
    <n v="3.9"/>
    <n v="6491"/>
    <s v="shaan bishwas,Anirvan"/>
    <n v="2"/>
    <e v="#REF!"/>
    <e v="#REF!"/>
  </r>
  <r>
    <s v="B07222HQKP"/>
    <s v="Orico 2.5&quot;"/>
    <x v="64"/>
    <s v="WaterCartridges"/>
    <n v="999"/>
    <n v="657"/>
    <n v="2997"/>
    <n v="1971"/>
    <n v="1018.98"/>
    <n v="-1026"/>
    <n v="0.34"/>
    <n v="4.3"/>
    <n v="13944"/>
    <s v="pushpendra kumar,Avanish,Rajet"/>
    <n v="3"/>
    <e v="#REF!"/>
    <e v="#REF!"/>
  </r>
  <r>
    <s v="B00NFD0ETQ"/>
    <s v="Logitech G402 Hyperion Fury"/>
    <x v="56"/>
    <s v="Rice&amp;PastaCookers"/>
    <n v="2895"/>
    <n v="1995"/>
    <n v="5790"/>
    <n v="3990"/>
    <n v="1794.9"/>
    <n v="-1800"/>
    <n v="0.31"/>
    <n v="4.5999999999999996"/>
    <n v="10760"/>
    <s v="Madhav Ashokan,parin"/>
    <n v="2"/>
    <e v="#REF!"/>
    <e v="#REF!"/>
  </r>
  <r>
    <s v="B075DB1F13"/>
    <s v="Panasonic Eneloop BQ-CC55N Advanced,"/>
    <x v="65"/>
    <s v="AirPurifiers&amp;Ionizers"/>
    <n v="1500"/>
    <n v="1500"/>
    <n v="3000"/>
    <n v="3000"/>
    <n v="0"/>
    <n v="0"/>
    <n v="0"/>
    <n v="4.4000000000000004"/>
    <n v="25996"/>
    <s v="Sreelal S,Abe"/>
    <n v="2"/>
    <e v="#REF!"/>
    <e v="#REF!"/>
  </r>
  <r>
    <s v="B0148NPH9I"/>
    <s v="Logitech K380 Wireless Multi-Device"/>
    <x v="66"/>
    <s v="HEPAAirPurifiers"/>
    <n v="3195"/>
    <n v="2640"/>
    <n v="15975"/>
    <n v="13200"/>
    <n v="2715.7500000000005"/>
    <n v="-2775"/>
    <n v="0.17"/>
    <n v="4.5"/>
    <n v="16146"/>
    <s v="Padmanabhan R,Balasanjay,Tripadh,Philip,Abhishek"/>
    <n v="5"/>
    <e v="#REF!"/>
    <e v="#REF!"/>
  </r>
  <r>
    <s v="B01JOFKL0A"/>
    <s v="Canon PIXMA E477 All-in-One"/>
    <x v="64"/>
    <s v="WaterFilters&amp;Purifiers"/>
    <n v="6355"/>
    <n v="5299"/>
    <n v="12710"/>
    <n v="10598"/>
    <n v="2160.7000000000003"/>
    <n v="-2112"/>
    <n v="0.17"/>
    <n v="3.9"/>
    <n v="8280"/>
    <s v="Evangelyssa,Harendra Nath"/>
    <n v="2"/>
    <e v="#REF!"/>
    <e v="#REF!"/>
  </r>
  <r>
    <s v="B09Q8HMKZX"/>
    <s v="Portronics Konnect L 20W"/>
    <x v="61"/>
    <s v="LaundryBags"/>
    <n v="699"/>
    <n v="263"/>
    <n v="2796"/>
    <n v="1052"/>
    <n v="1733.52"/>
    <n v="-1744"/>
    <n v="0.62"/>
    <n v="4.0999999999999996"/>
    <n v="450"/>
    <s v="Thenmozhi,manish,Brajesh Jha,sushil"/>
    <n v="4"/>
    <e v="#REF!"/>
    <e v="#REF!"/>
  </r>
  <r>
    <s v="B079S811J3"/>
    <s v="Redgear Cosmo 7,1 Usb"/>
    <x v="67"/>
    <s v="Sewing&amp;EmbroideryMachines"/>
    <n v="2999"/>
    <n v="1990"/>
    <n v="5998"/>
    <n v="3980"/>
    <n v="2039.3200000000002"/>
    <n v="-2018"/>
    <n v="0.34"/>
    <n v="4.3"/>
    <n v="14237"/>
    <s v="Rudra patra,Amazon"/>
    <n v="2"/>
    <e v="#REF!"/>
    <e v="#REF!"/>
  </r>
  <r>
    <s v="B0083T231O"/>
    <s v="Belkin Essential Series 4-Socket"/>
    <x v="61"/>
    <s v="IroningAccessories"/>
    <n v="1499"/>
    <n v="1289"/>
    <n v="2998"/>
    <n v="2578"/>
    <n v="419.72"/>
    <n v="-420"/>
    <n v="0.14000000000000001"/>
    <n v="4.5"/>
    <n v="20668"/>
    <s v="Hayat Ansari,Basanti"/>
    <n v="2"/>
    <e v="#REF!"/>
    <e v="#REF!"/>
  </r>
  <r>
    <s v="B086PXQ2R4"/>
    <s v="Classmate Long Book -"/>
    <x v="56"/>
    <s v="HandMixers"/>
    <n v="165"/>
    <n v="165"/>
    <n v="660"/>
    <n v="660"/>
    <n v="0"/>
    <n v="0"/>
    <n v="0"/>
    <n v="4.5"/>
    <n v="1674"/>
    <s v="Anwesh Gudepu,Senorita,JK,Kalyana"/>
    <n v="4"/>
    <e v="#REF!"/>
    <e v="#REF!"/>
  </r>
  <r>
    <s v="B07L1N3TJX"/>
    <s v="Artis AR-45W-MG2 45 Watts"/>
    <x v="56"/>
    <s v="Mills&amp;Grinders"/>
    <n v="3499"/>
    <n v="1699"/>
    <n v="3499"/>
    <n v="1699"/>
    <n v="1784.49"/>
    <n v="-1800"/>
    <n v="0.51"/>
    <n v="3.6"/>
    <n v="7689"/>
    <s v="p a"/>
    <n v="1"/>
    <e v="#REF!"/>
    <e v="#REF!"/>
  </r>
  <r>
    <s v="B07YFWVRCM"/>
    <s v="Imou 360Â° 1080P Full"/>
    <x v="56"/>
    <s v="OvenToasterGrills"/>
    <n v="7500"/>
    <n v="2299"/>
    <n v="15000"/>
    <n v="4598"/>
    <n v="10350"/>
    <n v="-10402"/>
    <n v="0.69"/>
    <n v="4.0999999999999996"/>
    <n v="5554"/>
    <s v="Ashish Pyasi,SAGAR"/>
    <n v="2"/>
    <e v="#REF!"/>
    <e v="#REF!"/>
  </r>
  <r>
    <s v="B01GGKYKQM"/>
    <s v="Amazon Basics USB Type-C"/>
    <x v="56"/>
    <s v="Juicers"/>
    <n v="700"/>
    <n v="219"/>
    <n v="5600"/>
    <n v="1752"/>
    <n v="3863.9999999999995"/>
    <n v="-3848"/>
    <n v="0.69"/>
    <n v="4.3"/>
    <n v="20053"/>
    <s v="Hremant,Anjaneyulu,Madhav,NOTTADRIS,Deepak,P,M.SASIKUMAR,S.Suresh"/>
    <n v="8"/>
    <e v="#REF!"/>
    <e v="#REF!"/>
  </r>
  <r>
    <s v="B08TDJ5BVF"/>
    <s v="E-COSMOS 5V 1.2W Portable"/>
    <x v="56"/>
    <m/>
    <n v="39"/>
    <n v="39"/>
    <n v="117"/>
    <n v="117"/>
    <n v="0"/>
    <n v="0"/>
    <n v="0"/>
    <n v="3.8"/>
    <n v="3344"/>
    <s v="Yugandhar Menda,Sonia,Amazon"/>
    <n v="3"/>
    <e v="#REF!"/>
    <e v="#REF!"/>
  </r>
  <r>
    <s v="B09XXZXQC1"/>
    <s v="Xiaomi Pad 5| Qualcomm"/>
    <x v="68"/>
    <s v="WeighingScales"/>
    <n v="37999"/>
    <n v="26999"/>
    <n v="37999"/>
    <n v="26999"/>
    <n v="11019.71"/>
    <n v="-11000"/>
    <n v="0.28999999999999998"/>
    <n v="4.5999999999999996"/>
    <n v="2886"/>
    <s v="&amp; I"/>
    <n v="1"/>
    <e v="#REF!"/>
    <e v="#REF!"/>
  </r>
  <r>
    <s v="B083T5G5PM"/>
    <s v="Sennheiser CX 80S in-Ear"/>
    <x v="63"/>
    <s v="EspressoMachines"/>
    <n v="1990"/>
    <n v="1490"/>
    <n v="3980"/>
    <n v="2980"/>
    <n v="995"/>
    <n v="-1000"/>
    <n v="0.25"/>
    <n v="4.0999999999999996"/>
    <n v="98250"/>
    <s v="Neeraj Vishwakarma,Sameer"/>
    <n v="2"/>
    <e v="#REF!"/>
    <e v="#REF!"/>
  </r>
  <r>
    <s v="B0BHVPTM2C"/>
    <s v="HB Plus Folding Height"/>
    <x v="62"/>
    <s v="TableFans"/>
    <n v="1949"/>
    <n v="398"/>
    <n v="3898"/>
    <n v="796"/>
    <n v="3118.4"/>
    <n v="-3102"/>
    <n v="0.8"/>
    <n v="4"/>
    <n v="75"/>
    <s v="RISHABH K.,Anish"/>
    <n v="2"/>
    <e v="#REF!"/>
    <e v="#REF!"/>
  </r>
  <r>
    <s v="B0B86CDHL1"/>
    <s v="oraimo 65W Type C"/>
    <x v="63"/>
    <s v="MilkFrothers"/>
    <n v="899"/>
    <n v="349"/>
    <n v="1798"/>
    <n v="698"/>
    <n v="1096.78"/>
    <n v="-1100"/>
    <n v="0.61"/>
    <n v="4.5"/>
    <n v="149"/>
    <s v="Ravi Shankar,Prakash"/>
    <n v="2"/>
    <e v="#REF!"/>
    <e v="#REF!"/>
  </r>
  <r>
    <s v="B01NBX5RSB"/>
    <s v="HP 65W AC Laptops"/>
    <x v="69"/>
    <m/>
    <n v="1547"/>
    <n v="770"/>
    <n v="3094"/>
    <n v="1540"/>
    <n v="1547"/>
    <n v="-1554"/>
    <n v="0.5"/>
    <n v="4.3"/>
    <n v="2585"/>
    <s v="Abhiram Ganesh,Amazon"/>
    <n v="2"/>
    <e v="#REF!"/>
    <e v="#REF!"/>
  </r>
  <r>
    <s v="B08MWJTST6"/>
    <s v="Tukzer Fully Foldable Tabletop"/>
    <x v="56"/>
    <s v="SmallApplianceParts&amp;Accessories"/>
    <n v="1299"/>
    <n v="279"/>
    <n v="3897"/>
    <n v="837"/>
    <n v="3078.63"/>
    <n v="-3060"/>
    <n v="0.79"/>
    <n v="4"/>
    <n v="5072"/>
    <s v="rajiv,Anil Mishra,Pandri"/>
    <n v="3"/>
    <e v="#REF!"/>
    <e v="#REF!"/>
  </r>
  <r>
    <s v="B07R99NBVB"/>
    <s v="Gizga Essentials Cable Organiser,"/>
    <x v="56"/>
    <s v="YogurtMakers"/>
    <n v="599"/>
    <n v="249"/>
    <n v="1797"/>
    <n v="747"/>
    <n v="1042.2599999999998"/>
    <n v="-1050"/>
    <n v="0.57999999999999996"/>
    <n v="4.5"/>
    <n v="5985"/>
    <s v="Dhineshkumar,Amazon Customer,Ankit"/>
    <n v="3"/>
    <e v="#REF!"/>
    <e v="#REF!"/>
  </r>
  <r>
    <s v="B08R69VDHT"/>
    <s v="Pinnaclz Original Combo of"/>
    <x v="56"/>
    <s v="Juicers"/>
    <n v="499"/>
    <n v="115"/>
    <n v="499"/>
    <n v="115"/>
    <n v="384.23"/>
    <n v="-384"/>
    <n v="0.77"/>
    <n v="4"/>
    <n v="7732"/>
    <s v="Vijayan C"/>
    <n v="1"/>
    <e v="#REF!"/>
    <e v="#REF!"/>
  </r>
  <r>
    <s v="B00LY12TH6"/>
    <s v="Camel Oil Pastel with"/>
    <x v="70"/>
    <s v="Split-SystemAirConditioners"/>
    <n v="230"/>
    <n v="230"/>
    <n v="920"/>
    <n v="920"/>
    <n v="0"/>
    <n v="0"/>
    <n v="0"/>
    <n v="4.5"/>
    <n v="9427"/>
    <s v="Jayanta,Himanshu kumar,Saima,Vivek"/>
    <n v="4"/>
    <e v="#REF!"/>
    <e v="#REF!"/>
  </r>
  <r>
    <s v="B09RWZRCP1"/>
    <s v="boAt Type C A750"/>
    <x v="56"/>
    <s v="SmallApplianceParts&amp;Accessories"/>
    <n v="999"/>
    <n v="399"/>
    <n v="1998"/>
    <n v="798"/>
    <n v="1198.8"/>
    <n v="-1200"/>
    <n v="0.6"/>
    <n v="4.0999999999999996"/>
    <n v="1780"/>
    <s v="livin sebi,Anand"/>
    <n v="2"/>
    <e v="#REF!"/>
    <e v="#REF!"/>
  </r>
  <r>
    <s v="B08497Z1MQ"/>
    <s v="HP M270 Backlit USB"/>
    <x v="56"/>
    <s v="WaffleMakers&amp;Irons"/>
    <n v="700"/>
    <n v="599"/>
    <n v="2800"/>
    <n v="2396"/>
    <n v="392.00000000000006"/>
    <n v="-404"/>
    <n v="0.14000000000000001"/>
    <n v="4.3"/>
    <n v="2301"/>
    <s v="IAMSRK,Tirath T.Trivedi,Damodaran,Ashish"/>
    <n v="4"/>
    <e v="#REF!"/>
    <e v="#REF!"/>
  </r>
  <r>
    <s v="B07KNM95JK"/>
    <s v="Foxin FTC 12A /"/>
    <x v="63"/>
    <s v="StovetopEspressoPots"/>
    <n v="1150"/>
    <n v="598"/>
    <n v="2300"/>
    <n v="1196"/>
    <n v="1104"/>
    <n v="-1104"/>
    <n v="0.48"/>
    <n v="4.0999999999999996"/>
    <n v="2535"/>
    <s v="Dilip Panchal,balu"/>
    <n v="2"/>
    <e v="#REF!"/>
    <e v="#REF!"/>
  </r>
  <r>
    <s v="B09Q3M3WLJ"/>
    <s v="Robustrion [Anti-Scratch] &amp; [Smudge"/>
    <x v="63"/>
    <s v="CoffeeMakerAccessories"/>
    <n v="1499"/>
    <n v="399"/>
    <n v="2998"/>
    <n v="798"/>
    <n v="2188.54"/>
    <n v="-2200"/>
    <n v="0.73"/>
    <n v="4"/>
    <n v="691"/>
    <s v="Indrani B.,Amazon"/>
    <n v="2"/>
    <e v="#REF!"/>
    <e v="#REF!"/>
  </r>
  <r>
    <s v="B09B9SPC7F"/>
    <s v="PC SQUARE Laptop Tabletop"/>
    <x v="63"/>
    <s v="CoffeePresses"/>
    <n v="1299"/>
    <n v="499"/>
    <n v="2598"/>
    <n v="998"/>
    <n v="1610.76"/>
    <n v="-1600"/>
    <n v="0.62"/>
    <n v="4.0999999999999996"/>
    <n v="2740"/>
    <s v="Amol W.,Rohit"/>
    <n v="2"/>
    <e v="#REF!"/>
    <e v="#REF!"/>
  </r>
  <r>
    <s v="B09CMP1SC8"/>
    <s v="Ambrane 2 in 1"/>
    <x v="56"/>
    <s v="RotiMakers"/>
    <n v="499"/>
    <n v="199"/>
    <n v="499"/>
    <n v="199"/>
    <n v="299.39999999999998"/>
    <n v="-300"/>
    <n v="0.6"/>
    <n v="4.0999999999999996"/>
    <n v="602"/>
    <s v="Gopal krishna"/>
    <n v="1"/>
    <e v="#REF!"/>
    <e v="#REF!"/>
  </r>
  <r>
    <s v="B099SD8PRP"/>
    <s v="Lenovo 130 Wireless Compact"/>
    <x v="71"/>
    <s v="FanParts&amp;Accessories"/>
    <n v="1090"/>
    <n v="579"/>
    <n v="2180"/>
    <n v="1158"/>
    <n v="1024.5999999999999"/>
    <n v="-1022"/>
    <n v="0.47"/>
    <n v="4.4000000000000004"/>
    <n v="3482"/>
    <s v="Geetanshu Dev,Akshay"/>
    <n v="2"/>
    <e v="#REF!"/>
    <e v="#REF!"/>
  </r>
  <r>
    <s v="B09YLXYP7Y"/>
    <s v="Ambrane 60W / 3A"/>
    <x v="56"/>
    <s v="StandMixers"/>
    <n v="399"/>
    <n v="179"/>
    <n v="798"/>
    <n v="358"/>
    <n v="438.90000000000003"/>
    <n v="-440"/>
    <n v="0.55000000000000004"/>
    <n v="4"/>
    <n v="1423"/>
    <s v="Actual user,Shanti"/>
    <n v="2"/>
    <e v="#REF!"/>
    <e v="#REF!"/>
  </r>
  <r>
    <s v="B00S2SEV7K"/>
    <s v="Pilot Frixion Clicker Roller"/>
    <x v="62"/>
    <s v="PedestalFans"/>
    <n v="100"/>
    <n v="90"/>
    <n v="200"/>
    <n v="180"/>
    <n v="20"/>
    <n v="-20"/>
    <n v="0.1"/>
    <n v="4.0999999999999996"/>
    <n v="6199"/>
    <s v="Abhay Gupta,vimal"/>
    <n v="2"/>
    <e v="#REF!"/>
    <e v="#REF!"/>
  </r>
  <r>
    <s v="B08WKCTFF3"/>
    <s v="ZEBRONICS Aluminium Alloy Laptop"/>
    <x v="58"/>
    <s v="Vacuums&amp;FloorCare"/>
    <n v="1999"/>
    <n v="899"/>
    <n v="5997"/>
    <n v="2697"/>
    <n v="3298.3500000000004"/>
    <n v="-3300"/>
    <n v="0.55000000000000004"/>
    <n v="4.4000000000000004"/>
    <n v="1667"/>
    <s v="Kamaldeep Singh,Jaskaran,Ravikiran"/>
    <n v="3"/>
    <e v="#REF!"/>
    <e v="#REF!"/>
  </r>
  <r>
    <s v="B08498D67S"/>
    <s v="HP K500F Backlit Membrane"/>
    <x v="0"/>
    <s v="Cables"/>
    <n v="1800"/>
    <n v="1149"/>
    <n v="1800"/>
    <n v="1149"/>
    <n v="648"/>
    <n v="-651"/>
    <n v="0.36"/>
    <n v="4.3"/>
    <n v="4723"/>
    <s v="Mohammad Shadab"/>
    <n v="1"/>
    <e v="#REF!"/>
    <e v="#REF!"/>
  </r>
  <r>
    <s v="B00C3GBCIS"/>
    <s v="GIZGA Club-laptop Neoprene Reversible"/>
    <x v="1"/>
    <s v="WirelessUSBAdapters"/>
    <n v="499"/>
    <n v="249"/>
    <n v="2495"/>
    <n v="1245"/>
    <n v="1247.5"/>
    <n v="-1250"/>
    <n v="0.5"/>
    <n v="4.2"/>
    <n v="22860"/>
    <s v="hrithik,CHANDRASHEKHAR,Amazon Customer,mukul,Saumitra"/>
    <n v="5"/>
    <e v="#REF!"/>
    <e v="#REF!"/>
  </r>
  <r>
    <s v="B00URH5E34"/>
    <s v="Inventis 5V 1.2W Portable"/>
    <x v="2"/>
    <s v="Cables"/>
    <n v="39"/>
    <n v="39"/>
    <n v="78"/>
    <n v="78"/>
    <n v="0"/>
    <n v="0"/>
    <n v="0"/>
    <n v="3.6"/>
    <n v="13572"/>
    <s v="Dhruv Sharma,Durairaj"/>
    <n v="2"/>
    <e v="#REF!"/>
    <e v="#REF!"/>
  </r>
  <r>
    <s v="B00EYW1U68"/>
    <s v="TP-Link TL-WA855RE 300 Mbps"/>
    <x v="3"/>
    <s v="SmartTelevisions"/>
    <n v="3599"/>
    <n v="1599"/>
    <n v="10797"/>
    <n v="4797"/>
    <n v="6046.3200000000006"/>
    <n v="-6000"/>
    <n v="0.56000000000000005"/>
    <n v="4.2"/>
    <n v="16182"/>
    <s v="Basim,Vicky M.,Neeraj"/>
    <n v="3"/>
    <e v="#REF!"/>
    <e v="#REF!"/>
  </r>
  <r>
    <s v="B08SMJT55F"/>
    <s v="boAt Stone 250 Portable"/>
    <x v="2"/>
    <s v="RemoteControls"/>
    <n v="3990"/>
    <n v="1199"/>
    <n v="11970"/>
    <n v="3597"/>
    <n v="8379"/>
    <n v="-8373"/>
    <n v="0.7"/>
    <n v="4.2"/>
    <n v="2908"/>
    <s v="Devashish Gautam,Vishakha,Sunny"/>
    <n v="3"/>
    <e v="#REF!"/>
    <e v="#REF!"/>
  </r>
  <r>
    <s v="B0B2DJDCPX"/>
    <s v="SWAPKART Fast Charging Cable"/>
    <x v="3"/>
    <s v="StandardTelevisions"/>
    <n v="499"/>
    <n v="209"/>
    <n v="1497"/>
    <n v="627"/>
    <n v="868.25999999999988"/>
    <n v="-870"/>
    <n v="0.57999999999999996"/>
    <n v="3.9"/>
    <n v="536"/>
    <s v="Vinay,Amazon Customer,Naveenkumar"/>
    <n v="3"/>
    <e v="#REF!"/>
    <e v="#REF!"/>
  </r>
  <r>
    <s v="B08Y7MXFMK"/>
    <s v="OffbeatÂ® - DASH 2.4GHz"/>
    <x v="2"/>
    <s v="TVMounts,Stands&amp;Turntables"/>
    <n v="1499"/>
    <n v="1099"/>
    <n v="4497"/>
    <n v="3297"/>
    <n v="1214.19"/>
    <n v="-1200"/>
    <n v="0.27"/>
    <n v="4.2"/>
    <n v="2375"/>
    <s v="Surajit Patra,Dixitkotadiya,Abishek"/>
    <n v="3"/>
    <e v="#REF!"/>
    <e v="#REF!"/>
  </r>
  <r>
    <s v="B086Q3QMFS"/>
    <s v="Classmate Drawing Book -"/>
    <x v="2"/>
    <s v="Cables"/>
    <n v="120"/>
    <n v="120"/>
    <n v="600"/>
    <n v="600"/>
    <n v="0"/>
    <n v="0"/>
    <n v="0"/>
    <n v="4.5"/>
    <n v="4951"/>
    <s v="a.john,Sonika sharma,Umadevi,tarun,venkatesh"/>
    <n v="5"/>
    <e v="#REF!"/>
    <e v="#REF!"/>
  </r>
  <r>
    <s v="B08498H13H"/>
    <s v="HP GK320 Wired Full"/>
    <x v="2"/>
    <s v="SpeakerAccessories"/>
    <n v="3499"/>
    <n v="1519"/>
    <n v="6998"/>
    <n v="3038"/>
    <n v="3988.8599999999997"/>
    <n v="-3960"/>
    <n v="0.56999999999999995"/>
    <n v="4.3"/>
    <n v="408"/>
    <s v="Lingaraj Naik,Vinod"/>
    <n v="2"/>
    <e v="#REF!"/>
    <e v="#REF!"/>
  </r>
  <r>
    <s v="B07LFQLKFZ"/>
    <s v="Parker Moments Vector Timecheck"/>
    <x v="2"/>
    <s v="Cables"/>
    <n v="420"/>
    <n v="420"/>
    <n v="420"/>
    <n v="420"/>
    <n v="0"/>
    <n v="0"/>
    <n v="0"/>
    <n v="4.2"/>
    <n v="1926"/>
    <s v="Amit Kumar"/>
    <n v="1"/>
    <e v="#REF!"/>
    <e v="#REF!"/>
  </r>
  <r>
    <s v="B00LY17RHI"/>
    <s v="Camlin Elegante Fountain Pen"/>
    <x v="4"/>
    <m/>
    <n v="225"/>
    <n v="225"/>
    <n v="675"/>
    <n v="675"/>
    <n v="0"/>
    <n v="0"/>
    <n v="0"/>
    <n v="4.0999999999999996"/>
    <n v="4798"/>
    <s v="Rayees Tigadi,ajay,Tathagata"/>
    <n v="3"/>
    <e v="#REF!"/>
    <e v="#REF!"/>
  </r>
  <r>
    <s v="B07W14CHV8"/>
    <s v="CARECASEÂ® Optical Bay 2nd"/>
    <x v="2"/>
    <s v="Adapters"/>
    <n v="799"/>
    <n v="199"/>
    <n v="1598"/>
    <n v="398"/>
    <n v="1198.5"/>
    <n v="-1200"/>
    <n v="0.75"/>
    <n v="4.0999999999999996"/>
    <n v="7333"/>
    <s v="Prabakaran V,Chinmay"/>
    <n v="2"/>
    <e v="#REF!"/>
    <e v="#REF!"/>
  </r>
  <r>
    <s v="B0B9BXKBC7"/>
    <s v="WeCool S5 Long Selfie"/>
    <x v="5"/>
    <s v="SatelliteReceivers"/>
    <n v="3999"/>
    <n v="1799"/>
    <n v="7998"/>
    <n v="3598"/>
    <n v="4398.9000000000005"/>
    <n v="-4400"/>
    <n v="0.55000000000000004"/>
    <n v="4.5999999999999996"/>
    <n v="245"/>
    <s v="Sujili v,Paras"/>
    <n v="2"/>
    <e v="#REF!"/>
    <e v="#REF!"/>
  </r>
  <r>
    <s v="B09F5Z694W"/>
    <s v="Canon E4570 All-in-One Wi-Fi"/>
    <x v="0"/>
    <s v="Cables"/>
    <n v="9625"/>
    <n v="8349"/>
    <n v="28875"/>
    <n v="25047"/>
    <n v="3753.75"/>
    <n v="-3828"/>
    <n v="0.13"/>
    <n v="3.8"/>
    <n v="3652"/>
    <s v="Sachin Goel,RONI.A.P.P.POONTHOTTAM,ELDO"/>
    <n v="3"/>
    <e v="#REF!"/>
    <e v="#REF!"/>
  </r>
  <r>
    <s v="B0B25LQQPC"/>
    <s v="Crucial P3 500GB PCIe"/>
    <x v="2"/>
    <s v="Cables"/>
    <n v="6100"/>
    <n v="3307"/>
    <n v="24400"/>
    <n v="13228"/>
    <n v="11224"/>
    <n v="-11172"/>
    <n v="0.46"/>
    <n v="4.3"/>
    <n v="2515"/>
    <s v="Ashwin,Spidey Rage,Placeholder,Shreyas"/>
    <n v="4"/>
    <e v="#REF!"/>
    <e v="#REF!"/>
  </r>
  <r>
    <s v="B07GVGTSLN"/>
    <s v="Wayona Usb Type C"/>
    <x v="6"/>
    <s v="StreamingClients"/>
    <n v="1299"/>
    <n v="325"/>
    <n v="2598"/>
    <n v="650"/>
    <n v="1948.5"/>
    <n v="-1948"/>
    <n v="0.75"/>
    <n v="4.2"/>
    <n v="10576"/>
    <s v="Sunil Funde,Biju"/>
    <n v="2"/>
    <e v="#REF!"/>
    <e v="#REF!"/>
  </r>
  <r>
    <s v="B01LYLJ99X"/>
    <s v="HP v222w 64GB USB"/>
    <x v="7"/>
    <m/>
    <n v="1300"/>
    <n v="449"/>
    <n v="3900"/>
    <n v="1347"/>
    <n v="2535"/>
    <n v="-2553"/>
    <n v="0.65"/>
    <n v="4.2"/>
    <n v="4959"/>
    <s v="jatin.,sushil Kumar,Darunte"/>
    <n v="3"/>
    <e v="#REF!"/>
    <e v="#REF!"/>
  </r>
  <r>
    <s v="B014SZPBM4"/>
    <s v="Duracell Ultra Alkaline D"/>
    <x v="8"/>
    <s v="TowerSpeakers"/>
    <n v="400"/>
    <n v="380"/>
    <n v="400"/>
    <n v="380"/>
    <n v="20"/>
    <n v="-20"/>
    <n v="0.05"/>
    <n v="4.4000000000000004"/>
    <n v="2111"/>
    <s v="Md asif"/>
    <n v="1"/>
    <e v="#REF!"/>
    <e v="#REF!"/>
  </r>
  <r>
    <s v="B08CZHGHKH"/>
    <s v="BESTORÂ® LCD Writing Tablet/pad"/>
    <x v="2"/>
    <s v="3DGlasses"/>
    <n v="1399"/>
    <n v="499"/>
    <n v="1399"/>
    <n v="499"/>
    <n v="895.36"/>
    <n v="-900"/>
    <n v="0.64"/>
    <n v="3.9"/>
    <n v="1462"/>
    <s v="SUBODH RAJ"/>
    <n v="1"/>
    <e v="#REF!"/>
    <e v="#REF!"/>
  </r>
  <r>
    <s v="B0B2RBP83P"/>
    <s v="Lenovo IdeaPad 3 11th"/>
    <x v="9"/>
    <m/>
    <n v="59890"/>
    <n v="37247"/>
    <n v="179670"/>
    <n v="111741"/>
    <n v="68274.600000000006"/>
    <n v="-67929"/>
    <n v="0.38"/>
    <n v="4"/>
    <n v="323"/>
    <s v="Mb,Amazon Customer,Adnan"/>
    <n v="3"/>
    <e v="#REF!"/>
    <e v="#REF!"/>
  </r>
  <r>
    <s v="B078W65FJ7"/>
    <s v="boAt BassHeads 900 On-Ear"/>
    <x v="10"/>
    <s v="Chargers"/>
    <n v="2490"/>
    <n v="849"/>
    <n v="9960"/>
    <n v="3396"/>
    <n v="6573.6"/>
    <n v="-6564"/>
    <n v="0.66"/>
    <n v="4.2"/>
    <n v="91188"/>
    <s v="Sayan,Lucky,Anish Kadivar,Surjit"/>
    <n v="4"/>
    <e v="#REF!"/>
    <e v="#REF!"/>
  </r>
  <r>
    <s v="B08S74GTBT"/>
    <s v="Zebronics Astra 10 Portable"/>
    <x v="11"/>
    <s v="Smartphones"/>
    <n v="1999"/>
    <n v="799"/>
    <n v="5997"/>
    <n v="2397"/>
    <n v="3598.2"/>
    <n v="-3600"/>
    <n v="0.6"/>
    <n v="3.7"/>
    <n v="418"/>
    <s v="ESWARAN,Amal Gopinath,DODDI"/>
    <n v="3"/>
    <e v="#REF!"/>
    <e v="#REF!"/>
  </r>
  <r>
    <s v="B0B9BD2YL4"/>
    <s v="KINGONE Wireless Charging Pencil"/>
    <x v="12"/>
    <s v="MicroSD"/>
    <n v="6999"/>
    <n v="2599"/>
    <n v="48993"/>
    <n v="18193"/>
    <n v="30865.59"/>
    <n v="-30800"/>
    <n v="0.63"/>
    <n v="4.5"/>
    <n v="1526"/>
    <s v="Ak,Jitesh,anil,Umpo,G'DAS ENTERPRISES,Neetu,Vaibhav"/>
    <n v="7"/>
    <e v="#REF!"/>
    <e v="#REF!"/>
  </r>
  <r>
    <s v="B0BMXMLSMM"/>
    <s v="Lapster 65W compatible for"/>
    <x v="11"/>
    <s v="BasicMobiles"/>
    <n v="999"/>
    <n v="199"/>
    <n v="3996"/>
    <n v="796"/>
    <n v="3196.8"/>
    <n v="-3200"/>
    <n v="0.8"/>
    <n v="4.5"/>
    <n v="127"/>
    <s v="Nadhiyarasan,Saurabh Aggarwal,Dibya,Sai"/>
    <n v="4"/>
    <e v="#REF!"/>
    <e v="#REF!"/>
  </r>
  <r>
    <s v="B0141EZMAI"/>
    <s v="Gizga Essentials USB WiFi"/>
    <x v="13"/>
    <s v="In-Ear"/>
    <n v="800"/>
    <n v="269"/>
    <n v="3200"/>
    <n v="1076"/>
    <n v="2112"/>
    <n v="-2124"/>
    <n v="0.66"/>
    <n v="3.6"/>
    <n v="10134"/>
    <s v="SQL,ARUN KUMAR,veer,Ravi"/>
    <n v="4"/>
    <e v="#REF!"/>
    <e v="#REF!"/>
  </r>
  <r>
    <s v="B07QMRHWJD"/>
    <s v="SWAPKART Portable Flexible Adjustable"/>
    <x v="10"/>
    <s v="Chargers"/>
    <n v="999"/>
    <n v="298"/>
    <n v="2997"/>
    <n v="894"/>
    <n v="2097.8999999999996"/>
    <n v="-2103"/>
    <n v="0.7"/>
    <n v="4.3"/>
    <n v="1552"/>
    <s v="Bhawna,Abhishek C,Richard"/>
    <n v="3"/>
    <e v="#REF!"/>
    <e v="#REF!"/>
  </r>
  <r>
    <s v="B07W7Z6DVL"/>
    <s v="Infinity"/>
    <x v="10"/>
    <s v="AutomobileAccessories"/>
    <n v="2999"/>
    <n v="1499"/>
    <n v="8997"/>
    <n v="4497"/>
    <n v="4498.5"/>
    <n v="-4500"/>
    <n v="0.5"/>
    <n v="4.0999999999999996"/>
    <n v="25262"/>
    <s v="Sreekumar KURUMALIKKAL,Mukund,ADITYA"/>
    <n v="3"/>
    <e v="#REF!"/>
    <e v="#REF!"/>
  </r>
  <r>
    <s v="B07WMS7TWB"/>
    <s v="Pigeon by Stovekraft Amaze"/>
    <x v="10"/>
    <s v="Chargers"/>
    <n v="1245"/>
    <n v="649"/>
    <n v="2490"/>
    <n v="1298"/>
    <n v="1195.2"/>
    <n v="-1192"/>
    <n v="0.48"/>
    <n v="3.9"/>
    <n v="123365"/>
    <s v="ba_doh,Asim Kumar"/>
    <n v="2"/>
    <e v="#REF!"/>
    <e v="#REF!"/>
  </r>
  <r>
    <s v="B00H47GVGY"/>
    <s v="USHA Quartz Room Heater"/>
    <x v="10"/>
    <s v="Cables&amp;Adapters"/>
    <n v="1695"/>
    <n v="1199"/>
    <n v="6780"/>
    <n v="4796"/>
    <n v="1966.1999999999998"/>
    <n v="-1984"/>
    <n v="0.28999999999999998"/>
    <n v="3.6"/>
    <n v="13300"/>
    <s v="Sudesh,sayan mukherjee,SS,Ritu"/>
    <n v="4"/>
    <e v="#REF!"/>
    <e v="#REF!"/>
  </r>
  <r>
    <s v="B07VX71FZP"/>
    <s v="Amazon Brand - Solimo"/>
    <x v="10"/>
    <s v="Photo&amp;VideoAccessories"/>
    <n v="2000"/>
    <n v="1199"/>
    <n v="4000"/>
    <n v="2398"/>
    <n v="1600"/>
    <n v="-1602"/>
    <n v="0.4"/>
    <n v="4"/>
    <n v="18543"/>
    <s v="Amazon Customer,Prince"/>
    <n v="2"/>
    <e v="#REF!"/>
    <e v="#REF!"/>
  </r>
  <r>
    <s v="B07NCKMXVZ"/>
    <s v="StyleHouse Lint Remover for"/>
    <x v="10"/>
    <s v="Photo&amp;VideoAccessories"/>
    <n v="999"/>
    <n v="455"/>
    <n v="1998"/>
    <n v="910"/>
    <n v="1078.92"/>
    <n v="-1088"/>
    <n v="0.54"/>
    <n v="4.0999999999999996"/>
    <n v="3578"/>
    <s v="vipul agnihotri,Banshul"/>
    <n v="2"/>
    <e v="#REF!"/>
    <e v="#REF!"/>
  </r>
  <r>
    <s v="B0B61DSF17"/>
    <s v="beatXP Kitchen Scale Multipurpose"/>
    <x v="10"/>
    <s v="Stands"/>
    <n v="1999"/>
    <n v="199"/>
    <n v="3998"/>
    <n v="398"/>
    <n v="3598.2000000000003"/>
    <n v="-3600"/>
    <n v="0.9"/>
    <n v="3.7"/>
    <n v="2031"/>
    <s v="Anurag a.,Shivam"/>
    <n v="2"/>
    <e v="#REF!"/>
    <e v="#REF!"/>
  </r>
  <r>
    <s v="B07VQGVL68"/>
    <s v="Glun Multipurpose Portable Electronic"/>
    <x v="0"/>
    <s v="CableConnectionProtectors"/>
    <n v="499"/>
    <n v="293"/>
    <n v="2495"/>
    <n v="1465"/>
    <n v="1022.9499999999998"/>
    <n v="-1030"/>
    <n v="0.41"/>
    <n v="3.9"/>
    <n v="44994"/>
    <s v="Akil,Sravann,Arun,Priyanka Bhura,Aniket"/>
    <n v="5"/>
    <e v="#REF!"/>
    <e v="#REF!"/>
  </r>
  <r>
    <s v="B01LWYDEQ7"/>
    <s v="Pigeon Polypropylene Mini Handy"/>
    <x v="10"/>
    <s v="DÃ©cor"/>
    <n v="495"/>
    <n v="199"/>
    <n v="1980"/>
    <n v="796"/>
    <n v="1188"/>
    <n v="-1184"/>
    <n v="0.6"/>
    <n v="4.0999999999999996"/>
    <n v="270563"/>
    <s v="Harshit,Fazeela,Chiranjiv Singh,Joseph"/>
    <n v="4"/>
    <e v="#REF!"/>
    <e v="#REF!"/>
  </r>
  <r>
    <s v="B07VNFP3C2"/>
    <s v="Prestige 1.5 Litre Kettle"/>
    <x v="10"/>
    <s v="Maintenance,Upkeep&amp;Repairs"/>
    <n v="1245"/>
    <n v="749"/>
    <n v="3735"/>
    <n v="2247"/>
    <n v="1494"/>
    <n v="-1488"/>
    <n v="0.4"/>
    <n v="3.9"/>
    <n v="31783"/>
    <s v="Sib,Deepak Kumar,Amazon"/>
    <n v="3"/>
    <e v="#REF!"/>
    <e v="#REF!"/>
  </r>
  <r>
    <s v="B00LUGTJGO"/>
    <s v="Bajaj RHX-2 800-Watt Room"/>
    <x v="10"/>
    <s v="StylusPens"/>
    <n v="1549"/>
    <n v="1399"/>
    <n v="4647"/>
    <n v="4197"/>
    <n v="464.70000000000005"/>
    <n v="-450"/>
    <n v="0.1"/>
    <n v="3.9"/>
    <n v="2602"/>
    <s v="Shanu SwamiKohar,susheel,Shubham"/>
    <n v="3"/>
    <e v="#REF!"/>
    <e v="#REF!"/>
  </r>
  <r>
    <s v="B01MQZ7J8K"/>
    <s v="Prestige Electric Kettle PKOSS"/>
    <x v="10"/>
    <s v="Mounts"/>
    <n v="1445"/>
    <n v="749"/>
    <n v="2890"/>
    <n v="1498"/>
    <n v="1387.2"/>
    <n v="-1392"/>
    <n v="0.48"/>
    <n v="3.9"/>
    <n v="63350"/>
    <s v="dgp raju,Amazon"/>
    <n v="2"/>
    <e v="#REF!"/>
    <e v="#REF!"/>
  </r>
  <r>
    <s v="B01GFTEV5Y"/>
    <s v="Pigeon by Stovekraft Cruise"/>
    <x v="10"/>
    <s v="Cases&amp;Covers"/>
    <n v="3193"/>
    <n v="1699"/>
    <n v="12772"/>
    <n v="6796"/>
    <n v="6002.8399999999992"/>
    <n v="-5976"/>
    <n v="0.47"/>
    <n v="3.8"/>
    <n v="54032"/>
    <s v="Amazon P.,Snt,Rajesh,Soniya"/>
    <n v="4"/>
    <e v="#REF!"/>
    <e v="#REF!"/>
  </r>
  <r>
    <s v="B00NW4UWN6"/>
    <s v="Prestige PKGSS 1.7L 1500W"/>
    <x v="10"/>
    <s v="Mounts"/>
    <n v="1345"/>
    <n v="1043"/>
    <n v="4035"/>
    <n v="3129"/>
    <n v="887.69999999999993"/>
    <n v="-906"/>
    <n v="0.22"/>
    <n v="3.8"/>
    <n v="15592"/>
    <s v="Vikash Kumar,PD,ASHISH"/>
    <n v="3"/>
    <e v="#REF!"/>
    <e v="#REF!"/>
  </r>
  <r>
    <s v="B01NCVJMKX"/>
    <s v="SHOPTOSHOP Electric Lint Remover,"/>
    <x v="13"/>
    <s v="On-Ear"/>
    <n v="999"/>
    <n v="499"/>
    <n v="1998"/>
    <n v="998"/>
    <n v="999"/>
    <n v="-1000"/>
    <n v="0.5"/>
    <n v="4.0999999999999996"/>
    <n v="4859"/>
    <s v="Jagroop Singh,abhilash"/>
    <n v="2"/>
    <e v="#REF!"/>
    <e v="#REF!"/>
  </r>
  <r>
    <s v="B00O24PUO6"/>
    <s v="Orpat OEH-1260 2000-Watt Fan"/>
    <x v="14"/>
    <s v="CameraPrivacyCovers"/>
    <n v="1650"/>
    <n v="1464"/>
    <n v="6600"/>
    <n v="5856"/>
    <n v="726"/>
    <n v="-744"/>
    <n v="0.11"/>
    <n v="4.0999999999999996"/>
    <n v="14120"/>
    <s v="Sandeep,Rajiv,Adarsh Patel,Devansh"/>
    <n v="4"/>
    <e v="#REF!"/>
    <e v="#REF!"/>
  </r>
  <r>
    <s v="B07GXPDLYQ"/>
    <s v="PRO365 Indo Mocktails/Coffee Foamer/Cappuccino/Lemonade/Milk"/>
    <x v="15"/>
    <m/>
    <n v="499"/>
    <n v="249"/>
    <n v="1996"/>
    <n v="996"/>
    <n v="998"/>
    <n v="-1000"/>
    <n v="0.5"/>
    <n v="3.3"/>
    <n v="8427"/>
    <s v="iVan,Priyanka Das,DC,Shivnandan"/>
    <n v="4"/>
    <e v="#REF!"/>
    <e v="#REF!"/>
  </r>
  <r>
    <s v="B01C8P29N0"/>
    <s v="Bajaj DX-6 1000W Dry"/>
    <x v="10"/>
    <s v="DÃ©cor"/>
    <n v="1400"/>
    <n v="625"/>
    <n v="4200"/>
    <n v="1875"/>
    <n v="2310.0000000000005"/>
    <n v="-2325"/>
    <n v="0.55000000000000004"/>
    <n v="4.2"/>
    <n v="23316"/>
    <s v="Chittibabu M,Sagarjit,Samiran"/>
    <n v="3"/>
    <e v="#REF!"/>
    <e v="#REF!"/>
  </r>
  <r>
    <s v="B08KDBLMQP"/>
    <s v="Croma 500W Mixer Grinder"/>
    <x v="10"/>
    <s v="Mounts"/>
    <n v="2500"/>
    <n v="1290"/>
    <n v="7500"/>
    <n v="3870"/>
    <n v="3600"/>
    <n v="-3630"/>
    <n v="0.48"/>
    <n v="4"/>
    <n v="6530"/>
    <s v="Om Shankar,Praburaj,keertika"/>
    <n v="3"/>
    <e v="#REF!"/>
    <e v="#REF!"/>
  </r>
  <r>
    <s v="B078JDNZJ8"/>
    <s v="Havells Instanio 3-Litre Instant"/>
    <x v="16"/>
    <m/>
    <n v="6190"/>
    <n v="3600"/>
    <n v="18570"/>
    <n v="10800"/>
    <n v="7799.4"/>
    <n v="-7770"/>
    <n v="0.42"/>
    <n v="4.3"/>
    <n v="11924"/>
    <s v="Amazon Customer,Lucky,Pranav"/>
    <n v="3"/>
    <e v="#REF!"/>
    <e v="#REF!"/>
  </r>
  <r>
    <s v="B01M5F614J"/>
    <s v="Morphy Richards OFR Room"/>
    <x v="17"/>
    <s v="Mice"/>
    <n v="13999"/>
    <n v="6549"/>
    <n v="27998"/>
    <n v="13098"/>
    <n v="14838.94"/>
    <n v="-14900"/>
    <n v="0.53"/>
    <n v="4"/>
    <n v="2961"/>
    <s v="S Y,Budhi"/>
    <n v="2"/>
    <e v="#REF!"/>
    <e v="#REF!"/>
  </r>
  <r>
    <s v="B083GKDRKR"/>
    <s v="Havells Aqua Plus 1.2"/>
    <x v="17"/>
    <s v="GraphicTablets"/>
    <n v="2995"/>
    <n v="1625"/>
    <n v="5990"/>
    <n v="3250"/>
    <n v="2755.4"/>
    <n v="-2740"/>
    <n v="0.46"/>
    <n v="4.5"/>
    <n v="23484"/>
    <s v="neeraj vashisht,Krunal"/>
    <n v="2"/>
    <e v="#REF!"/>
    <e v="#REF!"/>
  </r>
  <r>
    <s v="B097R2V1W8"/>
    <s v="Bajaj Splendora 3 Litre"/>
    <x v="14"/>
    <s v="Lapdesks"/>
    <n v="5890"/>
    <n v="2599"/>
    <n v="17670"/>
    <n v="7797"/>
    <n v="9895.2000000000007"/>
    <n v="-9873"/>
    <n v="0.56000000000000005"/>
    <n v="4.0999999999999996"/>
    <n v="21783"/>
    <s v="Pranesh, Chennai,Pushp"/>
    <n v="3"/>
    <e v="#REF!"/>
    <e v="#REF!"/>
  </r>
  <r>
    <s v="B07YR26BJ3"/>
    <s v="KENT 16052 Elegant Electric"/>
    <x v="14"/>
    <s v="NotebookComputerStands"/>
    <n v="2000"/>
    <n v="1199"/>
    <n v="4000"/>
    <n v="2398"/>
    <n v="1600"/>
    <n v="-1602"/>
    <n v="0.4"/>
    <n v="4"/>
    <n v="14030"/>
    <s v="manoj tanwar,Ravi"/>
    <n v="2"/>
    <e v="#REF!"/>
    <e v="#REF!"/>
  </r>
  <r>
    <s v="B097R45BH8"/>
    <s v="Bajaj New Shakti Neo"/>
    <x v="17"/>
    <s v="Keyboards"/>
    <n v="13150"/>
    <n v="5499"/>
    <n v="52600"/>
    <n v="21996"/>
    <n v="30507.999999999996"/>
    <n v="-30604"/>
    <n v="0.57999999999999996"/>
    <n v="4.2"/>
    <n v="6398"/>
    <s v="Arijit,RED DEVIL,Nirab,Ritesh"/>
    <n v="4"/>
    <e v="#REF!"/>
    <e v="#REF!"/>
  </r>
  <r>
    <s v="B09X5C9VLK"/>
    <s v="Lifelong LLMG23 Power Pro"/>
    <x v="18"/>
    <m/>
    <n v="3500"/>
    <n v="1299"/>
    <n v="7000"/>
    <n v="2598"/>
    <n v="4410"/>
    <n v="-4402"/>
    <n v="0.63"/>
    <n v="3.8"/>
    <n v="44050"/>
    <s v="shardendu dwivedi,JAYDEB"/>
    <n v="2"/>
    <e v="#REF!"/>
    <e v="#REF!"/>
  </r>
  <r>
    <s v="B01C8P29T4"/>
    <s v="Bajaj Majesty DX-11 1000W"/>
    <x v="19"/>
    <m/>
    <n v="785"/>
    <n v="599"/>
    <n v="1570"/>
    <n v="1198"/>
    <n v="376.8"/>
    <n v="-372"/>
    <n v="0.24"/>
    <n v="4.2"/>
    <n v="24247"/>
    <s v="Suri Babu,Sumedha"/>
    <n v="2"/>
    <e v="#REF!"/>
    <e v="#REF!"/>
  </r>
  <r>
    <s v="B00HVXS7WC"/>
    <s v="Bajaj Rex 500W Mixer"/>
    <x v="20"/>
    <s v="Stationery"/>
    <n v="3210"/>
    <n v="1999"/>
    <n v="6420"/>
    <n v="3998"/>
    <n v="2439.6"/>
    <n v="-2422"/>
    <n v="0.38"/>
    <n v="4.2"/>
    <n v="41349"/>
    <s v="Mithila Saha,Satyam"/>
    <n v="2"/>
    <e v="#REF!"/>
    <e v="#REF!"/>
  </r>
  <r>
    <s v="B096YCN3SD"/>
    <s v="Lifelong LLEK15 Electric Kettle"/>
    <x v="21"/>
    <s v="Tape"/>
    <n v="1000"/>
    <n v="549"/>
    <n v="2000"/>
    <n v="1098"/>
    <n v="900"/>
    <n v="-902"/>
    <n v="0.45"/>
    <n v="3.6"/>
    <n v="1074"/>
    <s v="Kiran jot,Salman"/>
    <n v="2"/>
    <e v="#REF!"/>
    <e v="#REF!"/>
  </r>
  <r>
    <s v="B09LQH3SD9"/>
    <s v="Lifelong LLQH922 Regalia 800"/>
    <x v="17"/>
    <s v="Keyboard&amp;MouseSets"/>
    <n v="2000"/>
    <n v="999"/>
    <n v="6000"/>
    <n v="2997"/>
    <n v="3000"/>
    <n v="-3003"/>
    <n v="0.5"/>
    <n v="3.8"/>
    <n v="1163"/>
    <s v="divya,priyanka sahi,vivek"/>
    <n v="3"/>
    <e v="#REF!"/>
    <e v="#REF!"/>
  </r>
  <r>
    <s v="B09KNMLH4Y"/>
    <s v="R B Nova Lint/Fabric"/>
    <x v="22"/>
    <m/>
    <n v="1999"/>
    <n v="398"/>
    <n v="3998"/>
    <n v="796"/>
    <n v="3198.4"/>
    <n v="-3202"/>
    <n v="0.8"/>
    <n v="4.0999999999999996"/>
    <n v="257"/>
    <s v="Amazon Customer,Mannat"/>
    <n v="2"/>
    <e v="#REF!"/>
    <e v="#REF!"/>
  </r>
  <r>
    <s v="B00ABMASXG"/>
    <s v="Bajaj Immersion Rod Water"/>
    <x v="23"/>
    <m/>
    <n v="720"/>
    <n v="539"/>
    <n v="2160"/>
    <n v="1617"/>
    <n v="540"/>
    <n v="-543"/>
    <n v="0.25"/>
    <n v="4.0999999999999996"/>
    <n v="36017"/>
    <s v="RAMEN MONDAL,Goutam,Suraj"/>
    <n v="3"/>
    <e v="#REF!"/>
    <e v="#REF!"/>
  </r>
  <r>
    <s v="B07QDSN9V6"/>
    <s v="INALSA Electric Kettle 1.5"/>
    <x v="2"/>
    <s v="Tripods&amp;Monopods"/>
    <n v="1595"/>
    <n v="699"/>
    <n v="3190"/>
    <n v="1398"/>
    <n v="1786.4"/>
    <n v="-1792"/>
    <n v="0.56000000000000005"/>
    <n v="4.0999999999999996"/>
    <n v="8090"/>
    <s v="Vikash ranjan,SHIV"/>
    <n v="2"/>
    <e v="#REF!"/>
    <e v="#REF!"/>
  </r>
  <r>
    <s v="B00YMJ0OI8"/>
    <s v="Prestige PIC 20 1600"/>
    <x v="24"/>
    <s v="Scientific"/>
    <n v="3645"/>
    <n v="2148"/>
    <n v="10935"/>
    <n v="6444"/>
    <n v="4483.3499999999995"/>
    <n v="-4491"/>
    <n v="0.41"/>
    <n v="4.0999999999999996"/>
    <n v="31388"/>
    <s v="Swapnil Mane,vinoth,Saravana"/>
    <n v="3"/>
    <e v="#REF!"/>
    <e v="#REF!"/>
  </r>
  <r>
    <s v="B0B8XNPQPN"/>
    <s v="Pigeon Healthifry Digital Air"/>
    <x v="25"/>
    <m/>
    <n v="7950"/>
    <n v="3599"/>
    <n v="23850"/>
    <n v="10797"/>
    <n v="13117.5"/>
    <n v="-13053"/>
    <n v="0.55000000000000004"/>
    <n v="4.2"/>
    <n v="136"/>
    <s v="koustav,Vishal Tiwari,Waheeda"/>
    <n v="3"/>
    <e v="#REF!"/>
    <e v="#REF!"/>
  </r>
  <r>
    <s v="B0814P4L98"/>
    <s v="PrettyKrafts Laundry Basket for"/>
    <x v="2"/>
    <s v="Tripods&amp;Monopods"/>
    <n v="999"/>
    <n v="351"/>
    <n v="2997"/>
    <n v="1053"/>
    <n v="1948.0500000000002"/>
    <n v="-1944"/>
    <n v="0.65"/>
    <n v="4"/>
    <n v="5380"/>
    <s v="Sachin Ramola,GIRIDHAR,Neha"/>
    <n v="3"/>
    <e v="#REF!"/>
    <e v="#REF!"/>
  </r>
  <r>
    <s v="B008QTK47Q"/>
    <s v="Philips GC1905 1440-Watt Steam"/>
    <x v="26"/>
    <s v="InkjetInkCartridges"/>
    <n v="1745"/>
    <n v="1614"/>
    <n v="3490"/>
    <n v="3228"/>
    <n v="279.2"/>
    <n v="-262"/>
    <n v="0.08"/>
    <n v="4.3"/>
    <n v="37974"/>
    <s v="Neeraj Vishwakarma,âš¡"/>
    <n v="2"/>
    <e v="#REF!"/>
    <e v="#REF!"/>
  </r>
  <r>
    <s v="B088ZTJT2R"/>
    <s v="Havells Immersion HB15 1500"/>
    <x v="17"/>
    <s v="Keyboard&amp;MiceAccessories"/>
    <n v="1295"/>
    <n v="719"/>
    <n v="2590"/>
    <n v="1438"/>
    <n v="1139.5999999999999"/>
    <n v="-1152"/>
    <n v="0.44"/>
    <n v="4.2"/>
    <n v="17218"/>
    <s v="L B,Ashwin"/>
    <n v="2"/>
    <e v="#REF!"/>
    <e v="#REF!"/>
  </r>
  <r>
    <s v="B0BK1K598K"/>
    <s v="AGARO LR2007 Lint Remover,"/>
    <x v="27"/>
    <s v="GamingMice"/>
    <n v="1499"/>
    <n v="678"/>
    <n v="2998"/>
    <n v="1356"/>
    <n v="1648.9"/>
    <n v="-1642"/>
    <n v="0.55000000000000004"/>
    <n v="4.2"/>
    <n v="900"/>
    <s v="Nirupma Kumari,Abhijeet"/>
    <n v="2"/>
    <e v="#REF!"/>
    <e v="#REF!"/>
  </r>
  <r>
    <s v="B09Y5FZK9N"/>
    <s v="Pigeon 1.5 litre Hot"/>
    <x v="28"/>
    <s v="Paints"/>
    <n v="1545"/>
    <n v="809"/>
    <n v="3090"/>
    <n v="1618"/>
    <n v="1483.2"/>
    <n v="-1472"/>
    <n v="0.48"/>
    <n v="3.7"/>
    <n v="976"/>
    <s v="Amresh Tiwari,Amazon"/>
    <n v="2"/>
    <e v="#REF!"/>
    <e v="#REF!"/>
  </r>
  <r>
    <s v="B09J2SCVQT"/>
    <s v="NutriPro Juicer Mixer Grinder"/>
    <x v="17"/>
    <s v="Keyboard&amp;MiceAccessories"/>
    <n v="5000"/>
    <n v="1969"/>
    <n v="15000"/>
    <n v="5907"/>
    <n v="9150"/>
    <n v="-9093"/>
    <n v="0.61"/>
    <n v="4.0999999999999996"/>
    <n v="4927"/>
    <s v="dharshnaselvan,Saiashwanth.M,Dr. Arshi"/>
    <n v="3"/>
    <e v="#REF!"/>
    <e v="#REF!"/>
  </r>
  <r>
    <s v="B00TDD0YM4"/>
    <s v="Philips GC026/30 Fabric Shaver,"/>
    <x v="29"/>
    <m/>
    <n v="1695"/>
    <n v="1490"/>
    <n v="3390"/>
    <n v="2980"/>
    <n v="406.8"/>
    <n v="-410"/>
    <n v="0.12"/>
    <n v="4.4000000000000004"/>
    <n v="3543"/>
    <s v="manmeet gupta,Ishrat"/>
    <n v="2"/>
    <e v="#REF!"/>
    <e v="#REF!"/>
  </r>
  <r>
    <s v="B078KRFWQB"/>
    <s v="Havells Cista Room Heater,"/>
    <x v="30"/>
    <s v="Macro&amp;RinglightFlashes"/>
    <n v="3945"/>
    <n v="2499"/>
    <n v="7890"/>
    <n v="4998"/>
    <n v="2919.3"/>
    <n v="-2892"/>
    <n v="0.37"/>
    <n v="3.8"/>
    <n v="2732"/>
    <s v="Vipin Arora,TKR"/>
    <n v="2"/>
    <e v="#REF!"/>
    <e v="#REF!"/>
  </r>
  <r>
    <s v="B07SRM58TP"/>
    <s v="AGARO Regal 800 Watts"/>
    <x v="31"/>
    <m/>
    <n v="2099"/>
    <n v="1665"/>
    <n v="6297"/>
    <n v="4995"/>
    <n v="1322.37"/>
    <n v="-1302"/>
    <n v="0.21"/>
    <n v="4"/>
    <n v="14368"/>
    <s v="Rajesh kumar,Shuchi,Vishal"/>
    <n v="3"/>
    <e v="#REF!"/>
    <e v="#REF!"/>
  </r>
  <r>
    <s v="B00EDJJ7FS"/>
    <s v="Philips Viva Collection HD4928/01"/>
    <x v="32"/>
    <m/>
    <n v="5295"/>
    <n v="3229"/>
    <n v="21180"/>
    <n v="12916"/>
    <n v="8260.2000000000007"/>
    <n v="-8264"/>
    <n v="0.39"/>
    <n v="4.2"/>
    <n v="39724"/>
    <s v="Icu,Pavish,Krrish kumar,Vit"/>
    <n v="4"/>
    <e v="#REF!"/>
    <e v="#REF!"/>
  </r>
  <r>
    <s v="B0832W3B7Q"/>
    <s v="Pigeon By Stovekraft ABS"/>
    <x v="13"/>
    <s v="Over-Ear"/>
    <n v="3595"/>
    <n v="1799"/>
    <n v="3595"/>
    <n v="1799"/>
    <n v="1797.5"/>
    <n v="-1796"/>
    <n v="0.5"/>
    <n v="3.8"/>
    <n v="9791"/>
    <s v="Arun siddharth"/>
    <n v="1"/>
    <e v="#REF!"/>
    <e v="#REF!"/>
  </r>
  <r>
    <s v="B07WNK1FFN"/>
    <s v="AGARO Esteem Multi Kettle"/>
    <x v="8"/>
    <s v="BluetoothSpeakers"/>
    <n v="1699"/>
    <n v="1260"/>
    <n v="8495"/>
    <n v="6300"/>
    <n v="2208.6999999999998"/>
    <n v="-2195"/>
    <n v="0.26"/>
    <n v="4.2"/>
    <n v="2891"/>
    <s v="videv,Vishal Rai,Dawood,arfaat,Mohit"/>
    <n v="5"/>
    <e v="#REF!"/>
    <e v="#REF!"/>
  </r>
  <r>
    <s v="B009P2LK08"/>
    <s v="Bajaj Minor 1000 Watts"/>
    <x v="31"/>
    <m/>
    <n v="1129"/>
    <n v="749"/>
    <n v="2258"/>
    <n v="1498"/>
    <n v="767.72"/>
    <n v="-760"/>
    <n v="0.34"/>
    <n v="4"/>
    <n v="2446"/>
    <s v="ANIL. KUMAR,Rohit"/>
    <n v="2"/>
    <e v="#REF!"/>
    <e v="#REF!"/>
  </r>
  <r>
    <s v="B07DGD4Z4C"/>
    <s v="Butterfly Jet Elite Mixer"/>
    <x v="20"/>
    <s v="Stationery"/>
    <n v="5795"/>
    <n v="3499"/>
    <n v="23180"/>
    <n v="13996"/>
    <n v="9272"/>
    <n v="-9184"/>
    <n v="0.4"/>
    <n v="3.9"/>
    <n v="25340"/>
    <s v="Lakshminarayana G,bhanu,shah,Pavan"/>
    <n v="4"/>
    <e v="#REF!"/>
    <e v="#REF!"/>
  </r>
  <r>
    <s v="B07GMFY9QM"/>
    <s v="SOFLIN Egg Boiler Electric"/>
    <x v="33"/>
    <m/>
    <n v="999"/>
    <n v="379"/>
    <n v="2997"/>
    <n v="1137"/>
    <n v="1858.1399999999999"/>
    <n v="-1860"/>
    <n v="0.62"/>
    <n v="4.3"/>
    <n v="3096"/>
    <s v="Sivakrishna,Anish kanneboina,Amazon"/>
    <n v="3"/>
    <e v="#REF!"/>
    <e v="#REF!"/>
  </r>
  <r>
    <s v="B0BGPN4GGH"/>
    <s v="Lifelong LLQH925 Dyno Quartz"/>
    <x v="1"/>
    <s v="BluetoothAdapters"/>
    <n v="2400"/>
    <n v="1099"/>
    <n v="7200"/>
    <n v="3297"/>
    <n v="3888"/>
    <n v="-3903"/>
    <n v="0.54"/>
    <n v="3.8"/>
    <n v="4"/>
    <s v="Avi kaur,Bhatia,ayonao"/>
    <n v="3"/>
    <e v="#REF!"/>
    <e v="#REF!"/>
  </r>
  <r>
    <s v="B0B2DZ5S6R"/>
    <s v="Amazon Basics 1500 W"/>
    <x v="15"/>
    <s v="USBtoUSBAdapters"/>
    <n v="1299"/>
    <n v="749"/>
    <n v="2598"/>
    <n v="1498"/>
    <n v="1091.1599999999999"/>
    <n v="-1100"/>
    <n v="0.42"/>
    <n v="4"/>
    <n v="119"/>
    <s v="Shaji Kuruvilla,Navin"/>
    <n v="2"/>
    <e v="#REF!"/>
    <e v="#REF!"/>
  </r>
  <r>
    <s v="B07S851WX5"/>
    <s v="Prestige Sandwich Maker PGMFD"/>
    <x v="2"/>
    <s v="Tripods&amp;Monopods"/>
    <n v="1299"/>
    <n v="1299"/>
    <n v="2598"/>
    <n v="2598"/>
    <n v="0"/>
    <n v="0"/>
    <n v="0"/>
    <n v="4.2"/>
    <n v="40106"/>
    <s v="Liz M,Dr."/>
    <n v="2"/>
    <e v="#REF!"/>
    <e v="#REF!"/>
  </r>
  <r>
    <s v="B01MY839VW"/>
    <s v="Orient Electric Fabrijoy DIFJ10BP"/>
    <x v="2"/>
    <s v="Film"/>
    <n v="1090"/>
    <n v="549"/>
    <n v="4360"/>
    <n v="2196"/>
    <n v="2180"/>
    <n v="-2164"/>
    <n v="0.5"/>
    <n v="4.2"/>
    <n v="13029"/>
    <s v="Hariom,Kali,Ajay Patil,Reddy"/>
    <n v="4"/>
    <e v="#REF!"/>
    <e v="#REF!"/>
  </r>
  <r>
    <s v="B09LV1CMGH"/>
    <s v="Lifelong LLFH921 Regalia 2000"/>
    <x v="31"/>
    <m/>
    <n v="2000"/>
    <n v="899"/>
    <n v="8000"/>
    <n v="3596"/>
    <n v="4400"/>
    <n v="-4404"/>
    <n v="0.55000000000000004"/>
    <n v="3.6"/>
    <n v="291"/>
    <s v="Usha,CHHATRPAL,Anurag Anand,Sijo"/>
    <n v="4"/>
    <e v="#REF!"/>
    <e v="#REF!"/>
  </r>
  <r>
    <s v="B01EY310UM"/>
    <s v="Philips GC181 Heavy Weight"/>
    <x v="34"/>
    <s v="Lamps"/>
    <n v="1545"/>
    <n v="1321"/>
    <n v="4635"/>
    <n v="3963"/>
    <n v="648.90000000000009"/>
    <n v="-672"/>
    <n v="0.14000000000000001"/>
    <n v="4.3"/>
    <n v="15453"/>
    <s v="BISHAL,khizer,Sowmya N"/>
    <n v="3"/>
    <e v="#REF!"/>
    <e v="#REF!"/>
  </r>
  <r>
    <s v="B09NL7LBWT"/>
    <s v="Bulfyss USB Rechargeable Lint"/>
    <x v="2"/>
    <s v="Cleaners"/>
    <n v="1999"/>
    <n v="1099"/>
    <n v="5997"/>
    <n v="3297"/>
    <n v="2698.65"/>
    <n v="-2700"/>
    <n v="0.45"/>
    <n v="4"/>
    <n v="604"/>
    <s v="Ishan,Andrew Watson,Harvinder"/>
    <n v="3"/>
    <e v="#REF!"/>
    <e v="#REF!"/>
  </r>
  <r>
    <s v="B008YW8M0G"/>
    <s v="Bajaj DX-7 1000W Dry"/>
    <x v="35"/>
    <s v="DomeCameras"/>
    <n v="875"/>
    <n v="775"/>
    <n v="875"/>
    <n v="775"/>
    <n v="96.25"/>
    <n v="-100"/>
    <n v="0.11"/>
    <n v="4.2"/>
    <n v="46647"/>
    <s v="Phani Prasad"/>
    <n v="1"/>
    <e v="#REF!"/>
    <e v="#REF!"/>
  </r>
  <r>
    <s v="B097R3XH9R"/>
    <s v="Bajaj New Shakti Neo"/>
    <x v="36"/>
    <s v="ScreenProtectors"/>
    <n v="15270"/>
    <n v="6299"/>
    <n v="30540"/>
    <n v="12598"/>
    <n v="18018.599999999999"/>
    <n v="-17942"/>
    <n v="0.59"/>
    <n v="4.0999999999999996"/>
    <n v="3233"/>
    <s v="Ram Avtar,Ishani"/>
    <n v="2"/>
    <e v="#REF!"/>
    <e v="#REF!"/>
  </r>
  <r>
    <s v="B08TM71L54"/>
    <s v="PHILIPS Handheld Garment Steamer"/>
    <x v="27"/>
    <s v="Gamepads"/>
    <n v="4195"/>
    <n v="3190"/>
    <n v="8390"/>
    <n v="6380"/>
    <n v="2013.6"/>
    <n v="-2010"/>
    <n v="0.24"/>
    <n v="4"/>
    <n v="1282"/>
    <s v="SANDEEP BANNAJJI,Preeti"/>
    <n v="2"/>
    <e v="#REF!"/>
    <e v="#REF!"/>
  </r>
  <r>
    <s v="B0BPBXNQQT"/>
    <s v="Room Heater Warmer Wall-Outlet"/>
    <x v="24"/>
    <s v="Basic"/>
    <n v="1989"/>
    <n v="799"/>
    <n v="1989"/>
    <n v="799"/>
    <n v="1193.3999999999999"/>
    <n v="-1190"/>
    <n v="0.6"/>
    <n v="4.3"/>
    <n v="70"/>
    <s v="Rajiv Ranjan"/>
    <n v="1"/>
    <e v="#REF!"/>
    <e v="#REF!"/>
  </r>
  <r>
    <s v="B00W56GLOQ"/>
    <s v="Wonderchef Nutri-blend Mixer, Grinder"/>
    <x v="37"/>
    <m/>
    <n v="5000"/>
    <n v="2699"/>
    <n v="10000"/>
    <n v="5398"/>
    <n v="4600"/>
    <n v="-4602"/>
    <n v="0.46"/>
    <n v="4"/>
    <n v="26164"/>
    <s v="Abhilash Sengupta,Shweta"/>
    <n v="2"/>
    <e v="#REF!"/>
    <e v="#REF!"/>
  </r>
  <r>
    <s v="B0883KDSXC"/>
    <s v="USHA Armor AR1100WB 1100"/>
    <x v="38"/>
    <s v="PCMicrophones"/>
    <n v="990"/>
    <n v="599"/>
    <n v="4950"/>
    <n v="2995"/>
    <n v="1930.5"/>
    <n v="-1955"/>
    <n v="0.39"/>
    <n v="3.9"/>
    <n v="16166"/>
    <s v="Aravind,Akshay,Bhola,Shaik Ashif,yudhishtar"/>
    <n v="5"/>
    <e v="#REF!"/>
    <e v="#REF!"/>
  </r>
  <r>
    <s v="B078V8R9BS"/>
    <s v="Butterfly EKN 1.5-Litre Electric"/>
    <x v="8"/>
    <s v="OutdoorSpeakers"/>
    <n v="1111"/>
    <n v="749"/>
    <n v="5555"/>
    <n v="3745"/>
    <n v="1833.15"/>
    <n v="-1810"/>
    <n v="0.33"/>
    <n v="4.2"/>
    <n v="35693"/>
    <s v="ll,Vishal,Sheeba jayaraj,Anil,Amazon"/>
    <n v="5"/>
    <e v="#REF!"/>
    <e v="#REF!"/>
  </r>
  <r>
    <s v="B08GSQXLJ2"/>
    <s v="Crompton Arno Neo 15-L"/>
    <x v="14"/>
    <s v="Bags&amp;Sleeves"/>
    <n v="10400"/>
    <n v="6199"/>
    <n v="41600"/>
    <n v="24796"/>
    <n v="16640"/>
    <n v="-16804"/>
    <n v="0.4"/>
    <n v="4.0999999999999996"/>
    <n v="14391"/>
    <s v="Ocean,JD,SHIVAM SINGH,Kunal"/>
    <n v="4"/>
    <e v="#REF!"/>
    <e v="#REF!"/>
  </r>
  <r>
    <s v="B01M5B0TPW"/>
    <s v="Borosil Chef Delite BCH20DBB21"/>
    <x v="39"/>
    <m/>
    <n v="2490"/>
    <n v="1819"/>
    <n v="7470"/>
    <n v="5457"/>
    <n v="2016.9"/>
    <n v="-2013"/>
    <n v="0.27"/>
    <n v="4.4000000000000004"/>
    <n v="7946"/>
    <s v="hufriya kavarana,Manjula,Jood"/>
    <n v="3"/>
    <e v="#REF!"/>
    <e v="#REF!"/>
  </r>
  <r>
    <s v="B082KVTRW8"/>
    <s v="KENT 16055 Amaze Cool"/>
    <x v="0"/>
    <s v="Cables"/>
    <n v="1900"/>
    <n v="1199"/>
    <n v="5700"/>
    <n v="3597"/>
    <n v="2109"/>
    <n v="-2103"/>
    <n v="0.37"/>
    <n v="4"/>
    <n v="1765"/>
    <s v="Madhuri Khanolkar,Chandan,Viveka"/>
    <n v="3"/>
    <e v="#REF!"/>
    <e v="#REF!"/>
  </r>
  <r>
    <s v="B08CFJBZRK"/>
    <s v="Prestige IRIS Plus 750"/>
    <x v="40"/>
    <m/>
    <n v="6295"/>
    <n v="3249"/>
    <n v="12590"/>
    <n v="6498"/>
    <n v="6043.2"/>
    <n v="-6092"/>
    <n v="0.48"/>
    <n v="3.8"/>
    <n v="14062"/>
    <s v="Amazon Customer,Priyanka"/>
    <n v="2"/>
    <e v="#REF!"/>
    <e v="#REF!"/>
  </r>
  <r>
    <s v="B07H3WDC4X"/>
    <s v="Simxen Egg Boiler Electric"/>
    <x v="41"/>
    <m/>
    <n v="999"/>
    <n v="349"/>
    <n v="5994"/>
    <n v="2094"/>
    <n v="3896.1000000000004"/>
    <n v="-3900"/>
    <n v="0.65"/>
    <n v="4"/>
    <n v="15646"/>
    <s v="Atharva kambale,Ashitosh,thegoofyblock,rajan,tej@,Venkat"/>
    <n v="6"/>
    <e v="#REF!"/>
    <e v="#REF!"/>
  </r>
  <r>
    <s v="B09ZTZ9N3Q"/>
    <s v="Amazon Basics 2000/1000 Watt"/>
    <x v="42"/>
    <m/>
    <n v="1699"/>
    <n v="1049"/>
    <n v="3398"/>
    <n v="2098"/>
    <n v="1291.24"/>
    <n v="-1300"/>
    <n v="0.38"/>
    <n v="3.1"/>
    <n v="111"/>
    <s v="Kulsoom Hussain,Hanamant"/>
    <n v="2"/>
    <e v="#REF!"/>
    <e v="#REF!"/>
  </r>
  <r>
    <s v="B083P71WKK"/>
    <s v="HealthSense Weight Machine for"/>
    <x v="12"/>
    <s v="SecureDigitalCards"/>
    <n v="1500"/>
    <n v="799"/>
    <n v="3000"/>
    <n v="1598"/>
    <n v="1410"/>
    <n v="-1402"/>
    <n v="0.47"/>
    <n v="4.3"/>
    <n v="9695"/>
    <s v="SELVA velayutham,Mohamed"/>
    <n v="2"/>
    <e v="#REF!"/>
    <e v="#REF!"/>
  </r>
  <r>
    <s v="B097R4D42G"/>
    <s v="Bajaj New Shakti Neo"/>
    <x v="10"/>
    <s v="Photo&amp;VideoAccessories"/>
    <n v="9650"/>
    <n v="4999"/>
    <n v="38600"/>
    <n v="19996"/>
    <n v="18528"/>
    <n v="-18604"/>
    <n v="0.48"/>
    <n v="4.2"/>
    <n v="1772"/>
    <s v="alok tripathi,Aakash,Pankaj,Debjyoti"/>
    <n v="4"/>
    <e v="#REF!"/>
    <e v="#REF!"/>
  </r>
  <r>
    <s v="B07MKMFKPG"/>
    <s v="Bosch Pro 1000W Mixer"/>
    <x v="38"/>
    <s v="Webcams&amp;VoIPEquipment"/>
    <n v="10590"/>
    <n v="6999"/>
    <n v="52950"/>
    <n v="34995"/>
    <n v="18003"/>
    <n v="-17955"/>
    <n v="0.34"/>
    <n v="4.4000000000000004"/>
    <n v="11499"/>
    <s v="ZenGirl,Athulya,Shrinivas C.,Sinduja,Bibek"/>
    <n v="5"/>
    <e v="#REF!"/>
    <e v="#REF!"/>
  </r>
  <r>
    <s v="B0949FPSFY"/>
    <s v="Bulfyss Stainless Steel Digital"/>
    <x v="14"/>
    <s v="CoolingPads"/>
    <n v="1999"/>
    <n v="799"/>
    <n v="7996"/>
    <n v="3196"/>
    <n v="4797.5999999999995"/>
    <n v="-4800"/>
    <n v="0.6"/>
    <n v="4.0999999999999996"/>
    <n v="2162"/>
    <s v="Prashant,Shailesh Rege,Robert,Amazon"/>
    <n v="4"/>
    <e v="#REF!"/>
    <e v="#REF!"/>
  </r>
  <r>
    <s v="B08F47T4X5"/>
    <s v="VR 18 Pcs -"/>
    <x v="14"/>
    <m/>
    <n v="89"/>
    <n v="89"/>
    <n v="267"/>
    <n v="267"/>
    <n v="0"/>
    <n v="0"/>
    <n v="0"/>
    <n v="4.2"/>
    <n v="19621"/>
    <s v="Prathiba R,Aishwarya,Jeevan"/>
    <n v="3"/>
    <e v="#REF!"/>
    <e v="#REF!"/>
  </r>
  <r>
    <s v="B01M0505SJ"/>
    <s v="Orient Electric Apex-FX 1200mm"/>
    <x v="36"/>
    <s v="Stands"/>
    <n v="2485"/>
    <n v="1400"/>
    <n v="2485"/>
    <n v="1400"/>
    <n v="1093.4000000000001"/>
    <n v="-1085"/>
    <n v="0.44"/>
    <n v="4.0999999999999996"/>
    <n v="19998"/>
    <s v="Md amzad"/>
    <n v="1"/>
    <e v="#REF!"/>
    <e v="#REF!"/>
  </r>
  <r>
    <s v="B08D6RCM3Q"/>
    <s v="PrettyKrafts Folding Laundry Basket"/>
    <x v="43"/>
    <m/>
    <n v="899"/>
    <n v="355"/>
    <n v="1798"/>
    <n v="710"/>
    <n v="1096.78"/>
    <n v="-1088"/>
    <n v="0.61"/>
    <n v="4.0999999999999996"/>
    <n v="1051"/>
    <s v="Ananya,Pooja Raj"/>
    <n v="2"/>
    <e v="#REF!"/>
    <e v="#REF!"/>
  </r>
  <r>
    <s v="B009P2LITG"/>
    <s v="Bajaj Majesty RX11 2000"/>
    <x v="20"/>
    <s v="Copy&amp;PrintingPaper"/>
    <n v="3279"/>
    <n v="2169"/>
    <n v="6558"/>
    <n v="4338"/>
    <n v="2229.7200000000003"/>
    <n v="-2220"/>
    <n v="0.34"/>
    <n v="4.0999999999999996"/>
    <n v="1716"/>
    <s v="Sathish Kumar,Babu"/>
    <n v="2"/>
    <e v="#REF!"/>
    <e v="#REF!"/>
  </r>
  <r>
    <s v="B00V9NHDI4"/>
    <s v="Eureka Forbes Trendy Zip"/>
    <x v="44"/>
    <m/>
    <n v="3799"/>
    <n v="2799"/>
    <n v="11397"/>
    <n v="8397"/>
    <n v="2963.2200000000003"/>
    <n v="-3000"/>
    <n v="0.26"/>
    <n v="3.9"/>
    <n v="32931"/>
    <s v="vaneesha,Priyabrata Mallick,Parag"/>
    <n v="3"/>
    <e v="#REF!"/>
    <e v="#REF!"/>
  </r>
  <r>
    <s v="B07WGPBXY9"/>
    <s v="Pigeon by Stovekraft Quartz"/>
    <x v="8"/>
    <s v="MultimediaSpeakerSystems"/>
    <n v="1249"/>
    <n v="899"/>
    <n v="2498"/>
    <n v="1798"/>
    <n v="699.44"/>
    <n v="-700"/>
    <n v="0.28000000000000003"/>
    <n v="3.9"/>
    <n v="17424"/>
    <s v="Robin,Manish Kumar"/>
    <n v="2"/>
    <e v="#REF!"/>
    <e v="#REF!"/>
  </r>
  <r>
    <s v="B00KRCBA6E"/>
    <s v="Maharaja Whiteline Lava Neo"/>
    <x v="45"/>
    <m/>
    <n v="5000"/>
    <n v="2499"/>
    <n v="15000"/>
    <n v="7497"/>
    <n v="7500"/>
    <n v="-7503"/>
    <n v="0.5"/>
    <n v="3.8"/>
    <n v="1889"/>
    <s v="SURAJ VERMA,VRK,Anil"/>
    <n v="3"/>
    <e v="#REF!"/>
    <e v="#REF!"/>
  </r>
  <r>
    <s v="B0B3X2BY3M"/>
    <s v="Crompton Gracee 5-L Instant"/>
    <x v="14"/>
    <s v="LaptopChargers&amp;PowerSupplies"/>
    <n v="7299"/>
    <n v="3599"/>
    <n v="14598"/>
    <n v="7198"/>
    <n v="7444.9800000000005"/>
    <n v="-7400"/>
    <n v="0.51"/>
    <n v="4"/>
    <n v="10324"/>
    <s v="Vicky sahu,Abhay"/>
    <n v="2"/>
    <e v="#REF!"/>
    <e v="#REF!"/>
  </r>
  <r>
    <s v="B00F159RIK"/>
    <s v="Bajaj DX-2 600W Dry"/>
    <x v="38"/>
    <s v="PCSpeakers"/>
    <n v="625"/>
    <n v="499"/>
    <n v="1250"/>
    <n v="998"/>
    <n v="250"/>
    <n v="-252"/>
    <n v="0.2"/>
    <n v="4.2"/>
    <n v="5355"/>
    <s v="Deepak Kumar,Abhishesh"/>
    <n v="2"/>
    <e v="#REF!"/>
    <e v="#REF!"/>
  </r>
  <r>
    <s v="B08MV82R99"/>
    <s v="Bajaj Waterproof 1500 Watts"/>
    <x v="2"/>
    <s v="Batteries&amp;Chargers"/>
    <n v="1020"/>
    <n v="653"/>
    <n v="2040"/>
    <n v="1306"/>
    <n v="734.4"/>
    <n v="-734"/>
    <n v="0.36"/>
    <n v="4.0999999999999996"/>
    <n v="3366"/>
    <s v="Vivek Koushik,Dilavar"/>
    <n v="2"/>
    <e v="#REF!"/>
    <e v="#REF!"/>
  </r>
  <r>
    <s v="B09VKWGZD7"/>
    <s v="AGARO Supreme High Pressure"/>
    <x v="36"/>
    <s v="Bags,Cases&amp;Sleeves"/>
    <n v="8990"/>
    <n v="4789"/>
    <n v="17980"/>
    <n v="9578"/>
    <n v="8450.6"/>
    <n v="-8402"/>
    <n v="0.47"/>
    <n v="4.3"/>
    <n v="1017"/>
    <s v="Vikas Singh,Muhamed"/>
    <n v="2"/>
    <e v="#REF!"/>
    <e v="#REF!"/>
  </r>
  <r>
    <s v="B009P2LK80"/>
    <s v="Bajaj Deluxe 2000 Watts"/>
    <x v="46"/>
    <s v="DrawingMedia"/>
    <n v="1639"/>
    <n v="1409"/>
    <n v="3278"/>
    <n v="2818"/>
    <n v="458.92"/>
    <n v="-460"/>
    <n v="0.14000000000000001"/>
    <n v="3.7"/>
    <n v="787"/>
    <s v="Samrat Singh,Raushan"/>
    <n v="2"/>
    <e v="#REF!"/>
    <e v="#REF!"/>
  </r>
  <r>
    <s v="B00A7PLVU6"/>
    <s v="Orpat HHB-100E WOB 250-Watt"/>
    <x v="47"/>
    <m/>
    <n v="899"/>
    <n v="753"/>
    <n v="2697"/>
    <n v="2259"/>
    <n v="431.52"/>
    <n v="-438"/>
    <n v="0.16"/>
    <n v="4.2"/>
    <n v="18462"/>
    <s v="Monika kochhar,Mr.,Amazon"/>
    <n v="3"/>
    <e v="#REF!"/>
    <e v="#REF!"/>
  </r>
  <r>
    <s v="B0B25DJ352"/>
    <s v="GILTON Egg Boiler Electric"/>
    <x v="48"/>
    <m/>
    <n v="1199"/>
    <n v="353"/>
    <n v="2398"/>
    <n v="706"/>
    <n v="1702.58"/>
    <n v="-1692"/>
    <n v="0.71"/>
    <n v="4.3"/>
    <n v="629"/>
    <s v="Sneha W.,M"/>
    <n v="2"/>
    <e v="#REF!"/>
    <e v="#REF!"/>
  </r>
  <r>
    <s v="B013B2WGT6"/>
    <s v="HealthSense Chef-Mate KS 33"/>
    <x v="46"/>
    <s v="DrawingMedia"/>
    <n v="1899"/>
    <n v="1099"/>
    <n v="5697"/>
    <n v="3297"/>
    <n v="2392.7399999999998"/>
    <n v="-2400"/>
    <n v="0.42"/>
    <n v="4.3"/>
    <n v="15276"/>
    <s v="Aditi,Minnaz Rehman,Sourabh"/>
    <n v="3"/>
    <e v="#REF!"/>
    <e v="#REF!"/>
  </r>
  <r>
    <s v="B097RJ867P"/>
    <s v="PHILIPS Digital Air Fryer"/>
    <x v="0"/>
    <s v="Cables"/>
    <n v="11595"/>
    <n v="8799"/>
    <n v="34785"/>
    <n v="26397"/>
    <n v="8348.4"/>
    <n v="-8388"/>
    <n v="0.24"/>
    <n v="4.4000000000000004"/>
    <n v="2981"/>
    <s v="Balaji,Parag Parashar,N"/>
    <n v="3"/>
    <e v="#REF!"/>
    <e v="#REF!"/>
  </r>
  <r>
    <s v="B091V8HK8Z"/>
    <s v="Milton Go Electro 2.0"/>
    <x v="38"/>
    <s v="PCHeadsets"/>
    <n v="1750"/>
    <n v="1345"/>
    <n v="3500"/>
    <n v="2690"/>
    <n v="805"/>
    <n v="-810"/>
    <n v="0.23"/>
    <n v="3.8"/>
    <n v="2466"/>
    <s v="Raunak Kumar,Shubham"/>
    <n v="2"/>
    <e v="#REF!"/>
    <e v="#REF!"/>
  </r>
  <r>
    <s v="B071VNHMX2"/>
    <s v="Philips Daily Collection HD2582/00"/>
    <x v="27"/>
    <s v="GamingKeyboards"/>
    <n v="2095"/>
    <n v="2095"/>
    <n v="8380"/>
    <n v="8380"/>
    <n v="0"/>
    <n v="0"/>
    <n v="0"/>
    <n v="4.5"/>
    <n v="7949"/>
    <s v="Joydeep Bhattacharjee,Harsha,Arun,Monotosh"/>
    <n v="4"/>
    <e v="#REF!"/>
    <e v="#REF!"/>
  </r>
  <r>
    <s v="B08MVSGXMY"/>
    <s v="Crompton Insta Comfy 800"/>
    <x v="8"/>
    <s v="SoundbarSpeakers"/>
    <n v="2300"/>
    <n v="1498"/>
    <n v="4600"/>
    <n v="2996"/>
    <n v="1610"/>
    <n v="-1604"/>
    <n v="0.35"/>
    <n v="3.8"/>
    <n v="95"/>
    <s v="ARCHANA SINGH,Devendra"/>
    <n v="2"/>
    <e v="#REF!"/>
    <e v="#REF!"/>
  </r>
  <r>
    <s v="B00H0B29DI"/>
    <s v="USHA Heat Convector 812"/>
    <x v="49"/>
    <m/>
    <n v="2990"/>
    <n v="2199"/>
    <n v="8970"/>
    <n v="6597"/>
    <n v="2332.1999999999998"/>
    <n v="-2373"/>
    <n v="0.26"/>
    <n v="3.8"/>
    <n v="1558"/>
    <s v="Bala J,Devasish,PRASAD"/>
    <n v="3"/>
    <e v="#REF!"/>
    <e v="#REF!"/>
  </r>
  <r>
    <s v="B01GZSQJPA"/>
    <s v="Philips HL7756/00 Mixer Grinder,"/>
    <x v="48"/>
    <s v="InkjetPrinters"/>
    <n v="4295"/>
    <n v="3699"/>
    <n v="8590"/>
    <n v="7398"/>
    <n v="1202.6000000000001"/>
    <n v="-1192"/>
    <n v="0.14000000000000001"/>
    <n v="4.0999999999999996"/>
    <n v="26543"/>
    <s v="TK Saha,Rajappa"/>
    <n v="2"/>
    <e v="#REF!"/>
    <e v="#REF!"/>
  </r>
  <r>
    <s v="B08VGFX2B6"/>
    <s v="Kuber Industries Waterproof Round"/>
    <x v="50"/>
    <s v="ColouringPens&amp;Markers"/>
    <n v="199"/>
    <n v="177"/>
    <n v="995"/>
    <n v="885"/>
    <n v="109.45"/>
    <n v="-110"/>
    <n v="0.11"/>
    <n v="4.0999999999999996"/>
    <n v="3688"/>
    <s v="niket,Priyasree,Ashwani Agarwal,utkarsh,rajani"/>
    <n v="5"/>
    <e v="#REF!"/>
    <e v="#REF!"/>
  </r>
  <r>
    <s v="B09GYBZPHF"/>
    <s v="Lifelong LLMG93 500 Watt"/>
    <x v="27"/>
    <s v="Headsets"/>
    <n v="2499"/>
    <n v="1149"/>
    <n v="4998"/>
    <n v="2298"/>
    <n v="2698.92"/>
    <n v="-2700"/>
    <n v="0.54"/>
    <n v="3.8"/>
    <n v="4383"/>
    <s v="ruhi a.,Kashish"/>
    <n v="2"/>
    <e v="#REF!"/>
    <e v="#REF!"/>
  </r>
  <r>
    <s v="B0B4KPCBSH"/>
    <s v="IKEA Frother for Milk"/>
    <x v="51"/>
    <m/>
    <n v="499"/>
    <n v="244"/>
    <n v="1497"/>
    <n v="732"/>
    <n v="763.47"/>
    <n v="-765"/>
    <n v="0.51"/>
    <n v="3.3"/>
    <n v="478"/>
    <s v="Rohit,Panchami Menon,swati"/>
    <n v="3"/>
    <e v="#REF!"/>
    <e v="#REF!"/>
  </r>
  <r>
    <s v="B09CGLY5CX"/>
    <s v="Crompton Insta Comfort Heater"/>
    <x v="1"/>
    <s v="PowerLANAdapters"/>
    <n v="2400"/>
    <n v="1959"/>
    <n v="4800"/>
    <n v="3918"/>
    <n v="864"/>
    <n v="-882"/>
    <n v="0.18"/>
    <n v="4"/>
    <n v="237"/>
    <s v="NARENDRA A.,Utsha"/>
    <n v="2"/>
    <e v="#REF!"/>
    <e v="#REF!"/>
  </r>
  <r>
    <s v="B09JN37WBX"/>
    <s v="Lint Remover Woolen Clothes"/>
    <x v="26"/>
    <s v="InkjetInkRefills&amp;Kits"/>
    <n v="749"/>
    <n v="319"/>
    <n v="1498"/>
    <n v="638"/>
    <n v="853.8599999999999"/>
    <n v="-860"/>
    <n v="0.56999999999999995"/>
    <n v="4.5999999999999996"/>
    <n v="124"/>
    <s v="Kewal k.,SANCHIT"/>
    <n v="2"/>
    <e v="#REF!"/>
    <e v="#REF!"/>
  </r>
  <r>
    <s v="B01I1LDZGA"/>
    <s v="Pigeon Kessel Multipurpose Kettle"/>
    <x v="2"/>
    <s v="PhotoStudio&amp;Lighting"/>
    <n v="1775"/>
    <n v="1499"/>
    <n v="5325"/>
    <n v="4497"/>
    <n v="852"/>
    <n v="-828"/>
    <n v="0.16"/>
    <n v="3.9"/>
    <n v="14667"/>
    <s v="Jyoti Dwivedi,Malav,Amazon"/>
    <n v="3"/>
    <e v="#REF!"/>
    <e v="#REF!"/>
  </r>
  <r>
    <s v="B0BN2576GQ"/>
    <s v="C"/>
    <x v="24"/>
    <s v="Financial&amp;Business"/>
    <n v="1599"/>
    <n v="469"/>
    <n v="3198"/>
    <n v="938"/>
    <n v="2270.58"/>
    <n v="-2260"/>
    <n v="0.71"/>
    <n v="3.7"/>
    <n v="6"/>
    <s v="Anjali,Zafirah k."/>
    <n v="2"/>
    <e v="#REF!"/>
    <e v="#REF!"/>
  </r>
  <r>
    <s v="B06XPYRWV5"/>
    <s v="Pigeon by Stovekraft 2"/>
    <x v="52"/>
    <m/>
    <n v="1795"/>
    <n v="1099"/>
    <n v="3590"/>
    <n v="2198"/>
    <n v="1400.1000000000001"/>
    <n v="-1392"/>
    <n v="0.39"/>
    <n v="4.2"/>
    <n v="4244"/>
    <s v="Partha Sen,Pooja"/>
    <n v="2"/>
    <e v="#REF!"/>
    <e v="#REF!"/>
  </r>
  <r>
    <s v="B01N1XVVLC"/>
    <s v="Bajaj OFR Room Heater,"/>
    <x v="31"/>
    <m/>
    <n v="15999"/>
    <n v="9590"/>
    <n v="47997"/>
    <n v="28770"/>
    <n v="19198.800000000003"/>
    <n v="-19227"/>
    <n v="0.4"/>
    <n v="4.0999999999999996"/>
    <n v="1017"/>
    <s v="Annonymous,Sudhanshu Shekhar,Manish"/>
    <n v="3"/>
    <e v="#REF!"/>
    <e v="#REF!"/>
  </r>
  <r>
    <s v="B00O2R38C4"/>
    <s v="Luminous Vento Deluxe 150"/>
    <x v="53"/>
    <m/>
    <n v="1490"/>
    <n v="999"/>
    <n v="1490"/>
    <n v="999"/>
    <n v="491.70000000000005"/>
    <n v="-491"/>
    <n v="0.33"/>
    <n v="4.0999999999999996"/>
    <n v="12999"/>
    <s v="Aam Adami"/>
    <n v="1"/>
    <e v="#REF!"/>
    <e v="#REF!"/>
  </r>
  <r>
    <s v="B0B2CZTCL2"/>
    <s v="Wipro Vesta 1.8 litre"/>
    <x v="28"/>
    <m/>
    <n v="1999"/>
    <n v="1299"/>
    <n v="7996"/>
    <n v="5196"/>
    <n v="2798.6"/>
    <n v="-2800"/>
    <n v="0.35"/>
    <n v="3.8"/>
    <n v="311"/>
    <s v="Soorya,naveen,lexia Jacob,Nisha"/>
    <n v="4"/>
    <e v="#REF!"/>
    <e v="#REF!"/>
  </r>
  <r>
    <s v="B00PVT30YI"/>
    <s v="Kitchen Mart Stainless Steel"/>
    <x v="26"/>
    <s v="TonerCartridges"/>
    <n v="499"/>
    <n v="292"/>
    <n v="998"/>
    <n v="584"/>
    <n v="409.17999999999995"/>
    <n v="-414"/>
    <n v="0.41"/>
    <n v="4.0999999999999996"/>
    <n v="4238"/>
    <s v="Amazon Customer,meena"/>
    <n v="2"/>
    <e v="#REF!"/>
    <e v="#REF!"/>
  </r>
  <r>
    <s v="B00SH18114"/>
    <s v="Ikea 903.391.72 Polypropylene Plastic"/>
    <x v="54"/>
    <s v="Caddies"/>
    <n v="299"/>
    <n v="160"/>
    <n v="299"/>
    <n v="160"/>
    <n v="137.54"/>
    <n v="-139"/>
    <n v="0.46"/>
    <n v="4.5999999999999996"/>
    <n v="2781"/>
    <s v="Dr. Balasubramanian"/>
    <n v="1"/>
    <e v="#REF!"/>
    <e v="#REF!"/>
  </r>
  <r>
    <s v="B00E9G8KOY"/>
    <s v="HUL Pureit Germkill kit"/>
    <x v="55"/>
    <m/>
    <n v="600"/>
    <n v="600"/>
    <n v="1200"/>
    <n v="1200"/>
    <n v="0"/>
    <n v="0"/>
    <n v="0"/>
    <n v="4.0999999999999996"/>
    <n v="10907"/>
    <s v="Abha Rani,V"/>
    <n v="2"/>
    <e v="#REF!"/>
    <e v="#REF!"/>
  </r>
  <r>
    <s v="B00H3H03Q4"/>
    <s v="HUL Pureit Germkill kit"/>
    <x v="56"/>
    <s v="Kettles&amp;HotWaterDispensers"/>
    <n v="1130"/>
    <n v="1130"/>
    <n v="2260"/>
    <n v="2260"/>
    <n v="0"/>
    <n v="0"/>
    <n v="0"/>
    <n v="4.2"/>
    <n v="13250"/>
    <s v="Suryaranjan S.,Gaurav"/>
    <n v="2"/>
    <e v="#REF!"/>
    <e v="#REF!"/>
  </r>
  <r>
    <s v="B0756K5DYZ"/>
    <s v="Prestige Iris 750 Watt"/>
    <x v="57"/>
    <s v="ElectricHeaters"/>
    <n v="6295"/>
    <n v="3249"/>
    <n v="50360"/>
    <n v="25992"/>
    <n v="24172.799999999999"/>
    <n v="-24368"/>
    <n v="0.48"/>
    <n v="3.9"/>
    <n v="43070"/>
    <s v="Prabhat,Chandrika,Pramesh969,Prity,Amit Kumar,Rao,Sreekanth,SRIKRISHNA"/>
    <n v="8"/>
    <e v="#REF!"/>
    <e v="#REF!"/>
  </r>
  <r>
    <s v="B0188KPKB2"/>
    <s v="Preethi Blue Leaf Diamond"/>
    <x v="57"/>
    <s v="FanHeaters"/>
    <n v="9455"/>
    <n v="3599"/>
    <n v="75640"/>
    <n v="28792"/>
    <n v="46896.800000000003"/>
    <n v="-46848"/>
    <n v="0.62"/>
    <n v="4.0999999999999996"/>
    <n v="11828"/>
    <s v="Tan,Ramesh,Ramkumar,kavithava,Srinivasan Nk,RAMANJANEYULU,Parikshith,ARAVINTH"/>
    <n v="8"/>
    <e v="#REF!"/>
    <e v="#REF!"/>
  </r>
  <r>
    <s v="B091KNVNS9"/>
    <s v="Themisto 350 Watts Egg"/>
    <x v="58"/>
    <s v="Irons,Steamers&amp;Accessories"/>
    <n v="699"/>
    <n v="368"/>
    <n v="1398"/>
    <n v="736"/>
    <n v="657.06"/>
    <n v="-662"/>
    <n v="0.47"/>
    <n v="4.0999999999999996"/>
    <n v="1240"/>
    <s v="Ekambaram,Gaurav K"/>
    <n v="2"/>
    <e v="#REF!"/>
    <e v="#REF!"/>
  </r>
  <r>
    <s v="B075JJ5NQC"/>
    <s v="Butterfly Smart Mixer Grinder,"/>
    <x v="56"/>
    <s v="DigitalKitchenScales"/>
    <n v="4999"/>
    <n v="3199"/>
    <n v="9998"/>
    <n v="6398"/>
    <n v="3599.2799999999997"/>
    <n v="-3600"/>
    <n v="0.36"/>
    <n v="4"/>
    <n v="20869"/>
    <s v="K Ramesh,MCS"/>
    <n v="2"/>
    <e v="#REF!"/>
    <e v="#REF!"/>
  </r>
  <r>
    <s v="B0B5KZ3C53"/>
    <s v="KENT Smart Multi Cooker"/>
    <x v="59"/>
    <s v="ManualChoppers&amp;Chippers"/>
    <n v="2900"/>
    <n v="1599"/>
    <n v="8700"/>
    <n v="4797"/>
    <n v="3915"/>
    <n v="-3903"/>
    <n v="0.45"/>
    <n v="3.7"/>
    <n v="441"/>
    <s v="manisha,Suryakant,Uttam Kumar"/>
    <n v="3"/>
    <e v="#REF!"/>
    <e v="#REF!"/>
  </r>
  <r>
    <s v="B09NTHQRW3"/>
    <s v="InstaCuppa Portable Blender for"/>
    <x v="56"/>
    <s v="InductionCooktop"/>
    <n v="2499"/>
    <n v="1999"/>
    <n v="7497"/>
    <n v="5997"/>
    <n v="1499.4"/>
    <n v="-1500"/>
    <n v="0.2"/>
    <n v="4.0999999999999996"/>
    <n v="1034"/>
    <s v="MEWT,Amazon Customer,Pratibha"/>
    <n v="3"/>
    <e v="#REF!"/>
    <e v="#REF!"/>
  </r>
  <r>
    <s v="B008YW3CYM"/>
    <s v="USHA EI 1602 1000"/>
    <x v="56"/>
    <s v="HandBlenders"/>
    <n v="1190"/>
    <n v="616"/>
    <n v="2380"/>
    <n v="1232"/>
    <n v="1142.3999999999999"/>
    <n v="-1148"/>
    <n v="0.48"/>
    <n v="4.0999999999999996"/>
    <n v="37126"/>
    <s v="Rohit Dudeja,Md"/>
    <n v="2"/>
    <e v="#REF!"/>
    <e v="#REF!"/>
  </r>
  <r>
    <s v="B07QHHCB27"/>
    <s v="KENT 16044 Hand Blender"/>
    <x v="58"/>
    <s v="Irons,Steamers&amp;Accessories"/>
    <n v="2100"/>
    <n v="1499"/>
    <n v="4200"/>
    <n v="2998"/>
    <n v="1218"/>
    <n v="-1202"/>
    <n v="0.28999999999999998"/>
    <n v="4.0999999999999996"/>
    <n v="6355"/>
    <s v="Pooja,Mahaaveer Refrigeration"/>
    <n v="2"/>
    <e v="#REF!"/>
    <e v="#REF!"/>
  </r>
  <r>
    <s v="B0BMFD94VD"/>
    <s v="White Feather Portable Heat"/>
    <x v="56"/>
    <s v="MixerGrinders"/>
    <n v="499"/>
    <n v="199"/>
    <n v="998"/>
    <n v="398"/>
    <n v="598.79999999999995"/>
    <n v="-600"/>
    <n v="0.6"/>
    <n v="3.3"/>
    <n v="12"/>
    <s v="Raj Patel,Malvika"/>
    <n v="2"/>
    <e v="#REF!"/>
    <e v="#REF!"/>
  </r>
  <r>
    <s v="B00HZIOGXW"/>
    <s v="Crompton IHL 152 1500-Watt"/>
    <x v="60"/>
    <s v="InstantWaterHeaters"/>
    <n v="825"/>
    <n v="610"/>
    <n v="6600"/>
    <n v="4880"/>
    <n v="1716"/>
    <n v="-1720"/>
    <n v="0.26"/>
    <n v="4.0999999999999996"/>
    <n v="13165"/>
    <s v="Ashish,Veni,subbarao,srinivaas kandula,Karthik,venugopal,Swapnil,Dhinesh"/>
    <n v="8"/>
    <e v="#REF!"/>
    <e v="#REF!"/>
  </r>
  <r>
    <s v="B09CKSYBLR"/>
    <s v="InstaCuppa Rechargeable Mini Electric"/>
    <x v="57"/>
    <m/>
    <n v="1499"/>
    <n v="999"/>
    <n v="8994"/>
    <n v="5994"/>
    <n v="2968.02"/>
    <n v="-3000"/>
    <n v="0.33"/>
    <n v="4.0999999999999996"/>
    <n v="1646"/>
    <s v="Priyanka Das,Rohini,ArunKumar,Jayanth,Sk,Avinash"/>
    <n v="6"/>
    <e v="#REF!"/>
    <e v="#REF!"/>
  </r>
  <r>
    <s v="B072J83V9W"/>
    <s v="Philips PowerPro FC9352/01 Compact"/>
    <x v="56"/>
    <s v="Kettles&amp;HotWaterDispensers"/>
    <n v="9995"/>
    <n v="8999"/>
    <n v="9995"/>
    <n v="8999"/>
    <n v="999.5"/>
    <n v="-996"/>
    <n v="0.1"/>
    <n v="4.4000000000000004"/>
    <n v="17994"/>
    <s v="âš¡ Pushpendra"/>
    <n v="1"/>
    <e v="#REF!"/>
    <e v="#REF!"/>
  </r>
  <r>
    <s v="B09MTLG4TP"/>
    <s v="SAIELLIN Electric Lint Remover"/>
    <x v="60"/>
    <s v="StorageWaterHeaters"/>
    <n v="999"/>
    <n v="453"/>
    <n v="999"/>
    <n v="453"/>
    <n v="549.45000000000005"/>
    <n v="-546"/>
    <n v="0.55000000000000004"/>
    <n v="4.3"/>
    <n v="610"/>
    <s v="Shiv Kumar"/>
    <n v="1"/>
    <e v="#REF!"/>
    <e v="#REF!"/>
  </r>
  <r>
    <s v="B097XJQZ8H"/>
    <s v="Cookwell Bullet Mixer Grinder"/>
    <x v="60"/>
    <s v="ImmersionRods"/>
    <n v="6000"/>
    <n v="2464"/>
    <n v="12000"/>
    <n v="4928"/>
    <n v="7080"/>
    <n v="-7072"/>
    <n v="0.59"/>
    <n v="4.0999999999999996"/>
    <n v="8866"/>
    <s v="gowtham saran,Nanu"/>
    <n v="2"/>
    <e v="#REF!"/>
    <e v="#REF!"/>
  </r>
  <r>
    <s v="B00935MD1C"/>
    <s v="Prestige PRWO 1.8-2 700-Watts"/>
    <x v="56"/>
    <s v="DeepFatFryers"/>
    <n v="3945"/>
    <n v="2719"/>
    <n v="11835"/>
    <n v="8157"/>
    <n v="3668.8500000000004"/>
    <n v="-3678"/>
    <n v="0.31"/>
    <n v="3.7"/>
    <n v="13406"/>
    <s v="Rakesh,revathireddy,Pyarasani Sai"/>
    <n v="3"/>
    <e v="#REF!"/>
    <e v="#REF!"/>
  </r>
  <r>
    <s v="B0BR4F878Q"/>
    <s v="Swiffer Instant Electric Water"/>
    <x v="61"/>
    <s v="LaundryBaskets"/>
    <n v="1999"/>
    <n v="1439"/>
    <n v="3998"/>
    <n v="2878"/>
    <n v="1119.44"/>
    <n v="-1120"/>
    <n v="0.28000000000000003"/>
    <n v="4.8"/>
    <n v="53803"/>
    <s v="Yogita g.,Amazon"/>
    <n v="2"/>
    <e v="#REF!"/>
    <e v="#REF!"/>
  </r>
  <r>
    <s v="B0B3G5XZN5"/>
    <s v="InstaCuppa Portable Blender for"/>
    <x v="56"/>
    <s v="JuicerMixerGrinders"/>
    <n v="3499"/>
    <n v="2799"/>
    <n v="10497"/>
    <n v="8397"/>
    <n v="2099.4"/>
    <n v="-2100"/>
    <n v="0.2"/>
    <n v="4.5"/>
    <n v="546"/>
    <s v="santosh,Dhaya sekar,JS"/>
    <n v="3"/>
    <e v="#REF!"/>
    <e v="#REF!"/>
  </r>
  <r>
    <s v="B07WKB69RS"/>
    <s v="Lifelong LLWH106 Flash 3"/>
    <x v="58"/>
    <s v="Vacuums&amp;FloorCare"/>
    <n v="5550"/>
    <n v="2088"/>
    <n v="11100"/>
    <n v="4176"/>
    <n v="6882"/>
    <n v="-6924"/>
    <n v="0.62"/>
    <n v="4"/>
    <n v="5292"/>
    <s v="Shreya Saxena,Asish"/>
    <n v="2"/>
    <e v="#REF!"/>
    <e v="#REF!"/>
  </r>
  <r>
    <s v="B09DL9978Y"/>
    <s v="Hindware Atlantic Compacto 3"/>
    <x v="56"/>
    <s v="EggBoilers"/>
    <n v="4590"/>
    <n v="2399"/>
    <n v="9180"/>
    <n v="4798"/>
    <n v="4406.3999999999996"/>
    <n v="-4382"/>
    <n v="0.48"/>
    <n v="4.0999999999999996"/>
    <n v="444"/>
    <s v="Vikram Chesetty,SUBHENDU"/>
    <n v="2"/>
    <e v="#REF!"/>
    <e v="#REF!"/>
  </r>
  <r>
    <s v="B06XMZV7RH"/>
    <s v="ATOM Selves-MH 200 GM"/>
    <x v="56"/>
    <s v="SandwichMakers"/>
    <n v="499"/>
    <n v="308"/>
    <n v="3493"/>
    <n v="2156"/>
    <n v="1327.3400000000001"/>
    <n v="-1337"/>
    <n v="0.38"/>
    <n v="3.9"/>
    <n v="4584"/>
    <s v="kanwar Singh,Vipul,Bsanju,Chiranjeevi,S,Devang.Gadgil,Nilesh"/>
    <n v="7"/>
    <e v="#REF!"/>
    <e v="#REF!"/>
  </r>
  <r>
    <s v="B09WMTJPG7"/>
    <s v="Crompton InstaBliss 3-L Instant"/>
    <x v="56"/>
    <s v="MiniFoodProcessors&amp;Choppers"/>
    <n v="4400"/>
    <n v="2599"/>
    <n v="8800"/>
    <n v="5198"/>
    <n v="3608"/>
    <n v="-3602"/>
    <n v="0.41"/>
    <n v="4.0999999999999996"/>
    <n v="14947"/>
    <s v="Rahul,Calorie HNT"/>
    <n v="2"/>
    <e v="#REF!"/>
    <e v="#REF!"/>
  </r>
  <r>
    <s v="B09ZK6THRR"/>
    <s v="Croma 1100 W Dry"/>
    <x v="56"/>
    <s v="DigitalKitchenScales"/>
    <n v="1000"/>
    <n v="479"/>
    <n v="3000"/>
    <n v="1437"/>
    <n v="1560"/>
    <n v="-1563"/>
    <n v="0.52"/>
    <n v="4.2"/>
    <n v="1559"/>
    <s v="Rohan Bhosale,Shaileshmhatre,GIRISH"/>
    <n v="3"/>
    <e v="#REF!"/>
    <e v="#REF!"/>
  </r>
  <r>
    <s v="B07MP21WJD"/>
    <s v="Lint Roller with 40"/>
    <x v="56"/>
    <s v="VacuumSealers"/>
    <n v="299"/>
    <n v="245"/>
    <n v="897"/>
    <n v="735"/>
    <n v="161.46"/>
    <n v="-162"/>
    <n v="0.18"/>
    <n v="4.0999999999999996"/>
    <n v="1660"/>
    <s v="Durga Prasadu,Anindita,Amazon"/>
    <n v="3"/>
    <e v="#REF!"/>
    <e v="#REF!"/>
  </r>
  <r>
    <s v="B09XB1R2F3"/>
    <s v="Portable Lint Remover Pet"/>
    <x v="62"/>
    <s v="CeilingFans"/>
    <n v="799"/>
    <n v="179"/>
    <n v="2397"/>
    <n v="537"/>
    <n v="1869.66"/>
    <n v="-1860"/>
    <n v="0.78"/>
    <n v="3.5"/>
    <n v="132"/>
    <s v="Priya Tewari,Siddharth,Amazon"/>
    <n v="3"/>
    <e v="#REF!"/>
    <e v="#REF!"/>
  </r>
  <r>
    <s v="B08Y5QJXSR"/>
    <s v="atomberg Renesa 1200mm BLDC"/>
    <x v="58"/>
    <s v="PressureWashers,Steam&amp;WindowCleaners"/>
    <n v="5190"/>
    <n v="3569"/>
    <n v="10380"/>
    <n v="7138"/>
    <n v="3217.8"/>
    <n v="-3242"/>
    <n v="0.31"/>
    <n v="4.3"/>
    <n v="28629"/>
    <s v="Vayun,Vidhate Jitendra"/>
    <n v="2"/>
    <e v="#REF!"/>
    <e v="#REF!"/>
  </r>
  <r>
    <s v="B07WJXCTG9"/>
    <s v="Pigeon by Stovekraft Amaze"/>
    <x v="57"/>
    <s v="HalogenHeaters"/>
    <n v="1345"/>
    <n v="699"/>
    <n v="5380"/>
    <n v="2796"/>
    <n v="2582.4"/>
    <n v="-2584"/>
    <n v="0.48"/>
    <n v="3.9"/>
    <n v="8446"/>
    <s v="R.Ravinder,Tejinder,Santosh dixit,Raju"/>
    <n v="4"/>
    <e v="#REF!"/>
    <e v="#REF!"/>
  </r>
  <r>
    <s v="B09NBZ36F7"/>
    <s v="Usha CookJoy"/>
    <x v="56"/>
    <s v="Pop-upToasters"/>
    <n v="4000"/>
    <n v="2089"/>
    <n v="16000"/>
    <n v="8356"/>
    <n v="7680"/>
    <n v="-7644"/>
    <n v="0.48"/>
    <n v="4.2"/>
    <n v="11199"/>
    <s v="Smithil,Abhishek,Amit Sharma,Ram"/>
    <n v="4"/>
    <e v="#REF!"/>
    <e v="#REF!"/>
  </r>
  <r>
    <s v="B0912WJ87V"/>
    <s v="Reffair AX30 [MAX] Portable"/>
    <x v="57"/>
    <s v="HeatConvectors"/>
    <n v="4000"/>
    <n v="2339"/>
    <n v="16000"/>
    <n v="9356"/>
    <n v="6720"/>
    <n v="-6644"/>
    <n v="0.42"/>
    <n v="3.8"/>
    <n v="1118"/>
    <s v="Arivazhagan,Ajit,swanand pandit,Venkatesh"/>
    <n v="4"/>
    <e v="#REF!"/>
    <e v="#REF!"/>
  </r>
  <r>
    <s v="B0BMTZ4T1D"/>
    <s v="!!1000 Watt/2000-Watt Room Heater!!"/>
    <x v="63"/>
    <s v="CoffeeGrinders"/>
    <n v="1599"/>
    <n v="784"/>
    <n v="4797"/>
    <n v="2352"/>
    <n v="2446.4700000000003"/>
    <n v="-2445"/>
    <n v="0.51"/>
    <n v="4.5"/>
    <n v="11"/>
    <s v="Neha Gupta,Abhay,sumit"/>
    <n v="3"/>
    <e v="#REF!"/>
    <e v="#REF!"/>
  </r>
  <r>
    <s v="B07Z51CGGH"/>
    <s v="Eureka Forbes Wet &amp;"/>
    <x v="62"/>
    <s v="ExhaustFans"/>
    <n v="9999"/>
    <n v="5499"/>
    <n v="39996"/>
    <n v="21996"/>
    <n v="17998.2"/>
    <n v="-18000"/>
    <n v="0.45"/>
    <n v="3.8"/>
    <n v="4353"/>
    <s v="Samson,Manish T,SWAROOP,Gaurav"/>
    <n v="4"/>
    <e v="#REF!"/>
    <e v="#REF!"/>
  </r>
  <r>
    <s v="B0BDG6QDYD"/>
    <s v="Activa Heat-Max 2000 Watts"/>
    <x v="63"/>
    <s v="DripCoffeeMachines"/>
    <n v="1990"/>
    <n v="899"/>
    <n v="9950"/>
    <n v="4495"/>
    <n v="5472.5"/>
    <n v="-5455"/>
    <n v="0.55000000000000004"/>
    <n v="4.0999999999999996"/>
    <n v="185"/>
    <s v="SARAN,vandana,HEENA Shekhawat,ayush,Sanjoy"/>
    <n v="5"/>
    <e v="#REF!"/>
    <e v="#REF!"/>
  </r>
  <r>
    <s v="B00YQLG7GK"/>
    <s v="PHILIPS HL1655/00 Hand Blender,"/>
    <x v="64"/>
    <s v="WaterPurifierAccessories"/>
    <n v="1695"/>
    <n v="1695"/>
    <n v="5085"/>
    <n v="5085"/>
    <n v="0"/>
    <n v="0"/>
    <n v="0"/>
    <n v="4.2"/>
    <n v="14290"/>
    <s v="Swathi,Amazon Customer,Chethan"/>
    <n v="3"/>
    <e v="#REF!"/>
    <e v="#REF!"/>
  </r>
  <r>
    <s v="B00SMJPA9C"/>
    <s v="Bajaj DX-2 600W Dry"/>
    <x v="64"/>
    <s v="WaterCartridges"/>
    <n v="940"/>
    <n v="499"/>
    <n v="1880"/>
    <n v="998"/>
    <n v="883.59999999999991"/>
    <n v="-882"/>
    <n v="0.47"/>
    <n v="4.0999999999999996"/>
    <n v="3036"/>
    <s v="Akash,Girish y"/>
    <n v="2"/>
    <e v="#REF!"/>
    <e v="#REF!"/>
  </r>
  <r>
    <s v="B0B9RN5X8B"/>
    <s v="V-Guard Zio Instant Water"/>
    <x v="56"/>
    <s v="Rice&amp;PastaCookers"/>
    <n v="4700"/>
    <n v="2699"/>
    <n v="14100"/>
    <n v="8097"/>
    <n v="6063"/>
    <n v="-6003"/>
    <n v="0.43"/>
    <n v="4.2"/>
    <n v="1296"/>
    <s v="Vivek,Sai hari,Shekhar"/>
    <n v="3"/>
    <e v="#REF!"/>
    <e v="#REF!"/>
  </r>
  <r>
    <s v="B08QW937WV"/>
    <s v="Homeistic Applienceâ„¢ Instant Electric"/>
    <x v="65"/>
    <s v="AirPurifiers&amp;Ionizers"/>
    <n v="2999"/>
    <n v="1448"/>
    <n v="8997"/>
    <n v="4344"/>
    <n v="4678.4400000000005"/>
    <n v="-4653"/>
    <n v="0.52"/>
    <n v="4.5"/>
    <n v="19"/>
    <s v="tarun,RITUPARNA BANERJEE,Akshay"/>
    <n v="3"/>
    <e v="#REF!"/>
    <e v="#REF!"/>
  </r>
  <r>
    <s v="B0B4PPD89B"/>
    <s v="Kitchenwell 18Pc Plastic Food"/>
    <x v="66"/>
    <s v="HEPAAirPurifiers"/>
    <n v="79"/>
    <n v="79"/>
    <n v="316"/>
    <n v="316"/>
    <n v="0"/>
    <n v="0"/>
    <n v="0"/>
    <n v="4"/>
    <n v="97"/>
    <s v="Naitik Parekh,Nerthi,RDP,Anu"/>
    <n v="4"/>
    <e v="#REF!"/>
    <e v="#REF!"/>
  </r>
  <r>
    <s v="B08GM5S4CQ"/>
    <s v="Havells Instanio 10 Litre"/>
    <x v="64"/>
    <s v="WaterFilters&amp;Purifiers"/>
    <n v="14290"/>
    <n v="6990"/>
    <n v="42870"/>
    <n v="20970"/>
    <n v="21863.7"/>
    <n v="-21900"/>
    <n v="0.51"/>
    <n v="4.4000000000000004"/>
    <n v="1771"/>
    <s v="Amazon Customer,Gaurav,khalil"/>
    <n v="3"/>
    <e v="#REF!"/>
    <e v="#REF!"/>
  </r>
  <r>
    <s v="B00NM6MO26"/>
    <s v="Prestige PIC 16.0+ 1900W"/>
    <x v="61"/>
    <s v="LaundryBags"/>
    <n v="3945"/>
    <n v="2698"/>
    <n v="11835"/>
    <n v="8094"/>
    <n v="3787.2000000000003"/>
    <n v="-3741"/>
    <n v="0.32"/>
    <n v="4"/>
    <n v="15034"/>
    <s v="Ulhas,Rabi Dash,p"/>
    <n v="3"/>
    <e v="#REF!"/>
    <e v="#REF!"/>
  </r>
  <r>
    <s v="B083M7WPZD"/>
    <s v="AGARO 33398 Rapid 1000-Watt,"/>
    <x v="67"/>
    <s v="Sewing&amp;EmbroideryMachines"/>
    <n v="5999"/>
    <n v="3199"/>
    <n v="11998"/>
    <n v="6398"/>
    <n v="5639.0599999999995"/>
    <n v="-5600"/>
    <n v="0.47"/>
    <n v="4"/>
    <n v="3242"/>
    <s v="Amandeep singh,GIREESH"/>
    <n v="2"/>
    <e v="#REF!"/>
    <e v="#REF!"/>
  </r>
  <r>
    <s v="B07GLSKXS1"/>
    <s v="KENT 16026 Electric Kettle"/>
    <x v="61"/>
    <s v="IroningAccessories"/>
    <n v="1950"/>
    <n v="1199"/>
    <n v="1950"/>
    <n v="1199"/>
    <n v="760.5"/>
    <n v="-751"/>
    <n v="0.39"/>
    <n v="3.9"/>
    <n v="2832"/>
    <s v="Rattan Lal"/>
    <n v="1"/>
    <e v="#REF!"/>
    <e v="#REF!"/>
  </r>
  <r>
    <s v="B09F6KL23R"/>
    <s v="SKYTONE Stainless Steel Electric"/>
    <x v="56"/>
    <s v="HandMixers"/>
    <n v="2799"/>
    <n v="1414"/>
    <n v="5598"/>
    <n v="2828"/>
    <n v="2743.02"/>
    <n v="-2770"/>
    <n v="0.49"/>
    <n v="4"/>
    <n v="1498"/>
    <s v="Shahnawaz khan,Amazon"/>
    <n v="2"/>
    <e v="#REF!"/>
    <e v="#REF!"/>
  </r>
  <r>
    <s v="B094G9L9LT"/>
    <s v="KENT 16088 Vogue Electric"/>
    <x v="56"/>
    <s v="Mills&amp;Grinders"/>
    <n v="1950"/>
    <n v="999"/>
    <n v="7800"/>
    <n v="3996"/>
    <n v="3822"/>
    <n v="-3804"/>
    <n v="0.49"/>
    <n v="3.8"/>
    <n v="305"/>
    <s v="Alpana Das,Pj,Seema,Shailendra"/>
    <n v="4"/>
    <e v="#REF!"/>
    <e v="#REF!"/>
  </r>
  <r>
    <s v="B09FZ89DK6"/>
    <s v="Eureka Forbes Supervac 1600"/>
    <x v="56"/>
    <s v="OvenToasterGrills"/>
    <n v="9999"/>
    <n v="5999"/>
    <n v="29997"/>
    <n v="17997"/>
    <n v="11998.800000000001"/>
    <n v="-12000"/>
    <n v="0.4"/>
    <n v="4.2"/>
    <n v="1191"/>
    <s v="9848023076,Parimala,ajay kumar"/>
    <n v="3"/>
    <e v="#REF!"/>
    <e v="#REF!"/>
  </r>
  <r>
    <s v="B0811VCGL5"/>
    <s v="Mi Air Purifier 3"/>
    <x v="56"/>
    <s v="Juicers"/>
    <n v="12999"/>
    <n v="9970"/>
    <n v="38997"/>
    <n v="29910"/>
    <n v="8969.31"/>
    <n v="-9087"/>
    <n v="0.23"/>
    <n v="4.3"/>
    <n v="4049"/>
    <s v="Anon,KNReddy,sooraj m"/>
    <n v="3"/>
    <e v="#REF!"/>
    <e v="#REF!"/>
  </r>
  <r>
    <s v="B07FXLC2G2"/>
    <s v="Tata Swach Bulb 6000-Litre"/>
    <x v="56"/>
    <m/>
    <n v="699"/>
    <n v="698"/>
    <n v="1398"/>
    <n v="1396"/>
    <n v="0"/>
    <n v="-2"/>
    <n v="0"/>
    <n v="4.2"/>
    <n v="3160"/>
    <s v="Mahesh Thakur,NAGESWARA"/>
    <n v="2"/>
    <e v="#REF!"/>
    <e v="#REF!"/>
  </r>
  <r>
    <s v="B01LYU3BZF"/>
    <s v="Havells Ambrose 1200mm Ceiling"/>
    <x v="68"/>
    <s v="WeighingScales"/>
    <n v="3190"/>
    <n v="2199"/>
    <n v="6380"/>
    <n v="4398"/>
    <n v="1977.8"/>
    <n v="-1982"/>
    <n v="0.31"/>
    <n v="4.3"/>
    <n v="9650"/>
    <s v="Rahul Miranda,Hemant"/>
    <n v="2"/>
    <e v="#REF!"/>
    <e v="#REF!"/>
  </r>
  <r>
    <s v="B083RC4WFJ"/>
    <s v="PrettyKrafts Laundry Bag /"/>
    <x v="63"/>
    <s v="EspressoMachines"/>
    <n v="799"/>
    <n v="320"/>
    <n v="1598"/>
    <n v="640"/>
    <n v="958.8"/>
    <n v="-958"/>
    <n v="0.6"/>
    <n v="4.2"/>
    <n v="3846"/>
    <s v="Nidha,PRAKASHA T"/>
    <n v="2"/>
    <e v="#REF!"/>
    <e v="#REF!"/>
  </r>
  <r>
    <s v="B09SFRNKSR"/>
    <s v="FABWARE Lint Remover for"/>
    <x v="62"/>
    <s v="TableFans"/>
    <n v="499"/>
    <n v="298"/>
    <n v="998"/>
    <n v="596"/>
    <n v="399.20000000000005"/>
    <n v="-402"/>
    <n v="0.4"/>
    <n v="4.4000000000000004"/>
    <n v="290"/>
    <s v="Amisha Nath,Sanjeev"/>
    <n v="2"/>
    <e v="#REF!"/>
    <e v="#REF!"/>
  </r>
  <r>
    <s v="B07NRTCDS5"/>
    <s v="Brayden Fito Atom Rechargeable"/>
    <x v="63"/>
    <s v="MilkFrothers"/>
    <n v="1499"/>
    <n v="1199"/>
    <n v="2998"/>
    <n v="2398"/>
    <n v="599.6"/>
    <n v="-600"/>
    <n v="0.2"/>
    <n v="3.8"/>
    <n v="2206"/>
    <s v="Nasim shaikh,Senthil"/>
    <n v="2"/>
    <e v="#REF!"/>
    <e v="#REF!"/>
  </r>
  <r>
    <s v="B07SPVMSC6"/>
    <s v="Bajaj Frore 1200 mm"/>
    <x v="69"/>
    <m/>
    <n v="2660"/>
    <n v="1399"/>
    <n v="7980"/>
    <n v="4197"/>
    <n v="3750.5999999999995"/>
    <n v="-3783"/>
    <n v="0.47"/>
    <n v="4.0999999999999996"/>
    <n v="9349"/>
    <s v="Shahul hameed,Bhaumik,Amjith"/>
    <n v="3"/>
    <e v="#REF!"/>
    <e v="#REF!"/>
  </r>
  <r>
    <s v="B09H3BXWTK"/>
    <s v="Venus Digital Kitchen Weighing"/>
    <x v="56"/>
    <s v="SmallApplianceParts&amp;Accessories"/>
    <n v="2799"/>
    <n v="599"/>
    <n v="8397"/>
    <n v="1797"/>
    <n v="6633.63"/>
    <n v="-6600"/>
    <n v="0.79"/>
    <n v="3.9"/>
    <n v="578"/>
    <s v="Krishnakumar,Yuvraj Patil,Avani"/>
    <n v="3"/>
    <e v="#REF!"/>
    <e v="#REF!"/>
  </r>
  <r>
    <s v="B0073QGKAS"/>
    <s v="Bajaj ATX 4 750-Watt"/>
    <x v="56"/>
    <s v="YogurtMakers"/>
    <n v="1499"/>
    <n v="1499"/>
    <n v="5996"/>
    <n v="5996"/>
    <n v="0"/>
    <n v="0"/>
    <n v="0"/>
    <n v="4.3"/>
    <n v="9331"/>
    <s v="Aisha,Gourav,Riya Halder,Karishma"/>
    <n v="4"/>
    <e v="#REF!"/>
    <e v="#REF!"/>
  </r>
  <r>
    <s v="B08GJ57MKL"/>
    <s v="Coway Professional Air Purifier"/>
    <x v="56"/>
    <s v="Juicers"/>
    <n v="59900"/>
    <n v="14400"/>
    <n v="179700"/>
    <n v="43200"/>
    <n v="136572"/>
    <n v="-136500"/>
    <n v="0.76"/>
    <n v="4.4000000000000004"/>
    <n v="3837"/>
    <s v="Dhatwalia,Tahir Abdulla,Surya"/>
    <n v="3"/>
    <e v="#REF!"/>
    <e v="#REF!"/>
  </r>
  <r>
    <s v="B009DA69W6"/>
    <s v="KENT Gold Optima Gravity"/>
    <x v="70"/>
    <s v="Split-SystemAirConditioners"/>
    <n v="1900"/>
    <n v="1699"/>
    <n v="3800"/>
    <n v="3398"/>
    <n v="418"/>
    <n v="-402"/>
    <n v="0.11"/>
    <n v="3.6"/>
    <n v="11456"/>
    <s v="Dharmender Sharma,Sheba"/>
    <n v="2"/>
    <e v="#REF!"/>
    <e v="#REF!"/>
  </r>
  <r>
    <s v="B099PR2GQJ"/>
    <s v="HOMEPACK 750W Radiant Room"/>
    <x v="56"/>
    <s v="SmallApplianceParts&amp;Accessories"/>
    <n v="999"/>
    <n v="649"/>
    <n v="3996"/>
    <n v="2596"/>
    <n v="1398.6"/>
    <n v="-1400"/>
    <n v="0.35"/>
    <n v="3.8"/>
    <n v="49"/>
    <s v="Ravi,Dee,Amazon Consumer,Indian"/>
    <n v="4"/>
    <e v="#REF!"/>
    <e v="#REF!"/>
  </r>
  <r>
    <s v="B08G8H8DPL"/>
    <s v="Bajaj Rex 750W Mixer"/>
    <x v="56"/>
    <s v="WaffleMakers&amp;Irons"/>
    <n v="6375"/>
    <n v="3249"/>
    <n v="12750"/>
    <n v="6498"/>
    <n v="6247.5"/>
    <n v="-6252"/>
    <n v="0.49"/>
    <n v="4"/>
    <n v="4978"/>
    <s v="deepak jha,Amazon"/>
    <n v="2"/>
    <e v="#REF!"/>
    <e v="#REF!"/>
  </r>
  <r>
    <s v="B08VGM3YMF"/>
    <s v="Heart Home Waterproof Round"/>
    <x v="63"/>
    <s v="StovetopEspressoPots"/>
    <n v="499"/>
    <n v="199"/>
    <n v="998"/>
    <n v="398"/>
    <n v="598.79999999999995"/>
    <n v="-600"/>
    <n v="0.6"/>
    <n v="4.0999999999999996"/>
    <n v="1996"/>
    <s v="Ms Subba,Surinder"/>
    <n v="2"/>
    <e v="#REF!"/>
    <e v="#REF!"/>
  </r>
  <r>
    <s v="B08TTRVWKY"/>
    <s v="MILTON Smart Egg Boiler"/>
    <x v="63"/>
    <s v="CoffeeMakerAccessories"/>
    <n v="1899"/>
    <n v="1099"/>
    <n v="3798"/>
    <n v="2198"/>
    <n v="1595.1599999999999"/>
    <n v="-1600"/>
    <n v="0.42"/>
    <n v="4.3"/>
    <n v="1811"/>
    <s v="Tapan Dutta,Seerat"/>
    <n v="2"/>
    <e v="#REF!"/>
    <e v="#REF!"/>
  </r>
  <r>
    <s v="B07T4D9FNY"/>
    <s v="iBELL SEK15L Premium 1.5"/>
    <x v="63"/>
    <s v="CoffeePresses"/>
    <n v="1490"/>
    <n v="664"/>
    <n v="4470"/>
    <n v="1992"/>
    <n v="2458.5000000000005"/>
    <n v="-2478"/>
    <n v="0.55000000000000004"/>
    <n v="4"/>
    <n v="2198"/>
    <s v="Shravan,Sachin Aggarwal,Gyanesh"/>
    <n v="3"/>
    <e v="#REF!"/>
    <e v="#REF!"/>
  </r>
  <r>
    <s v="B07RX42D3D"/>
    <s v="Tosaa T2STSR Sandwich Gas"/>
    <x v="56"/>
    <s v="RotiMakers"/>
    <n v="350"/>
    <n v="260"/>
    <n v="700"/>
    <n v="520"/>
    <n v="182"/>
    <n v="-180"/>
    <n v="0.26"/>
    <n v="3.9"/>
    <n v="13127"/>
    <s v="Amazon Customer,Bhaskar"/>
    <n v="2"/>
    <e v="#REF!"/>
    <e v="#REF!"/>
  </r>
  <r>
    <s v="B08WRKSF9D"/>
    <s v="V-Guard Divino 5 Star"/>
    <x v="71"/>
    <s v="FanParts&amp;Accessories"/>
    <n v="8500"/>
    <n v="6499"/>
    <n v="42500"/>
    <n v="32495"/>
    <n v="10200"/>
    <n v="-10005"/>
    <n v="0.24"/>
    <n v="4.4000000000000004"/>
    <n v="5865"/>
    <s v="Rahul,Rajit,Aman (AJ),vijay,Kailash"/>
    <n v="5"/>
    <e v="#REF!"/>
    <e v="#REF!"/>
  </r>
  <r>
    <s v="B09R83SFYV"/>
    <s v="AkiaraÂ® - Makes life"/>
    <x v="56"/>
    <s v="StandMixers"/>
    <n v="2499"/>
    <n v="1484"/>
    <n v="2499"/>
    <n v="1484"/>
    <n v="1024.5899999999999"/>
    <n v="-1015"/>
    <n v="0.41"/>
    <n v="3.7"/>
    <n v="1067"/>
    <s v="Ponnuri Gopie"/>
    <n v="1"/>
    <e v="#REF!"/>
    <e v="#REF!"/>
  </r>
  <r>
    <s v="B07989VV5K"/>
    <s v="Usha Steam Pro SI"/>
    <x v="62"/>
    <s v="PedestalFans"/>
    <n v="1560"/>
    <n v="999"/>
    <n v="3120"/>
    <n v="1998"/>
    <n v="1123.2"/>
    <n v="-1122"/>
    <n v="0.36"/>
    <n v="3.6"/>
    <n v="4881"/>
    <s v="Gulshan,Rajendra Prasad"/>
    <n v="2"/>
    <e v="#REF!"/>
    <e v="#REF!"/>
  </r>
  <r>
    <s v="B07FL3WRX5"/>
    <s v="Wonderchef Nutri-blend Complete Kitchen"/>
    <x v="58"/>
    <s v="Vacuums&amp;FloorCare"/>
    <n v="6500"/>
    <n v="3299"/>
    <n v="13000"/>
    <n v="6598"/>
    <n v="6370"/>
    <n v="-6402"/>
    <n v="0.49"/>
    <n v="3.7"/>
    <n v="11217"/>
    <s v="Priti jain,Burhanuddin"/>
    <n v="2"/>
    <e v="#REF!"/>
    <e v="#REF!"/>
  </r>
  <r>
    <s v="B0BPCJM7TB"/>
    <s v="WIDEWINGS Electric Handheld Milk"/>
    <x v="0"/>
    <s v="Cables"/>
    <n v="999"/>
    <n v="259"/>
    <n v="7992"/>
    <n v="2072"/>
    <n v="5914.08"/>
    <n v="-5920"/>
    <n v="0.74"/>
    <n v="4"/>
    <n v="43"/>
    <s v="Priti Sharma,ramya,Aman,ShashankVerma,Ved,Sushree,Sameer,UMANG"/>
    <n v="8"/>
    <e v="#REF!"/>
    <e v="#REF!"/>
  </r>
  <r>
    <s v="B08H673XKN"/>
    <s v="Morphy Richards Icon Superb"/>
    <x v="1"/>
    <s v="WirelessUSBAdapters"/>
    <n v="7795"/>
    <n v="3249"/>
    <n v="46770"/>
    <n v="19494"/>
    <n v="27126.6"/>
    <n v="-27276"/>
    <n v="0.57999999999999996"/>
    <n v="4.2"/>
    <n v="4664"/>
    <s v="vignesh,Rajesh Babar,BASANT,Shweta,Randomsurfer,PRAKASH"/>
    <n v="6"/>
    <e v="#REF!"/>
    <e v="#REF!"/>
  </r>
  <r>
    <s v="B07DXRGWDJ"/>
    <s v="Philips Handheld Garment Steamer"/>
    <x v="2"/>
    <s v="Cables"/>
    <n v="5995"/>
    <n v="4280"/>
    <n v="17985"/>
    <n v="12840"/>
    <n v="5215.6499999999996"/>
    <n v="-5145"/>
    <n v="0.28999999999999998"/>
    <n v="3.8"/>
    <n v="2112"/>
    <s v="Amit Khiwal,Purple,devi"/>
    <n v="3"/>
    <e v="#REF!"/>
    <e v="#REF!"/>
  </r>
  <r>
    <s v="B08243SKCK"/>
    <s v="Vedini Transparent Empty Refillable"/>
    <x v="3"/>
    <s v="SmartTelevisions"/>
    <n v="299"/>
    <n v="189"/>
    <n v="598"/>
    <n v="378"/>
    <n v="221.26"/>
    <n v="-220"/>
    <n v="0.37"/>
    <n v="4.2"/>
    <n v="2737"/>
    <s v="Ruhi Mir,Arup"/>
    <n v="2"/>
    <e v="#REF!"/>
    <e v="#REF!"/>
  </r>
  <r>
    <s v="B09SPTNG58"/>
    <s v="Crompton Sea Sapphira 1200"/>
    <x v="2"/>
    <s v="RemoteControls"/>
    <n v="2349"/>
    <n v="1449"/>
    <n v="7047"/>
    <n v="4347"/>
    <n v="2677.86"/>
    <n v="-2700"/>
    <n v="0.38"/>
    <n v="3.9"/>
    <n v="9019"/>
    <s v="Mahenddhra,Pavan Sisode,Archana"/>
    <n v="3"/>
    <e v="#REF!"/>
    <e v="#REF!"/>
  </r>
  <r>
    <s v="B083J64CBB"/>
    <s v="Kuber Industries Waterproof Canvas"/>
    <x v="3"/>
    <s v="StandardTelevisions"/>
    <n v="499"/>
    <n v="199"/>
    <n v="499"/>
    <n v="199"/>
    <n v="299.39999999999998"/>
    <n v="-300"/>
    <n v="0.6"/>
    <n v="4"/>
    <n v="10234"/>
    <s v="SUNIL KUMAR"/>
    <n v="1"/>
    <e v="#REF!"/>
    <e v="#REF!"/>
  </r>
  <r>
    <s v="B08JV91JTK"/>
    <s v="JM SELLER 180 W"/>
    <x v="2"/>
    <s v="TVMounts,Stands&amp;Turntables"/>
    <n v="1299"/>
    <n v="474"/>
    <n v="5196"/>
    <n v="1896"/>
    <n v="3325.44"/>
    <n v="-3300"/>
    <n v="0.64"/>
    <n v="4.0999999999999996"/>
    <n v="550"/>
    <s v="S.Anbarasan,Nazimali,vijay shankar,Amazon"/>
    <n v="4"/>
    <e v="#REF!"/>
    <e v="#REF!"/>
  </r>
  <r>
    <s v="B0BQ3K23Y1"/>
    <s v="Oratech Coffee Frother electric,"/>
    <x v="2"/>
    <s v="Cables"/>
    <n v="499"/>
    <n v="279"/>
    <n v="998"/>
    <n v="558"/>
    <n v="439.12"/>
    <n v="-440"/>
    <n v="0.44"/>
    <n v="4.8"/>
    <n v="28"/>
    <s v="Amazon Customer,Neha"/>
    <n v="2"/>
    <e v="#REF!"/>
    <e v="#REF!"/>
  </r>
  <r>
    <s v="B09MT94QLL"/>
    <s v="Havells Glaze 74W Pearl"/>
    <x v="2"/>
    <s v="SpeakerAccessories"/>
    <n v="4775"/>
    <n v="1999"/>
    <n v="4775"/>
    <n v="1999"/>
    <n v="2769.5"/>
    <n v="-2776"/>
    <n v="0.57999999999999996"/>
    <n v="4.2"/>
    <n v="1353"/>
    <s v="I am"/>
    <n v="1"/>
    <e v="#REF!"/>
    <e v="#REF!"/>
  </r>
  <r>
    <s v="B07NKNBTT3"/>
    <s v="Pick Ur NeedsÂ® Lint"/>
    <x v="2"/>
    <s v="Cables"/>
    <n v="1230"/>
    <n v="799"/>
    <n v="3690"/>
    <n v="2397"/>
    <n v="1291.5"/>
    <n v="-1293"/>
    <n v="0.35"/>
    <n v="4.0999999999999996"/>
    <n v="2138"/>
    <s v="Lipsy Mohapatra,Ajeet,Amazon"/>
    <n v="3"/>
    <e v="#REF!"/>
    <e v="#REF!"/>
  </r>
  <r>
    <s v="B09KPXTZXN"/>
    <s v="Rico Japanese Technology Rechargeable"/>
    <x v="4"/>
    <m/>
    <n v="1999"/>
    <n v="949"/>
    <n v="3998"/>
    <n v="1898"/>
    <n v="2118.94"/>
    <n v="-2100"/>
    <n v="0.53"/>
    <n v="4"/>
    <n v="1679"/>
    <s v="sharad shedge,Srushti"/>
    <n v="2"/>
    <e v="#REF!"/>
    <e v="#REF!"/>
  </r>
  <r>
    <s v="B078HG2ZPS"/>
    <s v="Butterfly Smart Wet Grinder,"/>
    <x v="2"/>
    <s v="Adapters"/>
    <n v="5156"/>
    <n v="3657.66"/>
    <n v="15468"/>
    <n v="10972.98"/>
    <n v="4485.72"/>
    <n v="-4495.0200000000004"/>
    <n v="0.28999999999999998"/>
    <n v="3.9"/>
    <n v="12837"/>
    <s v="JAYAPRAKASH P,Avinash,V"/>
    <n v="3"/>
    <e v="#REF!"/>
    <e v="#REF!"/>
  </r>
  <r>
    <s v="B07N2MGB3G"/>
    <s v="AGARO Marvel 9 Liters"/>
    <x v="5"/>
    <s v="SatelliteReceivers"/>
    <n v="1999"/>
    <n v="1699"/>
    <n v="3998"/>
    <n v="3398"/>
    <n v="599.69999999999993"/>
    <n v="-600"/>
    <n v="0.15"/>
    <n v="4.0999999999999996"/>
    <n v="8873"/>
    <s v="Shubhajeet D.,Aswin"/>
    <n v="2"/>
    <e v="#REF!"/>
    <e v="#REF!"/>
  </r>
  <r>
    <s v="B008LN8KDM"/>
    <s v="Philips GC1920/28 1440-Watt Non-Stick"/>
    <x v="0"/>
    <s v="Cables"/>
    <n v="2095"/>
    <n v="1849"/>
    <n v="8380"/>
    <n v="7396"/>
    <n v="1005.5999999999999"/>
    <n v="-984"/>
    <n v="0.12"/>
    <n v="4.3"/>
    <n v="7681"/>
    <s v="Aditya Tapkir,Veee,rajesh,Rayhan"/>
    <n v="4"/>
    <e v="#REF!"/>
    <e v="#REF!"/>
  </r>
  <r>
    <s v="B08MZNT7GP"/>
    <s v="Havells OFR 13 Wave"/>
    <x v="2"/>
    <s v="Cables"/>
    <n v="19825"/>
    <n v="12499"/>
    <n v="59475"/>
    <n v="37497"/>
    <n v="22005.75"/>
    <n v="-21978"/>
    <n v="0.37"/>
    <n v="4.0999999999999996"/>
    <n v="322"/>
    <s v="Ajay,Amazon Customer,Shubham"/>
    <n v="3"/>
    <e v="#REF!"/>
    <e v="#REF!"/>
  </r>
  <r>
    <s v="B009P2L7CO"/>
    <s v="Bajaj DHX-9 1000W Heavy"/>
    <x v="6"/>
    <s v="StreamingClients"/>
    <n v="1920"/>
    <n v="1099"/>
    <n v="7680"/>
    <n v="4396"/>
    <n v="3302.4"/>
    <n v="-3284"/>
    <n v="0.43"/>
    <n v="4.2"/>
    <n v="9772"/>
    <s v="Tanveer,SARATHRAJ,Amazon Customer,Manivasagam"/>
    <n v="4"/>
    <e v="#REF!"/>
    <e v="#REF!"/>
  </r>
  <r>
    <s v="B07YC8JHMB"/>
    <s v="Aquasure From Aquaguard Amaze"/>
    <x v="7"/>
    <m/>
    <n v="16000"/>
    <n v="8199"/>
    <n v="80000"/>
    <n v="40995"/>
    <n v="39200"/>
    <n v="-39005"/>
    <n v="0.49"/>
    <n v="3.9"/>
    <n v="18497"/>
    <s v="Sandesh,Sowmya,Madhu,NIKHIL BANSAL,Amar"/>
    <n v="5"/>
    <e v="#REF!"/>
    <e v="#REF!"/>
  </r>
  <r>
    <s v="B0BNQMF152"/>
    <s v="ROYAL STEP Portable Electric"/>
    <x v="8"/>
    <s v="TowerSpeakers"/>
    <n v="2199"/>
    <n v="499"/>
    <n v="6597"/>
    <n v="1497"/>
    <n v="5079.6900000000005"/>
    <n v="-5100"/>
    <n v="0.77"/>
    <n v="3.7"/>
    <n v="53"/>
    <s v="Naveen,SURIYA PRAKASH.D,Thanga"/>
    <n v="3"/>
    <e v="#REF!"/>
    <e v="#REF!"/>
  </r>
  <r>
    <s v="B08J7VCT12"/>
    <s v="KENT 16068 Zoom Vacuum"/>
    <x v="2"/>
    <s v="3DGlasses"/>
    <n v="14999"/>
    <n v="6999"/>
    <n v="44997"/>
    <n v="20997"/>
    <n v="23848.41"/>
    <n v="-24000"/>
    <n v="0.53"/>
    <n v="4.0999999999999996"/>
    <n v="1728"/>
    <s v="tamilarasi,shwetha murthy,Srilaxmi"/>
    <n v="3"/>
    <e v="#REF!"/>
    <e v="#REF!"/>
  </r>
  <r>
    <s v="B0989W6J2F"/>
    <s v="ENEM Sealing Machine |"/>
    <x v="9"/>
    <m/>
    <n v="1799"/>
    <n v="1595"/>
    <n v="5397"/>
    <n v="4785"/>
    <n v="593.67000000000007"/>
    <n v="-612"/>
    <n v="0.11"/>
    <n v="4"/>
    <n v="2877"/>
    <s v="Learning always,Saideepak,R"/>
    <n v="3"/>
    <e v="#REF!"/>
    <e v="#REF!"/>
  </r>
  <r>
    <s v="B0B84KSH3X"/>
    <s v="Wipro Vesta 1200 Watt"/>
    <x v="10"/>
    <s v="Chargers"/>
    <n v="1950"/>
    <n v="1049"/>
    <n v="7800"/>
    <n v="4196"/>
    <n v="3588"/>
    <n v="-3604"/>
    <n v="0.46"/>
    <n v="3.8"/>
    <n v="250"/>
    <s v="S.saravanan,Mukesh,sanjay kumar,Khadar"/>
    <n v="4"/>
    <e v="#REF!"/>
    <e v="#REF!"/>
  </r>
  <r>
    <s v="B08HLC7Z3G"/>
    <s v="Inalsa Electric Kettle Prism"/>
    <x v="11"/>
    <s v="Smartphones"/>
    <n v="2995"/>
    <n v="1182"/>
    <n v="11980"/>
    <n v="4728"/>
    <n v="7307.8"/>
    <n v="-7252"/>
    <n v="0.61"/>
    <n v="4.2"/>
    <n v="5178"/>
    <s v="Vikram das,SANJAY,Sanjeev,Neelu"/>
    <n v="4"/>
    <e v="#REF!"/>
    <e v="#REF!"/>
  </r>
  <r>
    <s v="B0BN6M3TCM"/>
    <s v="VRPRIME Lint Roller Lint"/>
    <x v="12"/>
    <s v="MicroSD"/>
    <n v="999"/>
    <n v="499"/>
    <n v="1998"/>
    <n v="998"/>
    <n v="999"/>
    <n v="-1000"/>
    <n v="0.5"/>
    <n v="4.5999999999999996"/>
    <n v="79"/>
    <s v="Kindle Customer,Naval"/>
    <n v="2"/>
    <e v="#REF!"/>
    <e v="#REF!"/>
  </r>
  <r>
    <s v="B01L6MT7E0"/>
    <s v="Philips AC1215/20 Air purifier,"/>
    <x v="11"/>
    <s v="BasicMobiles"/>
    <n v="11995"/>
    <n v="8799"/>
    <n v="23990"/>
    <n v="17598"/>
    <n v="6477.3"/>
    <n v="-6392"/>
    <n v="0.27"/>
    <n v="4.0999999999999996"/>
    <n v="4157"/>
    <s v="Tushar A.,Indu"/>
    <n v="2"/>
    <e v="#REF!"/>
    <e v="#REF!"/>
  </r>
  <r>
    <s v="B0B9F9PT8R"/>
    <s v="Eopora PTC Ceramic Fast"/>
    <x v="13"/>
    <s v="In-Ear"/>
    <n v="2999"/>
    <n v="1529"/>
    <n v="5998"/>
    <n v="3058"/>
    <n v="2939.02"/>
    <n v="-2940"/>
    <n v="0.49"/>
    <n v="3.3"/>
    <n v="29"/>
    <s v="alok tripathi,Ashish"/>
    <n v="2"/>
    <e v="#REF!"/>
    <e v="#REF!"/>
  </r>
  <r>
    <s v="B0883LQJ6B"/>
    <s v="Usha Goliath GO1200WG Heavy"/>
    <x v="10"/>
    <s v="Chargers"/>
    <n v="1690"/>
    <n v="1199"/>
    <n v="6760"/>
    <n v="4796"/>
    <n v="1960.3999999999999"/>
    <n v="-1964"/>
    <n v="0.28999999999999998"/>
    <n v="4.2"/>
    <n v="4580"/>
    <s v="Subanathan,Vaibhav.Vichare,Naveen Kumar,Prosanta"/>
    <n v="4"/>
    <e v="#REF!"/>
    <e v="#REF!"/>
  </r>
  <r>
    <s v="B099Z83VRC"/>
    <s v="Wipro Vesta Electric Egg"/>
    <x v="10"/>
    <s v="AutomobileAccessories"/>
    <n v="1790"/>
    <n v="1052"/>
    <n v="3580"/>
    <n v="2104"/>
    <n v="1467.8"/>
    <n v="-1476"/>
    <n v="0.41"/>
    <n v="4.3"/>
    <n v="1404"/>
    <s v="Adwait Kulkarni,Divya"/>
    <n v="2"/>
    <e v="#REF!"/>
    <e v="#REF!"/>
  </r>
  <r>
    <s v="B00S9BSJC8"/>
    <s v="Philips Viva Collection HR1832/00"/>
    <x v="10"/>
    <s v="Chargers"/>
    <n v="8995"/>
    <n v="6499"/>
    <n v="35980"/>
    <n v="25996"/>
    <n v="10074.400000000001"/>
    <n v="-9984"/>
    <n v="0.28000000000000003"/>
    <n v="4.3"/>
    <n v="2810"/>
    <s v="manian,surjeet,ANUPAM BHASIN,Capt"/>
    <n v="4"/>
    <e v="#REF!"/>
    <e v="#REF!"/>
  </r>
  <r>
    <s v="B0B4SJKRDF"/>
    <s v="Kitchenwell Multipurpose Portable Electronic"/>
    <x v="10"/>
    <s v="Cables&amp;Adapters"/>
    <n v="239"/>
    <n v="239"/>
    <n v="717"/>
    <n v="717"/>
    <n v="0"/>
    <n v="0"/>
    <n v="0"/>
    <n v="4.3"/>
    <n v="7"/>
    <s v="Dinesh,Rajesh Thakur,Kiran"/>
    <n v="3"/>
    <e v="#REF!"/>
    <e v="#REF!"/>
  </r>
  <r>
    <s v="B0BM4KTNL1"/>
    <s v="FIGMENT Handheld Milk Frother"/>
    <x v="10"/>
    <s v="Photo&amp;VideoAccessories"/>
    <n v="1599"/>
    <n v="699"/>
    <n v="6396"/>
    <n v="2796"/>
    <n v="3581.76"/>
    <n v="-3600"/>
    <n v="0.56000000000000005"/>
    <n v="4.7"/>
    <n v="1729"/>
    <s v="123MovieTime,Ravneet S.,Akash,Mohd"/>
    <n v="4"/>
    <e v="#REF!"/>
    <e v="#REF!"/>
  </r>
  <r>
    <s v="B08S6RKT4L"/>
    <s v="Balzano High Speed Nutri"/>
    <x v="10"/>
    <s v="Photo&amp;VideoAccessories"/>
    <n v="4290"/>
    <n v="2599"/>
    <n v="8580"/>
    <n v="5198"/>
    <n v="3346.2000000000003"/>
    <n v="-3382"/>
    <n v="0.39"/>
    <n v="4.4000000000000004"/>
    <n v="2116"/>
    <s v="Trusted User,Pardeep"/>
    <n v="2"/>
    <e v="#REF!"/>
    <e v="#REF!"/>
  </r>
  <r>
    <s v="B09SZ5TWHW"/>
    <s v="Swiss Military VC03 Wireless"/>
    <x v="10"/>
    <s v="Stands"/>
    <n v="2890"/>
    <n v="1547"/>
    <n v="2890"/>
    <n v="1547"/>
    <n v="1329.4"/>
    <n v="-1343"/>
    <n v="0.46"/>
    <n v="3.9"/>
    <n v="463"/>
    <s v="Axis Web"/>
    <n v="1"/>
    <e v="#REF!"/>
    <e v="#REF!"/>
  </r>
  <r>
    <s v="B0BLC2BYPX"/>
    <s v="Zuvexa USB Rechargeable Electric"/>
    <x v="0"/>
    <s v="CableConnectionProtectors"/>
    <n v="1299"/>
    <n v="499"/>
    <n v="6495"/>
    <n v="2495"/>
    <n v="4026.9"/>
    <n v="-4000"/>
    <n v="0.62"/>
    <n v="4.7"/>
    <n v="54"/>
    <s v="shammi,Rippy Mittal,Kabeer,Kush,Vani"/>
    <n v="5"/>
    <e v="#REF!"/>
    <e v="#REF!"/>
  </r>
  <r>
    <s v="B00P0R95EA"/>
    <s v="Usha IH2415 1500-Watt Immersion"/>
    <x v="10"/>
    <s v="DÃ©cor"/>
    <n v="640"/>
    <n v="510"/>
    <n v="1280"/>
    <n v="1020"/>
    <n v="256"/>
    <n v="-260"/>
    <n v="0.2"/>
    <n v="4.0999999999999996"/>
    <n v="7229"/>
    <s v="Durgaprasad g.,S"/>
    <n v="2"/>
    <e v="#REF!"/>
    <e v="#REF!"/>
  </r>
  <r>
    <s v="B07W4HTS8Q"/>
    <s v="ACTIVA Instant 3 LTR"/>
    <x v="10"/>
    <s v="Maintenance,Upkeep&amp;Repairs"/>
    <n v="3790"/>
    <n v="1899"/>
    <n v="3790"/>
    <n v="1899"/>
    <n v="1895"/>
    <n v="-1891"/>
    <n v="0.5"/>
    <n v="3.8"/>
    <n v="3842"/>
    <s v="Gajendra Kumar"/>
    <n v="1"/>
    <e v="#REF!"/>
    <e v="#REF!"/>
  </r>
  <r>
    <s v="B078JBK4GX"/>
    <s v="Havells Instanio 1-Litre 3KW"/>
    <x v="10"/>
    <s v="StylusPens"/>
    <n v="4560"/>
    <n v="2599"/>
    <n v="9120"/>
    <n v="5198"/>
    <n v="3921.6"/>
    <n v="-3922"/>
    <n v="0.43"/>
    <n v="4.4000000000000004"/>
    <n v="646"/>
    <s v="Dev Shah,Amazon"/>
    <n v="2"/>
    <e v="#REF!"/>
    <e v="#REF!"/>
  </r>
  <r>
    <s v="B08S7V8YTN"/>
    <s v="Lifelong 2-in1 Egg Boiler"/>
    <x v="10"/>
    <s v="Mounts"/>
    <n v="3500"/>
    <n v="1199"/>
    <n v="10500"/>
    <n v="3597"/>
    <n v="6930"/>
    <n v="-6903"/>
    <n v="0.66"/>
    <n v="4.3"/>
    <n v="1802"/>
    <s v="Virjesh,Manish Soni,MUKESH"/>
    <n v="3"/>
    <e v="#REF!"/>
    <e v="#REF!"/>
  </r>
  <r>
    <s v="B07H5PBN54"/>
    <s v="INDIASÂ®â„¢ Electro-Instant Water Geyser"/>
    <x v="10"/>
    <s v="Cases&amp;Covers"/>
    <n v="2600"/>
    <n v="999"/>
    <n v="5200"/>
    <n v="1998"/>
    <n v="3224"/>
    <n v="-3202"/>
    <n v="0.62"/>
    <n v="3.4"/>
    <n v="252"/>
    <s v="SATENDRA SAINI,AKSHAY"/>
    <n v="2"/>
    <e v="#REF!"/>
    <e v="#REF!"/>
  </r>
  <r>
    <s v="B07YCBSCYB"/>
    <s v="AmazonBasics Induction Cooktop 1600"/>
    <x v="10"/>
    <s v="Mounts"/>
    <n v="3300"/>
    <n v="1999"/>
    <n v="6600"/>
    <n v="3998"/>
    <n v="2574"/>
    <n v="-2602"/>
    <n v="0.39"/>
    <n v="4.2"/>
    <n v="780"/>
    <s v="Amazon Customer,Ishtiyaq"/>
    <n v="2"/>
    <e v="#REF!"/>
    <e v="#REF!"/>
  </r>
  <r>
    <s v="B098T9CJVQ"/>
    <s v="Sui Generis Electric Handheld"/>
    <x v="13"/>
    <s v="On-Ear"/>
    <n v="699"/>
    <n v="210"/>
    <n v="1398"/>
    <n v="420"/>
    <n v="978.59999999999991"/>
    <n v="-978"/>
    <n v="0.7"/>
    <n v="3.7"/>
    <n v="74"/>
    <s v="Syed sarfarazuddin,Chetanya"/>
    <n v="2"/>
    <e v="#REF!"/>
    <e v="#REF!"/>
  </r>
  <r>
    <s v="B01KCSGBU2"/>
    <s v="Philips Air Purifier Ac2887/20,Vitashield"/>
    <x v="14"/>
    <s v="CameraPrivacyCovers"/>
    <n v="23559"/>
    <n v="14499"/>
    <n v="117795"/>
    <n v="72495"/>
    <n v="44762.1"/>
    <n v="-45300"/>
    <n v="0.38"/>
    <n v="4.3"/>
    <n v="2026"/>
    <s v="Prasad Kulasekar,Griswold,Balasubramanyam,Akshay,Amazon"/>
    <n v="5"/>
    <e v="#REF!"/>
    <e v="#REF!"/>
  </r>
  <r>
    <s v="B095XCRDQW"/>
    <s v="Esquire Laundry Basket Brown,"/>
    <x v="15"/>
    <m/>
    <n v="1599"/>
    <n v="950"/>
    <n v="7995"/>
    <n v="4750"/>
    <n v="3277.95"/>
    <n v="-3245"/>
    <n v="0.41"/>
    <n v="4.3"/>
    <n v="5911"/>
    <s v="Vysh,Suryakanth raju,VP,Ashi,Amazon"/>
    <n v="5"/>
    <e v="#REF!"/>
    <e v="#REF!"/>
  </r>
  <r>
    <s v="B09CTWFV5W"/>
    <s v="PHILIPS Air Fryer HD9200/90,"/>
    <x v="10"/>
    <s v="DÃ©cor"/>
    <n v="9995"/>
    <n v="7199"/>
    <n v="29985"/>
    <n v="21597"/>
    <n v="8395.8000000000011"/>
    <n v="-8388"/>
    <n v="0.28000000000000003"/>
    <n v="4.4000000000000004"/>
    <n v="1964"/>
    <s v="Gopal Krishan,mubarak,Don"/>
    <n v="3"/>
    <e v="#REF!"/>
    <e v="#REF!"/>
  </r>
  <r>
    <s v="B0B7NWGXS6"/>
    <s v="Havells Bero Quartz Heater"/>
    <x v="10"/>
    <s v="Mounts"/>
    <n v="2545"/>
    <n v="2439"/>
    <n v="5090"/>
    <n v="4878"/>
    <n v="203.6"/>
    <n v="-212"/>
    <n v="0.04"/>
    <n v="4.0999999999999996"/>
    <n v="25"/>
    <s v="Amit Sood,Tarun"/>
    <n v="2"/>
    <e v="#REF!"/>
    <e v="#REF!"/>
  </r>
  <r>
    <s v="B07DZ986Q2"/>
    <s v="Philips EasyTouch Plus Standing"/>
    <x v="16"/>
    <m/>
    <n v="8995"/>
    <n v="7799"/>
    <n v="26985"/>
    <n v="23397"/>
    <n v="3508.05"/>
    <n v="-3588"/>
    <n v="0.13"/>
    <n v="4"/>
    <n v="3160"/>
    <s v="Q,VINU R.,Biswajit"/>
    <n v="3"/>
    <e v="#REF!"/>
    <e v="#REF!"/>
  </r>
  <r>
    <s v="B07KKJPTWB"/>
    <s v="Brayden Chopro, Electric Vegetable"/>
    <x v="17"/>
    <s v="Mice"/>
    <n v="1999"/>
    <n v="1599"/>
    <n v="7996"/>
    <n v="6396"/>
    <n v="1599.2"/>
    <n v="-1600"/>
    <n v="0.2"/>
    <n v="4.4000000000000004"/>
    <n v="1558"/>
    <s v="Sri,Abhijith Prasanna,Sandeep,Amazon"/>
    <n v="4"/>
    <e v="#REF!"/>
    <e v="#REF!"/>
  </r>
  <r>
    <s v="B071R3LHFM"/>
    <s v="Wonderchef Nutri-blend Mixer, Grinder"/>
    <x v="17"/>
    <s v="GraphicTablets"/>
    <n v="5500"/>
    <n v="2899"/>
    <n v="16500"/>
    <n v="8697"/>
    <n v="7755"/>
    <n v="-7803"/>
    <n v="0.47"/>
    <n v="3.8"/>
    <n v="8958"/>
    <s v="Rachna,KAILASH MANDAL,Jasmeen"/>
    <n v="3"/>
    <e v="#REF!"/>
    <e v="#REF!"/>
  </r>
  <r>
    <s v="B086X18Q71"/>
    <s v="Usha Janome Dream Stitch"/>
    <x v="14"/>
    <s v="Lapdesks"/>
    <n v="12150"/>
    <n v="9799"/>
    <n v="12150"/>
    <n v="9799"/>
    <n v="2308.5"/>
    <n v="-2351"/>
    <n v="0.19"/>
    <n v="4.3"/>
    <n v="13251"/>
    <s v="S K"/>
    <n v="1"/>
    <e v="#REF!"/>
    <e v="#REF!"/>
  </r>
  <r>
    <s v="B07WVQG8WZ"/>
    <s v="Black+Decker Handheld Portable Garment"/>
    <x v="14"/>
    <s v="NotebookComputerStands"/>
    <n v="4995"/>
    <n v="3299"/>
    <n v="19980"/>
    <n v="13196"/>
    <n v="6793.2000000000007"/>
    <n v="-6784"/>
    <n v="0.34"/>
    <n v="3.8"/>
    <n v="1393"/>
    <s v="Nadeem,Viral,ankit agarwal,Amazon"/>
    <n v="4"/>
    <e v="#REF!"/>
    <e v="#REF!"/>
  </r>
  <r>
    <s v="B0BFBNXS94"/>
    <s v="Personal Size Blender, Portable"/>
    <x v="17"/>
    <s v="Keyboards"/>
    <n v="1499"/>
    <n v="669"/>
    <n v="5996"/>
    <n v="2676"/>
    <n v="3297.8"/>
    <n v="-3320"/>
    <n v="0.55000000000000004"/>
    <n v="2.2999999999999998"/>
    <n v="13"/>
    <s v="Manya,Been,Podili Parasuram,Rejoy"/>
    <n v="4"/>
    <e v="#REF!"/>
    <e v="#REF!"/>
  </r>
  <r>
    <s v="B071113J7M"/>
    <s v="Sujata Powermatic Plus 900"/>
    <x v="18"/>
    <m/>
    <n v="7506"/>
    <n v="5890"/>
    <n v="22518"/>
    <n v="17670"/>
    <n v="4953.96"/>
    <n v="-4848"/>
    <n v="0.22"/>
    <n v="4.5"/>
    <n v="7241"/>
    <s v="Nadia,Narinder Kumar,Rakesh"/>
    <n v="3"/>
    <e v="#REF!"/>
    <e v="#REF!"/>
  </r>
  <r>
    <s v="B09YLWT89W"/>
    <s v="Sure From Aquaguard Delight"/>
    <x v="19"/>
    <m/>
    <n v="18000"/>
    <n v="9199"/>
    <n v="18000"/>
    <n v="9199"/>
    <n v="8820"/>
    <n v="-8801"/>
    <n v="0.49"/>
    <n v="4"/>
    <n v="16020"/>
    <s v="Sharfuddin Baba"/>
    <n v="1"/>
    <e v="#REF!"/>
    <e v="#REF!"/>
  </r>
  <r>
    <s v="B0814LP6S9"/>
    <s v="PrettyKrafts Laundry Basket for"/>
    <x v="20"/>
    <s v="Stationery"/>
    <n v="1099"/>
    <n v="351"/>
    <n v="8792"/>
    <n v="2808"/>
    <n v="5978.56"/>
    <n v="-5984"/>
    <n v="0.68"/>
    <n v="3.7"/>
    <n v="1470"/>
    <s v="XYZ,Bhanu,Lalitha,Alex Christopher,Jeet,Wendy,Dkthr3,Vidya"/>
    <n v="8"/>
    <e v="#REF!"/>
    <e v="#REF!"/>
  </r>
  <r>
    <s v="B07BKSSDR2"/>
    <s v="Dr Trust Electronic Kitchen"/>
    <x v="21"/>
    <s v="Tape"/>
    <n v="1900"/>
    <n v="899"/>
    <n v="5700"/>
    <n v="2697"/>
    <n v="3021"/>
    <n v="-3003"/>
    <n v="0.53"/>
    <n v="4"/>
    <n v="3663"/>
    <s v="Jagdeep,imtiaz dhalech,Simple"/>
    <n v="3"/>
    <e v="#REF!"/>
    <e v="#REF!"/>
  </r>
  <r>
    <s v="B09VGS66FV"/>
    <s v="Tesora - Inspired by"/>
    <x v="17"/>
    <s v="Keyboard&amp;MouseSets"/>
    <n v="1850"/>
    <n v="1349"/>
    <n v="3700"/>
    <n v="2698"/>
    <n v="999.00000000000011"/>
    <n v="-1002"/>
    <n v="0.27"/>
    <n v="4.4000000000000004"/>
    <n v="638"/>
    <s v="Aliahmed Khan,Pankaj"/>
    <n v="2"/>
    <e v="#REF!"/>
    <e v="#REF!"/>
  </r>
  <r>
    <s v="B07RCGTZ4M"/>
    <s v="AGARO Ace 1600 Watts,"/>
    <x v="22"/>
    <m/>
    <n v="9999"/>
    <n v="6236"/>
    <n v="29997"/>
    <n v="18708"/>
    <n v="11398.86"/>
    <n v="-11289"/>
    <n v="0.38"/>
    <n v="4.0999999999999996"/>
    <n v="3552"/>
    <s v="devadas,Dharmesh Soneta,Raghu"/>
    <n v="3"/>
    <e v="#REF!"/>
    <e v="#REF!"/>
  </r>
  <r>
    <s v="B0747VDH9L"/>
    <s v="INALSA Hand Blender 1000"/>
    <x v="23"/>
    <m/>
    <n v="3995"/>
    <n v="2742"/>
    <n v="11985"/>
    <n v="8226"/>
    <n v="3715.3500000000004"/>
    <n v="-3759"/>
    <n v="0.31"/>
    <n v="4.4000000000000004"/>
    <n v="11148"/>
    <s v="AngelðŸ‘¼,Neha Faizee,Amazon"/>
    <n v="3"/>
    <e v="#REF!"/>
    <e v="#REF!"/>
  </r>
  <r>
    <s v="B08XLR6DSB"/>
    <s v="akiara - Makes life"/>
    <x v="2"/>
    <s v="Tripods&amp;Monopods"/>
    <n v="1499"/>
    <n v="721"/>
    <n v="7495"/>
    <n v="3605"/>
    <n v="3897.4"/>
    <n v="-3890"/>
    <n v="0.52"/>
    <n v="3.1"/>
    <n v="2449"/>
    <s v="Kavya jain,Divya,Anushree,User,rahul"/>
    <n v="5"/>
    <e v="#REF!"/>
    <e v="#REF!"/>
  </r>
  <r>
    <s v="B08H6CZSHT"/>
    <s v="Philips EasySpeed Plus Steam"/>
    <x v="24"/>
    <s v="Scientific"/>
    <n v="3295"/>
    <n v="2903"/>
    <n v="13180"/>
    <n v="11612"/>
    <n v="1581.6"/>
    <n v="-1568"/>
    <n v="0.12"/>
    <n v="4.3"/>
    <n v="2299"/>
    <s v="M L.,SIVAKUMAR,Sriram,Kalpana"/>
    <n v="4"/>
    <e v="#REF!"/>
    <e v="#REF!"/>
  </r>
  <r>
    <s v="B07CVR2L5K"/>
    <s v="INALSA Electric Chopper Bullet-"/>
    <x v="25"/>
    <m/>
    <n v="2695"/>
    <n v="1656"/>
    <n v="5390"/>
    <n v="3312"/>
    <n v="2102.1"/>
    <n v="-2078"/>
    <n v="0.39"/>
    <n v="4.4000000000000004"/>
    <n v="6027"/>
    <s v="ajaydreamer,Tinu Ravi"/>
    <n v="2"/>
    <e v="#REF!"/>
    <e v="#REF!"/>
  </r>
  <r>
    <s v="B09J4YQYX3"/>
    <s v="Borosil Electric Egg Boiler,"/>
    <x v="2"/>
    <s v="Tripods&amp;Monopods"/>
    <n v="2290"/>
    <n v="1399"/>
    <n v="6870"/>
    <n v="4197"/>
    <n v="2679.3"/>
    <n v="-2673"/>
    <n v="0.39"/>
    <n v="4.4000000000000004"/>
    <n v="461"/>
    <s v="Renu,matthew thomas,Chandrakanth"/>
    <n v="3"/>
    <e v="#REF!"/>
    <e v="#REF!"/>
  </r>
  <r>
    <s v="B0B2DD8BQ8"/>
    <s v="Wipro Vesta Grill 1000"/>
    <x v="26"/>
    <s v="InkjetInkCartridges"/>
    <n v="3099"/>
    <n v="2079"/>
    <n v="6198"/>
    <n v="4158"/>
    <n v="2045.3400000000001"/>
    <n v="-2040"/>
    <n v="0.33"/>
    <n v="4.0999999999999996"/>
    <n v="282"/>
    <s v="Vaibhav G.,Archana"/>
    <n v="2"/>
    <e v="#REF!"/>
    <e v="#REF!"/>
  </r>
  <r>
    <s v="B0123P3PWE"/>
    <s v="Rico IRPRO 1500 Watt"/>
    <x v="17"/>
    <s v="Keyboard&amp;MiceAccessories"/>
    <n v="1075"/>
    <n v="999"/>
    <n v="2150"/>
    <n v="1998"/>
    <n v="150.50000000000003"/>
    <n v="-152"/>
    <n v="7.0000000000000007E-2"/>
    <n v="4.0999999999999996"/>
    <n v="9275"/>
    <s v="MANEESH Jaggari,Vishal"/>
    <n v="2"/>
    <e v="#REF!"/>
    <e v="#REF!"/>
  </r>
  <r>
    <s v="B08HDCWDXD"/>
    <s v="Eureka Forbes Active Clean"/>
    <x v="27"/>
    <s v="GamingMice"/>
    <n v="6999"/>
    <n v="3179"/>
    <n v="34995"/>
    <n v="15895"/>
    <n v="19247.25"/>
    <n v="-19100"/>
    <n v="0.55000000000000004"/>
    <n v="4"/>
    <n v="743"/>
    <s v="shiny,Placeholder,Karunakar,Veena rastogi,Chetan"/>
    <n v="5"/>
    <e v="#REF!"/>
    <e v="#REF!"/>
  </r>
  <r>
    <s v="B0836JGZ74"/>
    <s v="CSI INTERNATIONALÂ® Instant Water"/>
    <x v="28"/>
    <s v="Paints"/>
    <n v="2499"/>
    <n v="1049"/>
    <n v="7497"/>
    <n v="3147"/>
    <n v="4348.2599999999993"/>
    <n v="-4350"/>
    <n v="0.57999999999999996"/>
    <n v="3.6"/>
    <n v="328"/>
    <s v="Customer,Krishnendu halder,product"/>
    <n v="3"/>
    <e v="#REF!"/>
    <e v="#REF!"/>
  </r>
  <r>
    <s v="B0BCKJJN8R"/>
    <s v="Hindware Atlantic Xceed 5L"/>
    <x v="17"/>
    <s v="Keyboard&amp;MiceAccessories"/>
    <n v="7290"/>
    <n v="3599"/>
    <n v="14580"/>
    <n v="7198"/>
    <n v="7435.8"/>
    <n v="-7382"/>
    <n v="0.51"/>
    <n v="3.9"/>
    <n v="942"/>
    <s v="ABC user,Abhishek"/>
    <n v="2"/>
    <e v="#REF!"/>
    <e v="#REF!"/>
  </r>
  <r>
    <s v="B008P7IF02"/>
    <s v="Morphy Richards New Europa"/>
    <x v="29"/>
    <m/>
    <n v="5795"/>
    <n v="4799"/>
    <n v="23180"/>
    <n v="19196"/>
    <n v="3940.6000000000004"/>
    <n v="-3984"/>
    <n v="0.17"/>
    <n v="3.9"/>
    <n v="3815"/>
    <s v="Manish Holla,SuperPlayer117,Sudeepmirza,Amba"/>
    <n v="4"/>
    <e v="#REF!"/>
    <e v="#REF!"/>
  </r>
  <r>
    <s v="B08CNLYKW5"/>
    <s v="Lifelong Power - Pro"/>
    <x v="30"/>
    <s v="Macro&amp;RinglightFlashes"/>
    <n v="3398"/>
    <n v="1699"/>
    <n v="6796"/>
    <n v="3398"/>
    <n v="3398"/>
    <n v="-3398"/>
    <n v="0.5"/>
    <n v="3.8"/>
    <n v="7988"/>
    <s v="Lachhu Tejwani,Suaeb"/>
    <n v="2"/>
    <e v="#REF!"/>
    <e v="#REF!"/>
  </r>
  <r>
    <s v="B08C7TYHPB"/>
    <s v="iBELL Castor CTEK15L Premium"/>
    <x v="31"/>
    <m/>
    <n v="1490"/>
    <n v="664"/>
    <n v="2980"/>
    <n v="1328"/>
    <n v="1639.0000000000002"/>
    <n v="-1652"/>
    <n v="0.55000000000000004"/>
    <n v="4.0999999999999996"/>
    <n v="925"/>
    <s v="Rahul chauhan,Satyam"/>
    <n v="2"/>
    <e v="#REF!"/>
    <e v="#REF!"/>
  </r>
  <r>
    <s v="B08VJFYH6N"/>
    <s v="BAJAJ PYGMY MINI 110"/>
    <x v="32"/>
    <m/>
    <n v="1620"/>
    <n v="948"/>
    <n v="3240"/>
    <n v="1896"/>
    <n v="1328.3999999999999"/>
    <n v="-1344"/>
    <n v="0.41"/>
    <n v="4.0999999999999996"/>
    <n v="4370"/>
    <s v="Chesin Cherian,sheela"/>
    <n v="2"/>
    <e v="#REF!"/>
    <e v="#REF!"/>
  </r>
  <r>
    <s v="B08235JZFB"/>
    <s v="Crompton InstaGlide 1000-Watts Dry"/>
    <x v="13"/>
    <s v="Over-Ear"/>
    <n v="1000"/>
    <n v="850"/>
    <n v="5000"/>
    <n v="4250"/>
    <n v="750"/>
    <n v="-750"/>
    <n v="0.15"/>
    <n v="4.0999999999999996"/>
    <n v="7619"/>
    <s v="Yogesh,Ashok,raja,Debabrata Das,Pushkar"/>
    <n v="5"/>
    <e v="#REF!"/>
    <e v="#REF!"/>
  </r>
  <r>
    <s v="B078XFKBZL"/>
    <s v="Prestige Clean Home Water"/>
    <x v="8"/>
    <s v="BluetoothSpeakers"/>
    <n v="640"/>
    <n v="600"/>
    <n v="1280"/>
    <n v="1200"/>
    <n v="76.8"/>
    <n v="-80"/>
    <n v="0.06"/>
    <n v="3.8"/>
    <n v="2593"/>
    <s v="Chittaranjan Gantayat,Raja"/>
    <n v="2"/>
    <e v="#REF!"/>
    <e v="#REF!"/>
  </r>
  <r>
    <s v="B01M265AAK"/>
    <s v="Morphy Richards Aristo 2000"/>
    <x v="31"/>
    <m/>
    <n v="4495"/>
    <n v="3711"/>
    <n v="8990"/>
    <n v="7422"/>
    <n v="1528.3000000000002"/>
    <n v="-1568"/>
    <n v="0.17"/>
    <n v="4.3"/>
    <n v="356"/>
    <s v="Rajeev M,Lakhan"/>
    <n v="2"/>
    <e v="#REF!"/>
    <e v="#REF!"/>
  </r>
  <r>
    <s v="B0B694PXQJ"/>
    <s v="Gadgetronics Digital Kitchen Weighing"/>
    <x v="20"/>
    <s v="Stationery"/>
    <n v="2999"/>
    <n v="799"/>
    <n v="11996"/>
    <n v="3196"/>
    <n v="8757.08"/>
    <n v="-8800"/>
    <n v="0.73"/>
    <n v="4.5"/>
    <n v="63"/>
    <s v="Reena Rodrigues.,Placeholder,Adil,Srinath"/>
    <n v="4"/>
    <e v="#REF!"/>
    <e v="#REF!"/>
  </r>
  <r>
    <s v="B00B3VFJY2"/>
    <s v="HUL Pureit Germkill kit"/>
    <x v="33"/>
    <m/>
    <n v="980"/>
    <n v="980"/>
    <n v="1960"/>
    <n v="1960"/>
    <n v="0"/>
    <n v="0"/>
    <n v="0"/>
    <n v="4.2"/>
    <n v="4740"/>
    <s v="Amazon Customer,James"/>
    <n v="2"/>
    <e v="#REF!"/>
    <e v="#REF!"/>
  </r>
  <r>
    <s v="B08W9BK4MD"/>
    <s v="Tom &amp; Jerry Folding"/>
    <x v="1"/>
    <s v="BluetoothAdapters"/>
    <n v="899"/>
    <n v="351"/>
    <n v="1798"/>
    <n v="702"/>
    <n v="1096.78"/>
    <n v="-1096"/>
    <n v="0.61"/>
    <n v="3.9"/>
    <n v="296"/>
    <s v="asha chatri,Amazon"/>
    <n v="2"/>
    <e v="#REF!"/>
    <e v="#REF!"/>
  </r>
  <r>
    <s v="B09X5HD5T1"/>
    <s v="Ikea Little Loved Corner"/>
    <x v="15"/>
    <s v="USBtoUSBAdapters"/>
    <n v="499"/>
    <n v="229"/>
    <n v="1497"/>
    <n v="687"/>
    <n v="808.38000000000011"/>
    <n v="-810"/>
    <n v="0.54"/>
    <n v="3.5"/>
    <n v="185"/>
    <s v="bharath,Naveen manikandan,Garima"/>
    <n v="3"/>
    <e v="#REF!"/>
    <e v="#REF!"/>
  </r>
  <r>
    <s v="B08H6B3G96"/>
    <s v="Philips EasySpeed Plus Steam"/>
    <x v="2"/>
    <s v="Tripods&amp;Monopods"/>
    <n v="3995"/>
    <n v="3349"/>
    <n v="7990"/>
    <n v="6698"/>
    <n v="1278.4000000000001"/>
    <n v="-1292"/>
    <n v="0.16"/>
    <n v="4.3"/>
    <n v="1954"/>
    <s v="Khush,Vivek Chengappa"/>
    <n v="2"/>
    <e v="#REF!"/>
    <e v="#REF!"/>
  </r>
  <r>
    <s v="B09N3BFP4M"/>
    <s v="Bajaj New Shakti Neo"/>
    <x v="2"/>
    <s v="Film"/>
    <n v="11500"/>
    <n v="5499"/>
    <n v="23000"/>
    <n v="10998"/>
    <n v="11960"/>
    <n v="-12002"/>
    <n v="0.52"/>
    <n v="3.9"/>
    <n v="959"/>
    <s v="Lokesh Shukla,Srini"/>
    <n v="2"/>
    <e v="#REF!"/>
    <e v="#REF!"/>
  </r>
  <r>
    <s v="B09DSQXCM8"/>
    <s v="House of Quirk Reusable"/>
    <x v="31"/>
    <m/>
    <n v="499"/>
    <n v="299"/>
    <n v="1497"/>
    <n v="897"/>
    <n v="598.80000000000007"/>
    <n v="-600"/>
    <n v="0.4"/>
    <n v="3.9"/>
    <n v="1015"/>
    <s v="ANILKUMAR,Sudeep Jain,siri"/>
    <n v="3"/>
    <e v="#REF!"/>
    <e v="#REF!"/>
  </r>
  <r>
    <s v="B01M69WCZ6"/>
    <s v="Allin Exporters J66 Ultrasonic"/>
    <x v="34"/>
    <s v="Lamps"/>
    <n v="3550"/>
    <n v="2249"/>
    <n v="14200"/>
    <n v="8996"/>
    <n v="5254"/>
    <n v="-5204"/>
    <n v="0.37"/>
    <n v="4"/>
    <n v="3973"/>
    <s v="Anshuk Pani,Sujit,Neeraj,M"/>
    <n v="4"/>
    <e v="#REF!"/>
    <e v="#REF!"/>
  </r>
  <r>
    <s v="B0BM9H2NY9"/>
    <s v="Multifunctional 2 in 1"/>
    <x v="2"/>
    <s v="Cleaners"/>
    <n v="1599"/>
    <n v="699"/>
    <n v="6396"/>
    <n v="2796"/>
    <n v="3581.76"/>
    <n v="-3600"/>
    <n v="0.56000000000000005"/>
    <n v="4.7"/>
    <n v="2300"/>
    <s v="Nitin G.,Veerasomachary,Roshan,Kunwar"/>
    <n v="4"/>
    <e v="#REF!"/>
    <e v="#REF!"/>
  </r>
  <r>
    <s v="B099FDW2ZF"/>
    <s v="Maharaja Whiteline Nano Carbon"/>
    <x v="35"/>
    <s v="DomeCameras"/>
    <n v="1499"/>
    <n v="1235"/>
    <n v="4497"/>
    <n v="3705"/>
    <n v="809.46"/>
    <n v="-792"/>
    <n v="0.18"/>
    <n v="4.0999999999999996"/>
    <n v="203"/>
    <s v="AV,Amazon Customer,Navneet"/>
    <n v="3"/>
    <e v="#REF!"/>
    <e v="#REF!"/>
  </r>
  <r>
    <s v="B0B935YNR7"/>
    <s v="KENT Electric Chopper-B for"/>
    <x v="36"/>
    <s v="ScreenProtectors"/>
    <n v="2999"/>
    <n v="1349"/>
    <n v="5998"/>
    <n v="2698"/>
    <n v="3298.9"/>
    <n v="-3300"/>
    <n v="0.55000000000000004"/>
    <n v="3.8"/>
    <n v="441"/>
    <s v="Amazon Customer,Anurag"/>
    <n v="2"/>
    <e v="#REF!"/>
    <e v="#REF!"/>
  </r>
  <r>
    <s v="B07JGCGNDG"/>
    <s v="Crompton Amica 15-L 5"/>
    <x v="27"/>
    <s v="Gamepads"/>
    <n v="11500"/>
    <n v="6800"/>
    <n v="11500"/>
    <n v="6800"/>
    <n v="4715"/>
    <n v="-4700"/>
    <n v="0.41"/>
    <n v="4.0999999999999996"/>
    <n v="10308"/>
    <s v="Aryan Raj"/>
    <n v="1"/>
    <e v="#REF!"/>
    <e v="#REF!"/>
  </r>
  <r>
    <s v="B08L12N5H1"/>
    <s v="Eureka Forbes car Vac"/>
    <x v="24"/>
    <s v="Basic"/>
    <n v="2499"/>
    <n v="2099"/>
    <n v="12495"/>
    <n v="10495"/>
    <n v="1999.2000000000003"/>
    <n v="-2000"/>
    <n v="0.16"/>
    <s v="|"/>
    <n v="992"/>
    <s v="Divya,Dr Nefario,Deekshith,Preeti,Prasanth"/>
    <n v="5"/>
    <e v="#REF!"/>
    <e v="#REF!"/>
  </r>
  <r>
    <s v="B07GWTWFS2"/>
    <s v="KENT 16025 Sandwich Grill"/>
    <x v="37"/>
    <m/>
    <n v="1975"/>
    <n v="1699"/>
    <n v="9875"/>
    <n v="8495"/>
    <n v="1382.5"/>
    <n v="-1380"/>
    <n v="0.14000000000000001"/>
    <n v="4.0999999999999996"/>
    <n v="4716"/>
    <s v="Tabassum,Ark,AMIT GROVER,-,deshraj"/>
    <n v="5"/>
    <e v="#REF!"/>
    <e v="#REF!"/>
  </r>
  <r>
    <s v="B09KRHXTLN"/>
    <s v="Candes Gloster All in"/>
    <x v="38"/>
    <s v="PCMicrophones"/>
    <n v="1699"/>
    <n v="1069"/>
    <n v="3398"/>
    <n v="2138"/>
    <n v="1257.26"/>
    <n v="-1260"/>
    <n v="0.37"/>
    <n v="3.9"/>
    <n v="313"/>
    <s v="ASIF ANSARI,Amazon"/>
    <n v="2"/>
    <e v="#REF!"/>
    <e v="#REF!"/>
  </r>
  <r>
    <s v="B09H34V36W"/>
    <s v="Inalsa Electric Fan Heater"/>
    <x v="8"/>
    <s v="OutdoorSpeakers"/>
    <n v="2495"/>
    <n v="1349"/>
    <n v="4990"/>
    <n v="2698"/>
    <n v="2295.4"/>
    <n v="-2292"/>
    <n v="0.46"/>
    <n v="3.8"/>
    <n v="166"/>
    <s v="Alok Vajpayee,Amazon"/>
    <n v="2"/>
    <e v="#REF!"/>
    <e v="#REF!"/>
  </r>
  <r>
    <s v="B09J2QCKKM"/>
    <s v="Havells Zella Flap Auto"/>
    <x v="14"/>
    <s v="Bags&amp;Sleeves"/>
    <n v="3500"/>
    <n v="1499"/>
    <n v="14000"/>
    <n v="5996"/>
    <n v="7979.9999999999991"/>
    <n v="-8004"/>
    <n v="0.56999999999999995"/>
    <n v="4.0999999999999996"/>
    <n v="303"/>
    <s v="Jignesh malvi,Garry,sonu,Amazon"/>
    <n v="4"/>
    <e v="#REF!"/>
    <e v="#REF!"/>
  </r>
  <r>
    <s v="B09XRBJ94N"/>
    <s v="iBELL SM1301 3-in-1 Sandwich"/>
    <x v="39"/>
    <m/>
    <n v="4600"/>
    <n v="2092"/>
    <n v="27600"/>
    <n v="12552"/>
    <n v="15180"/>
    <n v="-15048"/>
    <n v="0.55000000000000004"/>
    <n v="4.3"/>
    <n v="562"/>
    <s v="Srishty,Somesh Bandopadhyay,sowjanya,pritamsharma,Jaseyfiroz,Basanth"/>
    <n v="6"/>
    <e v="#REF!"/>
    <e v="#REF!"/>
  </r>
  <r>
    <s v="B07SLNG3LW"/>
    <s v="Inalsa Vacuum Cleaner Wet"/>
    <x v="0"/>
    <s v="Cables"/>
    <n v="10295"/>
    <n v="3859"/>
    <n v="61770"/>
    <n v="23154"/>
    <n v="38915.100000000006"/>
    <n v="-38616"/>
    <n v="0.63"/>
    <n v="3.9"/>
    <n v="8095"/>
    <s v="Sunny Senpai,Prashant,chetna,Surendran,Harisha,Raju"/>
    <n v="6"/>
    <e v="#REF!"/>
    <e v="#REF!"/>
  </r>
  <r>
    <s v="B0BNDGL26T"/>
    <s v="MR. BRAND Portable USB"/>
    <x v="40"/>
    <m/>
    <n v="2199"/>
    <n v="499"/>
    <n v="4398"/>
    <n v="998"/>
    <n v="3386.46"/>
    <n v="-3400"/>
    <n v="0.77"/>
    <n v="2.8"/>
    <n v="109"/>
    <s v="Yashvant Gote,Nargis"/>
    <n v="2"/>
    <e v="#REF!"/>
    <e v="#REF!"/>
  </r>
  <r>
    <s v="B095PWLLY6"/>
    <s v="Crompton Hill Briz Deco"/>
    <x v="41"/>
    <m/>
    <n v="2380"/>
    <n v="1804"/>
    <n v="9520"/>
    <n v="7216"/>
    <n v="2284.7999999999997"/>
    <n v="-2304"/>
    <n v="0.24"/>
    <n v="4"/>
    <n v="15382"/>
    <s v="David,Pujeshwar Sharma,Abhishek,U"/>
    <n v="4"/>
    <e v="#REF!"/>
    <e v="#REF!"/>
  </r>
  <r>
    <s v="B07Y9PY6Y1"/>
    <s v="Sujata Powermatic Plus, Juicer"/>
    <x v="42"/>
    <m/>
    <n v="8820"/>
    <n v="6525"/>
    <n v="17640"/>
    <n v="13050"/>
    <n v="4586.4000000000005"/>
    <n v="-4590"/>
    <n v="0.26"/>
    <n v="4.5"/>
    <n v="5137"/>
    <s v="Arjun A,shwetha"/>
    <n v="2"/>
    <e v="#REF!"/>
    <e v="#REF!"/>
  </r>
  <r>
    <s v="B0BJ966M5K"/>
    <s v="Aquadpure Copper + Mineral"/>
    <x v="12"/>
    <s v="SecureDigitalCards"/>
    <n v="24999"/>
    <n v="4999"/>
    <n v="74997"/>
    <n v="14997"/>
    <n v="59997.600000000006"/>
    <n v="-60000"/>
    <n v="0.8"/>
    <n v="4.5999999999999996"/>
    <n v="124"/>
    <s v="Manish Mehekare,Rajesh,Nitesh"/>
    <n v="3"/>
    <e v="#REF!"/>
    <e v="#REF!"/>
  </r>
  <r>
    <s v="B086GVRP63"/>
    <s v="Amazon Basics 650 Watt"/>
    <x v="10"/>
    <s v="Photo&amp;VideoAccessories"/>
    <n v="2400"/>
    <n v="1189"/>
    <n v="4800"/>
    <n v="2378"/>
    <n v="2400"/>
    <n v="-2422"/>
    <n v="0.5"/>
    <n v="4.0999999999999996"/>
    <n v="618"/>
    <s v="Subhajit Sadhu,Indrajit"/>
    <n v="2"/>
    <e v="#REF!"/>
    <e v="#REF!"/>
  </r>
  <r>
    <s v="B08MVXPTDG"/>
    <s v="Crompton Insta Delight Fan"/>
    <x v="38"/>
    <s v="Webcams&amp;VoIPEquipment"/>
    <n v="4200"/>
    <n v="2590"/>
    <n v="8400"/>
    <n v="5180"/>
    <n v="3192"/>
    <n v="-3220"/>
    <n v="0.38"/>
    <n v="4.0999999999999996"/>
    <n v="63"/>
    <s v="Kanwar Singh,mukesh"/>
    <n v="2"/>
    <e v="#REF!"/>
    <e v="#REF!"/>
  </r>
  <r>
    <s v="B0BMZ6SY89"/>
    <s v="!!HANEUL!!1000 Watt/2000-Watt Room Heater!!"/>
    <x v="14"/>
    <s v="CoolingPads"/>
    <n v="1599"/>
    <n v="899"/>
    <n v="6396"/>
    <n v="3596"/>
    <n v="2814.2400000000002"/>
    <n v="-2800"/>
    <n v="0.44"/>
    <n v="3.4"/>
    <n v="15"/>
    <s v="Vivek,Amazon Customer,Kundan,Rajan"/>
    <n v="4"/>
    <e v="#REF!"/>
    <e v="#REF!"/>
  </r>
  <r>
    <s v="B09P1MFKG1"/>
    <s v="Melbon VM-905 2000-Watt Room"/>
    <x v="14"/>
    <m/>
    <n v="2999"/>
    <n v="998"/>
    <n v="8997"/>
    <n v="2994"/>
    <n v="6027.9900000000007"/>
    <n v="-6003"/>
    <n v="0.67"/>
    <n v="4.5999999999999996"/>
    <n v="9"/>
    <s v="Chanchal Gurjar,Shyam,Lalit"/>
    <n v="3"/>
    <e v="#REF!"/>
    <e v="#REF!"/>
  </r>
  <r>
    <s v="B01LY9W8AF"/>
    <s v="Cello Eliza Plastic Laundry"/>
    <x v="36"/>
    <s v="Stands"/>
    <n v="1282"/>
    <n v="998.06"/>
    <n v="5128"/>
    <n v="3992.24"/>
    <n v="1128.1600000000001"/>
    <n v="-1135.7600000000002"/>
    <n v="0.22"/>
    <n v="4.2"/>
    <n v="7274"/>
    <s v="Amit Singh,RN,Madhuri,SHUKDEB"/>
    <n v="4"/>
    <e v="#REF!"/>
    <e v="#REF!"/>
  </r>
  <r>
    <s v="B07ZJND9B9"/>
    <s v="ACTIVA 1200 MM HIGH"/>
    <x v="43"/>
    <m/>
    <n v="1990"/>
    <n v="1099"/>
    <n v="5970"/>
    <n v="3297"/>
    <n v="2686.5"/>
    <n v="-2673"/>
    <n v="0.45"/>
    <n v="3.9"/>
    <n v="5911"/>
    <s v="Ravi,Pasala Eswararao,Verified"/>
    <n v="3"/>
    <e v="#REF!"/>
    <e v="#REF!"/>
  </r>
  <r>
    <s v="B0B2CWRDB1"/>
    <s v="Shakti Technology S5 High"/>
    <x v="20"/>
    <s v="Copy&amp;PrintingPaper"/>
    <n v="9999"/>
    <n v="5999"/>
    <n v="59994"/>
    <n v="35994"/>
    <n v="23997.600000000002"/>
    <n v="-24000"/>
    <n v="0.4"/>
    <n v="4.2"/>
    <n v="170"/>
    <s v="Ravinder kumar,Ashok,tejas,seema,HARSHVARDHAN,Shubham"/>
    <n v="6"/>
    <e v="#REF!"/>
    <e v="#REF!"/>
  </r>
  <r>
    <s v="B072NCN9M4"/>
    <s v="AMERICAN MICRONIC- Imported Wet"/>
    <x v="44"/>
    <m/>
    <n v="11850"/>
    <n v="8886"/>
    <n v="47400"/>
    <n v="35544"/>
    <n v="11850"/>
    <n v="-11856"/>
    <n v="0.25"/>
    <n v="4.2"/>
    <n v="3065"/>
    <s v="A.sh,Jp,Junaid Yaseen,Maya"/>
    <n v="4"/>
    <e v="#REF!"/>
    <e v="#REF!"/>
  </r>
  <r>
    <s v="B08SKZ2RMG"/>
    <s v="Demokrazy New Nova Lint"/>
    <x v="8"/>
    <s v="MultimediaSpeakerSystems"/>
    <n v="999"/>
    <n v="475"/>
    <n v="3996"/>
    <n v="1900"/>
    <n v="2077.92"/>
    <n v="-2096"/>
    <n v="0.52"/>
    <n v="4.0999999999999996"/>
    <n v="1021"/>
    <s v="vipin,Bhavana Rangarajan,Raj,Dimple"/>
    <n v="4"/>
    <e v="#REF!"/>
    <e v="#REF!"/>
  </r>
  <r>
    <s v="B0B53DS4TF"/>
    <s v="Instant Pot Air Fryer,"/>
    <x v="45"/>
    <m/>
    <n v="20049"/>
    <n v="4995"/>
    <n v="60147"/>
    <n v="14985"/>
    <n v="45110.25"/>
    <n v="-45162"/>
    <n v="0.75"/>
    <n v="4.8"/>
    <n v="3964"/>
    <s v="nikhil,Rituja Ray,Prasan"/>
    <n v="3"/>
    <e v="#REF!"/>
    <e v="#REF!"/>
  </r>
  <r>
    <s v="B08BJN4MP3"/>
    <s v="HUL Pureit Eco Water"/>
    <x v="14"/>
    <s v="LaptopChargers&amp;PowerSupplies"/>
    <n v="24850"/>
    <n v="13999"/>
    <n v="49700"/>
    <n v="27998"/>
    <n v="21868"/>
    <n v="-21702"/>
    <n v="0.44"/>
    <n v="4.4000000000000004"/>
    <n v="8948"/>
    <s v="vaibhav anand,Debendra"/>
    <n v="2"/>
    <e v="#REF!"/>
    <e v="#REF!"/>
  </r>
  <r>
    <s v="B0BCYQY9X5"/>
    <s v="Livpure Glo Star RO+UV+UF+Mineraliser"/>
    <x v="38"/>
    <s v="PCSpeakers"/>
    <n v="16490"/>
    <n v="8499"/>
    <n v="32980"/>
    <n v="16998"/>
    <n v="15830.4"/>
    <n v="-15982"/>
    <n v="0.48"/>
    <n v="4.3"/>
    <n v="97"/>
    <s v="Amazon Customer,Ushanandhini"/>
    <n v="2"/>
    <e v="#REF!"/>
    <e v="#REF!"/>
  </r>
  <r>
    <s v="B009UORDX4"/>
    <s v="Philips Hi113 1000-Watt Plastic"/>
    <x v="2"/>
    <s v="Batteries&amp;Chargers"/>
    <n v="975"/>
    <n v="949"/>
    <n v="2925"/>
    <n v="2847"/>
    <n v="87.75"/>
    <n v="-78"/>
    <n v="0.03"/>
    <n v="4.3"/>
    <n v="7223"/>
    <s v="Bharath,Yuvraj Mane,Aruna"/>
    <n v="3"/>
    <e v="#REF!"/>
    <e v="#REF!"/>
  </r>
  <r>
    <s v="B08VGDBF3B"/>
    <s v="Kuber Industries Round Non"/>
    <x v="36"/>
    <s v="Bags,Cases&amp;Sleeves"/>
    <n v="499"/>
    <n v="395"/>
    <n v="1996"/>
    <n v="1580"/>
    <n v="419.15999999999997"/>
    <n v="-416"/>
    <n v="0.21"/>
    <n v="4"/>
    <n v="330"/>
    <s v="9640185788,Piyush Mishra,Vickie,Sakshi"/>
    <n v="4"/>
    <e v="#REF!"/>
    <e v="#REF!"/>
  </r>
  <r>
    <s v="B012ELCYUG"/>
    <s v="Preethi MGA-502 0.4-Litre Grind"/>
    <x v="46"/>
    <s v="DrawingMedia"/>
    <n v="635"/>
    <n v="635"/>
    <n v="3175"/>
    <n v="3175"/>
    <n v="0"/>
    <n v="0"/>
    <n v="0"/>
    <n v="4.3"/>
    <n v="4570"/>
    <s v="Sunil Khandagale,Shamim,HARI.M,Malini,Kusal"/>
    <n v="5"/>
    <e v="#REF!"/>
    <e v="#REF!"/>
  </r>
  <r>
    <s v="B07S9M8YTY"/>
    <s v="Usha Aurora 1000 W"/>
    <x v="47"/>
    <m/>
    <n v="1390"/>
    <n v="717"/>
    <n v="2780"/>
    <n v="1434"/>
    <n v="1334.3999999999999"/>
    <n v="-1346"/>
    <n v="0.48"/>
    <n v="4"/>
    <n v="4867"/>
    <s v="Sachin Sahu,Arpita"/>
    <n v="2"/>
    <e v="#REF!"/>
    <e v="#REF!"/>
  </r>
  <r>
    <s v="B0B19VJXQZ"/>
    <s v="ECOVACS DEEBOT N8 2-in-1"/>
    <x v="48"/>
    <m/>
    <n v="59900"/>
    <n v="27900"/>
    <n v="119800"/>
    <n v="55800"/>
    <n v="63494"/>
    <n v="-64000"/>
    <n v="0.53"/>
    <n v="4.4000000000000004"/>
    <n v="5298"/>
    <s v="Jaydeep,Jayakrishnan R"/>
    <n v="2"/>
    <e v="#REF!"/>
    <e v="#REF!"/>
  </r>
  <r>
    <s v="B00SMFPJG0"/>
    <s v="Kent Gold, Optima, Gold+"/>
    <x v="46"/>
    <s v="DrawingMedia"/>
    <n v="670"/>
    <n v="649"/>
    <n v="3350"/>
    <n v="3245"/>
    <n v="100.49999999999999"/>
    <n v="-105"/>
    <n v="0.03"/>
    <n v="4.0999999999999996"/>
    <n v="7786"/>
    <s v="Shivraj,Subham,yedukondalu,MOHD MOHSIN,Jagdish"/>
    <n v="5"/>
    <e v="#REF!"/>
    <e v="#REF!"/>
  </r>
  <r>
    <s v="B0BHYLCL19"/>
    <s v="AVNISH Tap Water Purifier"/>
    <x v="0"/>
    <s v="Cables"/>
    <n v="399"/>
    <n v="193"/>
    <n v="798"/>
    <n v="386"/>
    <n v="414.96000000000004"/>
    <n v="-412"/>
    <n v="0.52"/>
    <n v="3.6"/>
    <n v="37"/>
    <s v="Vasanta Koli,Vaibhav"/>
    <n v="2"/>
    <e v="#REF!"/>
    <e v="#REF!"/>
  </r>
  <r>
    <s v="B0BPJBTB3F"/>
    <s v="Khaitan ORFin Fan heater"/>
    <x v="38"/>
    <s v="PCHeadsets"/>
    <n v="2495"/>
    <n v="1299"/>
    <n v="4990"/>
    <n v="2598"/>
    <n v="2395.1999999999998"/>
    <n v="-2392"/>
    <n v="0.48"/>
    <n v="2"/>
    <n v="2"/>
    <s v="Manidipa Sengupta,Vidisha"/>
    <n v="2"/>
    <e v="#REF!"/>
    <e v="#REF!"/>
  </r>
  <r>
    <s v="B08MXJYB2V"/>
    <s v="USHA RapidMix 500-Watt Copper"/>
    <x v="27"/>
    <s v="GamingKeyboards"/>
    <n v="3390"/>
    <n v="2449"/>
    <n v="10170"/>
    <n v="7347"/>
    <n v="2847.6000000000004"/>
    <n v="-2823"/>
    <n v="0.28000000000000003"/>
    <n v="4"/>
    <n v="5206"/>
    <s v="PK,Manigandan K,Monu"/>
    <n v="3"/>
    <e v="#REF!"/>
    <e v="#REF!"/>
  </r>
  <r>
    <s v="B081B1JL35"/>
    <s v="CSI INTERNATIONALÂ® Instant Water"/>
    <x v="8"/>
    <s v="SoundbarSpeakers"/>
    <n v="2499"/>
    <n v="1049"/>
    <n v="4998"/>
    <n v="2098"/>
    <n v="2898.8399999999997"/>
    <n v="-2900"/>
    <n v="0.57999999999999996"/>
    <n v="3.7"/>
    <n v="638"/>
    <s v="Dhamotharan,SHEIK UMAR"/>
    <n v="2"/>
    <e v="#REF!"/>
    <e v="#REF!"/>
  </r>
  <r>
    <s v="B09VL9KFDB"/>
    <s v="Havells Gatik Neo 400mm"/>
    <x v="49"/>
    <m/>
    <n v="4200"/>
    <n v="2399"/>
    <n v="12600"/>
    <n v="7197"/>
    <n v="5418"/>
    <n v="-5403"/>
    <n v="0.43"/>
    <n v="3.8"/>
    <n v="397"/>
    <s v="Surya,Amazon Customer,Amazgon"/>
    <n v="3"/>
    <e v="#REF!"/>
    <e v="#REF!"/>
  </r>
  <r>
    <s v="B0B1MDZV9C"/>
    <s v="INALSA Upright Vacuum Cleaner,"/>
    <x v="48"/>
    <s v="InkjetPrinters"/>
    <n v="4495"/>
    <n v="2286"/>
    <n v="4495"/>
    <n v="2286"/>
    <n v="2202.5500000000002"/>
    <n v="-2209"/>
    <n v="0.49"/>
    <n v="3.9"/>
    <n v="326"/>
    <s v="Vishnu S."/>
    <n v="1"/>
    <e v="#REF!"/>
    <e v="#REF!"/>
  </r>
  <r>
    <s v="B08TT63N58"/>
    <s v="ROYAL STEP - AMAZON'S"/>
    <x v="50"/>
    <s v="ColouringPens&amp;Markers"/>
    <n v="2199"/>
    <n v="499"/>
    <n v="4398"/>
    <n v="998"/>
    <n v="3386.46"/>
    <n v="-3400"/>
    <n v="0.77"/>
    <n v="3.1"/>
    <n v="3527"/>
    <s v="Amazon Customer,Amazon"/>
    <n v="2"/>
    <e v="#REF!"/>
    <e v="#REF!"/>
  </r>
  <r>
    <s v="B08YK7BBD2"/>
    <s v="Nirdambhay Mini Bag Sealer,"/>
    <x v="27"/>
    <s v="Headsets"/>
    <n v="999"/>
    <n v="429"/>
    <n v="3996"/>
    <n v="1716"/>
    <n v="2277.7199999999998"/>
    <n v="-2280"/>
    <n v="0.56999999999999995"/>
    <n v="3"/>
    <n v="617"/>
    <s v="Ritika,ABHISHEK U.,Bhavika,Rekha"/>
    <n v="4"/>
    <e v="#REF!"/>
    <e v="#REF!"/>
  </r>
  <r>
    <s v="B07YQ5SN4H"/>
    <s v="Cello Non-Stick Aluminium Sandwich"/>
    <x v="51"/>
    <m/>
    <n v="595"/>
    <n v="299"/>
    <n v="2380"/>
    <n v="1196"/>
    <n v="1190"/>
    <n v="-1184"/>
    <n v="0.5"/>
    <n v="4"/>
    <n v="314"/>
    <s v="deepika chaturvedi,Rishu,SKG,sachin"/>
    <n v="4"/>
    <e v="#REF!"/>
    <e v="#REF!"/>
  </r>
  <r>
    <s v="B0B7FJNSZR"/>
    <s v="ProvenÂ® Copper + Mineral"/>
    <x v="1"/>
    <s v="PowerLANAdapters"/>
    <n v="19990"/>
    <n v="5395"/>
    <n v="139930"/>
    <n v="37765"/>
    <n v="102148.9"/>
    <n v="-102165"/>
    <n v="0.73"/>
    <n v="4.4000000000000004"/>
    <n v="535"/>
    <s v="Bobby,Arunkumar,aditya,sanket,srinivasa m,Sandy,Pradeep"/>
    <n v="7"/>
    <e v="#REF!"/>
    <e v="#REF!"/>
  </r>
  <r>
    <s v="B01N6IJG0F"/>
    <s v="Morphy Richards Daisy 1000W"/>
    <x v="26"/>
    <s v="InkjetInkRefills&amp;Kits"/>
    <n v="1010"/>
    <n v="559"/>
    <n v="2020"/>
    <n v="1118"/>
    <n v="909"/>
    <n v="-902"/>
    <n v="0.45"/>
    <n v="4.0999999999999996"/>
    <n v="17325"/>
    <s v="Gopal Bhakat,AJIT"/>
    <n v="2"/>
    <e v="#REF!"/>
    <e v="#REF!"/>
  </r>
  <r>
    <s v="B0B84QN4CN"/>
    <s v="Wipro Vesta 1200 Watt"/>
    <x v="2"/>
    <s v="PhotoStudio&amp;Lighting"/>
    <n v="1100"/>
    <n v="660"/>
    <n v="3300"/>
    <n v="1980"/>
    <n v="1320"/>
    <n v="-1320"/>
    <n v="0.4"/>
    <n v="3.6"/>
    <n v="91"/>
    <s v="Aniket Chudnaik,Wasimraja,Rahul"/>
    <n v="3"/>
    <e v="#REF!"/>
    <e v="#REF!"/>
  </r>
  <r>
    <s v="B0B8ZM9RVV"/>
    <s v="Zuvexa Egg Boiler Poacher"/>
    <x v="24"/>
    <s v="Financial&amp;Business"/>
    <n v="999"/>
    <n v="419"/>
    <n v="1998"/>
    <n v="838"/>
    <n v="1158.8399999999999"/>
    <n v="-1160"/>
    <n v="0.57999999999999996"/>
    <n v="4.4000000000000004"/>
    <n v="227"/>
    <s v="Nishant sharma,E"/>
    <n v="2"/>
    <e v="#REF!"/>
    <e v="#REF!"/>
  </r>
  <r>
    <s v="B01892MIPA"/>
    <s v="AO Smith HSE-VAS-X-015 Storage"/>
    <x v="52"/>
    <m/>
    <n v="10900"/>
    <n v="7349"/>
    <n v="32700"/>
    <n v="22047"/>
    <n v="10791"/>
    <n v="-10653"/>
    <n v="0.33"/>
    <n v="4.2"/>
    <n v="11957"/>
    <s v="VINAY,uday patil,Amazon"/>
    <n v="3"/>
    <e v="#REF!"/>
    <e v="#REF!"/>
  </r>
  <r>
    <s v="B08ZHYNTM1"/>
    <s v="Havells Festiva 1200mm Dust"/>
    <x v="31"/>
    <m/>
    <n v="4005"/>
    <n v="2899"/>
    <n v="8010"/>
    <n v="5798"/>
    <n v="2242.8000000000002"/>
    <n v="-2212"/>
    <n v="0.28000000000000003"/>
    <n v="4.3"/>
    <n v="7140"/>
    <s v="Sheetal Satish,Vipul"/>
    <n v="2"/>
    <e v="#REF!"/>
    <e v="#REF!"/>
  </r>
  <r>
    <s v="B09SDDQQKP"/>
    <s v="INALSA Vaccum Cleaner Handheld"/>
    <x v="53"/>
    <m/>
    <n v="3295"/>
    <n v="1799"/>
    <n v="6590"/>
    <n v="3598"/>
    <n v="2965.5"/>
    <n v="-2992"/>
    <n v="0.45"/>
    <n v="3.8"/>
    <n v="687"/>
    <s v="prem chand,Avishek"/>
    <n v="2"/>
    <e v="#REF!"/>
    <e v="#REF!"/>
  </r>
  <r>
    <s v="B0B5RP43VN"/>
    <s v="iBELL SM1515NEW Sandwich Maker"/>
    <x v="28"/>
    <m/>
    <n v="4650"/>
    <n v="1474"/>
    <n v="13950"/>
    <n v="4422"/>
    <n v="9486"/>
    <n v="-9528"/>
    <n v="0.68"/>
    <n v="4.0999999999999996"/>
    <n v="1045"/>
    <s v="Shiva,Saurabh vats,Gaurav"/>
    <n v="3"/>
    <e v="#REF!"/>
    <e v="#REF!"/>
  </r>
  <r>
    <s v="B096NTB9XT"/>
    <s v="Aquaguard Aura RO+UV+UF+Taste Adjuster"/>
    <x v="26"/>
    <s v="TonerCartridges"/>
    <n v="24500"/>
    <n v="15999"/>
    <n v="73500"/>
    <n v="47997"/>
    <n v="25725"/>
    <n v="-25503"/>
    <n v="0.35"/>
    <n v="4"/>
    <n v="11206"/>
    <s v="Shivang,Renu S,Balaram"/>
    <n v="3"/>
    <e v="#REF!"/>
    <e v="#REF!"/>
  </r>
  <r>
    <s v="B078JF6X9B"/>
    <s v="Havells Instanio 3-Litre 4.5KW"/>
    <x v="54"/>
    <s v="Caddies"/>
    <n v="6070"/>
    <n v="3645"/>
    <n v="18210"/>
    <n v="10935"/>
    <n v="7284"/>
    <n v="-7275"/>
    <n v="0.4"/>
    <n v="4.2"/>
    <n v="561"/>
    <s v="Kindle Customer,rajni,JYOTI"/>
    <n v="3"/>
    <e v="#REF!"/>
    <e v="#REF!"/>
  </r>
  <r>
    <s v="B08CGW4GYR"/>
    <s v="Milk Frother, Immersion Blender"/>
    <x v="55"/>
    <m/>
    <n v="999"/>
    <n v="375"/>
    <n v="1998"/>
    <n v="750"/>
    <n v="1238.76"/>
    <n v="-1248"/>
    <n v="0.62"/>
    <n v="3.6"/>
    <n v="1988"/>
    <s v="Nipurn Ruhela,Shalini"/>
    <n v="2"/>
    <e v="#REF!"/>
    <e v="#REF!"/>
  </r>
  <r>
    <s v="B00A328ENA"/>
    <s v="Panasonic SR-WA22H"/>
    <x v="56"/>
    <s v="Kettles&amp;HotWaterDispensers"/>
    <n v="3945"/>
    <n v="2976"/>
    <n v="7890"/>
    <n v="5952"/>
    <n v="1972.5"/>
    <n v="-1938"/>
    <n v="0.25"/>
    <n v="4.2"/>
    <n v="3740"/>
    <s v="Aniruddha biswas,Manoj"/>
    <n v="2"/>
    <e v="#REF!"/>
    <e v="#REF!"/>
  </r>
  <r>
    <s v="B0763K5HLQ"/>
    <s v="InstaCuppa Milk Frother for"/>
    <x v="57"/>
    <s v="ElectricHeaters"/>
    <n v="1499"/>
    <n v="1099"/>
    <n v="4497"/>
    <n v="3297"/>
    <n v="1214.19"/>
    <n v="-1200"/>
    <n v="0.27"/>
    <n v="4.0999999999999996"/>
    <n v="4401"/>
    <s v="Anshika Verma,Dippy,Mitesh"/>
    <n v="3"/>
    <e v="#REF!"/>
    <e v="#REF!"/>
  </r>
  <r>
    <s v="B09PDZNSBG"/>
    <s v="Goodscity Garment Steamer for"/>
    <x v="57"/>
    <s v="FanHeaters"/>
    <n v="6700"/>
    <n v="2575"/>
    <n v="20100"/>
    <n v="7725"/>
    <n v="12462"/>
    <n v="-12375"/>
    <n v="0.62"/>
    <n v="4.2"/>
    <n v="611"/>
    <s v="NIKITA,Amazon Customer,Ankita"/>
    <n v="3"/>
    <e v="#REF!"/>
    <e v="#REF!"/>
  </r>
  <r>
    <s v="B085LPT5F4"/>
    <s v="Solidaire 550-Watt Mixer Grinder"/>
    <x v="58"/>
    <s v="Irons,Steamers&amp;Accessories"/>
    <n v="2800"/>
    <n v="1649"/>
    <n v="5600"/>
    <n v="3298"/>
    <n v="2296"/>
    <n v="-2302"/>
    <n v="0.41"/>
    <n v="3.9"/>
    <n v="2162"/>
    <s v="Mukta Khan,mal"/>
    <n v="2"/>
    <e v="#REF!"/>
    <e v="#REF!"/>
  </r>
  <r>
    <s v="B0B9RZ4G4W"/>
    <s v="Amazon Basics 300 W"/>
    <x v="56"/>
    <s v="DigitalKitchenScales"/>
    <n v="1699"/>
    <n v="799"/>
    <n v="6796"/>
    <n v="3196"/>
    <n v="3601.88"/>
    <n v="-3600"/>
    <n v="0.53"/>
    <n v="4"/>
    <n v="97"/>
    <s v="JASWANTSINGH,Vedant Joshi,Subanathan,NARENDRA"/>
    <n v="4"/>
    <e v="#REF!"/>
    <e v="#REF!"/>
  </r>
  <r>
    <s v="B0085W2MUQ"/>
    <s v="Orpat HHB-100E 250-Watt Hand"/>
    <x v="59"/>
    <s v="ManualChoppers&amp;Chippers"/>
    <n v="970"/>
    <n v="765"/>
    <n v="2910"/>
    <n v="2295"/>
    <n v="611.09999999999991"/>
    <n v="-615"/>
    <n v="0.21"/>
    <n v="4.2"/>
    <n v="6055"/>
    <s v="Boo,Jeevan Kumar,Shivam"/>
    <n v="3"/>
    <e v="#REF!"/>
    <e v="#REF!"/>
  </r>
  <r>
    <s v="B09474JWN6"/>
    <s v="HealthSense Rechargeable Lint Remover"/>
    <x v="56"/>
    <s v="InductionCooktop"/>
    <n v="1500"/>
    <n v="999"/>
    <n v="4500"/>
    <n v="2997"/>
    <n v="1485"/>
    <n v="-1503"/>
    <n v="0.33"/>
    <n v="4.2"/>
    <n v="386"/>
    <s v="GB SLG,Jemin,Ashwini"/>
    <n v="3"/>
    <e v="#REF!"/>
    <e v="#REF!"/>
  </r>
  <r>
    <s v="B09G2VTHQM"/>
    <s v="AGARO Classic Portable Yogurt"/>
    <x v="56"/>
    <s v="HandBlenders"/>
    <n v="1295"/>
    <n v="587"/>
    <n v="5180"/>
    <n v="2348"/>
    <n v="2849.0000000000005"/>
    <n v="-2832"/>
    <n v="0.55000000000000004"/>
    <n v="4.0999999999999996"/>
    <n v="557"/>
    <s v="Hem,Anya,Deepak Roy,ASHUTOSH"/>
    <n v="4"/>
    <e v="#REF!"/>
    <e v="#REF!"/>
  </r>
  <r>
    <s v="B07R679HTT"/>
    <s v="AGARO Imperial 240-Watt Slow"/>
    <x v="58"/>
    <s v="Irons,Steamers&amp;Accessories"/>
    <n v="23999"/>
    <n v="12609"/>
    <n v="47998"/>
    <n v="25218"/>
    <n v="22559.059999999998"/>
    <n v="-22780"/>
    <n v="0.47"/>
    <n v="4.4000000000000004"/>
    <n v="2288"/>
    <s v="Karan Singh,Sajan"/>
    <n v="2"/>
    <e v="#REF!"/>
    <e v="#REF!"/>
  </r>
  <r>
    <s v="B00B7GKXMG"/>
    <s v="Wipro Smartlife Super Deluxe"/>
    <x v="56"/>
    <s v="MixerGrinders"/>
    <n v="850"/>
    <n v="699"/>
    <n v="1700"/>
    <n v="1398"/>
    <n v="306"/>
    <n v="-302"/>
    <n v="0.18"/>
    <n v="4.0999999999999996"/>
    <n v="1106"/>
    <s v="manjula,Rishi Kumar"/>
    <n v="2"/>
    <e v="#REF!"/>
    <e v="#REF!"/>
  </r>
  <r>
    <s v="B07H3N8RJH"/>
    <s v="AmazonBasics Cylinder Bagless Vacuum"/>
    <x v="60"/>
    <s v="InstantWaterHeaters"/>
    <n v="6000"/>
    <n v="3799"/>
    <n v="36000"/>
    <n v="22794"/>
    <n v="13320"/>
    <n v="-13206"/>
    <n v="0.37"/>
    <n v="4.2"/>
    <n v="11935"/>
    <s v="Liliput99,umamaheswaran,Alina,Prasanthi,Amazon Customer,Nissam"/>
    <n v="6"/>
    <e v="#REF!"/>
    <e v="#REF!"/>
  </r>
  <r>
    <s v="B07K2HVKLL"/>
    <s v="Crompton IHL 251 1500-Watt"/>
    <x v="57"/>
    <m/>
    <n v="1020"/>
    <n v="640"/>
    <n v="1020"/>
    <n v="640"/>
    <n v="377.4"/>
    <n v="-380"/>
    <n v="0.37"/>
    <n v="4.0999999999999996"/>
    <n v="5059"/>
    <s v="Nikhil Kumar"/>
    <n v="1"/>
    <e v="#REF!"/>
    <e v="#REF!"/>
  </r>
  <r>
    <s v="B09MQ9PDHR"/>
    <s v="SaiEllin Room Heater For"/>
    <x v="56"/>
    <s v="Kettles&amp;HotWaterDispensers"/>
    <n v="1999"/>
    <n v="979"/>
    <n v="5997"/>
    <n v="2937"/>
    <n v="3058.4700000000003"/>
    <n v="-3060"/>
    <n v="0.51"/>
    <n v="3.9"/>
    <n v="157"/>
    <s v="Manish kumar,Randh,Vijay"/>
    <n v="3"/>
    <e v="#REF!"/>
    <e v="#REF!"/>
  </r>
  <r>
    <s v="B014HDJ7ZE"/>
    <s v="Bajaj Majesty Duetto Gas"/>
    <x v="60"/>
    <s v="StorageWaterHeaters"/>
    <n v="7445"/>
    <n v="5365"/>
    <n v="14890"/>
    <n v="10730"/>
    <n v="4169.2000000000007"/>
    <n v="-4160"/>
    <n v="0.28000000000000003"/>
    <n v="3.9"/>
    <n v="3584"/>
    <s v="jaydeep barad,Amazon"/>
    <n v="2"/>
    <e v="#REF!"/>
    <e v="#REF!"/>
  </r>
  <r>
    <s v="B07D2NMTTV"/>
    <s v="Black + Decker BD"/>
    <x v="60"/>
    <s v="ImmersionRods"/>
    <n v="3500"/>
    <n v="3199"/>
    <n v="7000"/>
    <n v="6398"/>
    <n v="630"/>
    <n v="-602"/>
    <n v="0.09"/>
    <n v="4.2"/>
    <n v="1899"/>
    <s v="Sivaraman S,V"/>
    <n v="2"/>
    <e v="#REF!"/>
    <e v="#REF!"/>
  </r>
  <r>
    <s v="B075K76YW1"/>
    <s v="Inalsa Hand Blender| Hand"/>
    <x v="56"/>
    <s v="DeepFatFryers"/>
    <n v="1395"/>
    <n v="979"/>
    <n v="5580"/>
    <n v="3916"/>
    <n v="1674"/>
    <n v="-1664"/>
    <n v="0.3"/>
    <n v="4.2"/>
    <n v="15252"/>
    <s v="Placeholder,V P.,sanjay,Amazon"/>
    <n v="4"/>
    <e v="#REF!"/>
    <e v="#REF!"/>
  </r>
  <r>
    <s v="B0BNLFQDG2"/>
    <s v="Longway Blaze 2 Rod"/>
    <x v="61"/>
    <s v="LaundryBaskets"/>
    <n v="2199"/>
    <n v="929"/>
    <n v="6597"/>
    <n v="2787"/>
    <n v="3826.2599999999993"/>
    <n v="-3810"/>
    <n v="0.57999999999999996"/>
    <n v="3.7"/>
    <n v="4"/>
    <s v="Amit,Chahat Goyal,Gurpiyar"/>
    <n v="3"/>
    <e v="#REF!"/>
    <e v="#REF!"/>
  </r>
  <r>
    <s v="B082ZQ4479"/>
    <s v="Prestige PWG 07 Wet"/>
    <x v="56"/>
    <s v="JuicerMixerGrinders"/>
    <n v="4330"/>
    <n v="3710"/>
    <n v="25980"/>
    <n v="22260"/>
    <n v="3637.2000000000003"/>
    <n v="-3720"/>
    <n v="0.14000000000000001"/>
    <n v="3.7"/>
    <n v="1662"/>
    <s v="Vinod,Gopinath,ravi,Pooja,Kamlesh B.,Anand"/>
    <n v="6"/>
    <e v="#REF!"/>
    <e v="#REF!"/>
  </r>
  <r>
    <s v="B09Y358DZQ"/>
    <s v="Pigeon Zest Mixer Grinder"/>
    <x v="58"/>
    <s v="Vacuums&amp;FloorCare"/>
    <n v="4295"/>
    <n v="2033"/>
    <n v="12885"/>
    <n v="6099"/>
    <n v="6829.0499999999993"/>
    <n v="-6786"/>
    <n v="0.53"/>
    <n v="3.4"/>
    <n v="422"/>
    <s v="Srishti Agraharrie,Priya,Amazon"/>
    <n v="3"/>
    <e v="#REF!"/>
    <e v="#REF!"/>
  </r>
  <r>
    <s v="B09M3F4HGB"/>
    <s v="Borosil Volcano 13 Fin"/>
    <x v="56"/>
    <s v="EggBoilers"/>
    <n v="18990"/>
    <n v="9495"/>
    <n v="37980"/>
    <n v="18990"/>
    <n v="18990"/>
    <n v="-18990"/>
    <n v="0.5"/>
    <n v="4.2"/>
    <n v="79"/>
    <s v="Vivi nyuthe,Amazon"/>
    <n v="2"/>
    <e v="#REF!"/>
    <e v="#REF!"/>
  </r>
  <r>
    <s v="B07VZH6ZBB"/>
    <s v="Crompton Solarium Qube 15-L"/>
    <x v="56"/>
    <s v="SandwichMakers"/>
    <n v="12500"/>
    <n v="7799"/>
    <n v="12500"/>
    <n v="7799"/>
    <n v="4750"/>
    <n v="-4701"/>
    <n v="0.38"/>
    <n v="4"/>
    <n v="5160"/>
    <s v="Anuj Dhingra"/>
    <n v="1"/>
    <e v="#REF!"/>
    <e v="#REF!"/>
  </r>
  <r>
    <s v="B07F366Z51"/>
    <s v="Singer Aroma 1.8 Liter"/>
    <x v="56"/>
    <s v="MiniFoodProcessors&amp;Choppers"/>
    <n v="2385"/>
    <n v="949"/>
    <n v="14310"/>
    <n v="5694"/>
    <n v="8586"/>
    <n v="-8616"/>
    <n v="0.6"/>
    <n v="4.0999999999999996"/>
    <n v="2311"/>
    <s v="s_ray77,SUJAN MISTRY,Pankaj,Durga,FAROOQ,jyoti"/>
    <n v="6"/>
    <e v="#REF!"/>
    <e v="#REF!"/>
  </r>
  <r>
    <s v="B077BTLQ67"/>
    <s v="Orient Electric Aura Neo"/>
    <x v="56"/>
    <s v="DigitalKitchenScales"/>
    <n v="4890"/>
    <n v="2790"/>
    <n v="29340"/>
    <n v="16740"/>
    <n v="12616.199999999999"/>
    <n v="-12600"/>
    <n v="0.43"/>
    <n v="3.9"/>
    <n v="588"/>
    <s v="srikanthmk,Prashant,Aashish M.,Pramesh,PrashantM777,Vajrapu"/>
    <n v="6"/>
    <e v="#REF!"/>
    <e v="#REF!"/>
  </r>
  <r>
    <s v="B07YSJ7FF1"/>
    <s v="Crompton Brio 1000-Watts Dry"/>
    <x v="56"/>
    <s v="VacuumSealers"/>
    <n v="1100"/>
    <n v="645"/>
    <n v="2200"/>
    <n v="1290"/>
    <n v="902"/>
    <n v="-910"/>
    <n v="0.41"/>
    <n v="4"/>
    <n v="3271"/>
    <s v="Lakshmi d.,vishal"/>
    <n v="2"/>
    <e v="#REF!"/>
    <e v="#REF!"/>
  </r>
  <r>
    <s v="B07TXCY3YK"/>
    <s v="Butterfly Hero Mixer Grinder,"/>
    <x v="62"/>
    <s v="CeilingFans"/>
    <n v="3899"/>
    <n v="2237.81"/>
    <n v="11697"/>
    <n v="6713.43"/>
    <n v="5029.71"/>
    <n v="-4983.57"/>
    <n v="0.43"/>
    <n v="3.9"/>
    <n v="11004"/>
    <s v="E.GURUBARAN,Hemanth Kumar,rangaraj"/>
    <n v="3"/>
    <e v="#REF!"/>
    <e v="#REF!"/>
  </r>
  <r>
    <s v="B07TC9F7PN"/>
    <s v="Racold Eterno Pro 25L"/>
    <x v="58"/>
    <s v="PressureWashers,Steam&amp;WindowCleaners"/>
    <n v="16899"/>
    <n v="8699"/>
    <n v="50697"/>
    <n v="26097"/>
    <n v="24841.53"/>
    <n v="-24600"/>
    <n v="0.49"/>
    <n v="4.2"/>
    <n v="3195"/>
    <s v="Ritu,sudhir ranjan,Rashmi"/>
    <n v="3"/>
    <e v="#REF!"/>
    <e v="#REF!"/>
  </r>
  <r>
    <s v="B09NS5TKPN"/>
    <s v="LG 1.5 Ton 5"/>
    <x v="57"/>
    <s v="HalogenHeaters"/>
    <n v="75990"/>
    <n v="42990"/>
    <n v="379950"/>
    <n v="214950"/>
    <n v="163378.5"/>
    <n v="-165000"/>
    <n v="0.43"/>
    <n v="4.3"/>
    <n v="3231"/>
    <s v="ABHISHEK KUMAR,Nageswar,Denzil,krushna,Brijesh"/>
    <n v="5"/>
    <e v="#REF!"/>
    <e v="#REF!"/>
  </r>
  <r>
    <s v="B00LP9RFSU"/>
    <s v="Eureka Forbes Aquasure Amrit"/>
    <x v="56"/>
    <s v="Pop-upToasters"/>
    <n v="825"/>
    <n v="825"/>
    <n v="1650"/>
    <n v="1650"/>
    <n v="0"/>
    <n v="0"/>
    <n v="0"/>
    <n v="4"/>
    <n v="3246"/>
    <s v="dr. sunil,Fayaz"/>
    <n v="2"/>
    <e v="#REF!"/>
    <e v="#REF!"/>
  </r>
  <r>
    <s v="B0B7L86YCB"/>
    <s v="Green Tales Heat Seal"/>
    <x v="57"/>
    <s v="HeatConvectors"/>
    <n v="300"/>
    <n v="161"/>
    <n v="600"/>
    <n v="322"/>
    <n v="276"/>
    <n v="-278"/>
    <n v="0.46"/>
    <n v="2.6"/>
    <n v="24"/>
    <s v="Navin thawani,Amazon"/>
    <n v="2"/>
    <e v="#REF!"/>
    <e v="#REF!"/>
  </r>
  <r>
    <s v="B09VPH38JS"/>
    <s v="SaleOn Instant Coal Heater"/>
    <x v="63"/>
    <s v="CoffeeGrinders"/>
    <n v="1499"/>
    <n v="697"/>
    <n v="2998"/>
    <n v="1394"/>
    <n v="1618.92"/>
    <n v="-1604"/>
    <n v="0.54"/>
    <n v="3.8"/>
    <n v="144"/>
    <s v="Sheila Araujo,Rajeev."/>
    <n v="2"/>
    <e v="#REF!"/>
    <e v="#REF!"/>
  </r>
  <r>
    <s v="B01MUAUOCX"/>
    <s v="Sujata Chutney Steel Jar,"/>
    <x v="62"/>
    <s v="ExhaustFans"/>
    <n v="747"/>
    <n v="688"/>
    <n v="1494"/>
    <n v="1376"/>
    <n v="119.52"/>
    <n v="-118"/>
    <n v="0.08"/>
    <n v="4.5"/>
    <n v="2280"/>
    <s v="Amazon Customer,Neeraj"/>
    <n v="2"/>
    <e v="#REF!"/>
    <e v="#REF!"/>
  </r>
  <r>
    <s v="B09MB3DKG1"/>
    <s v="KHAITAN AVAANTE KA-2013 1200"/>
    <x v="63"/>
    <s v="DripCoffeeMachines"/>
    <n v="3999"/>
    <n v="2199"/>
    <n v="11997"/>
    <n v="6597"/>
    <n v="5398.65"/>
    <n v="-5400"/>
    <n v="0.45"/>
    <n v="3.5"/>
    <n v="340"/>
    <s v="Amazon Customer,sunil,pankaj"/>
    <n v="3"/>
    <e v="#REF!"/>
    <e v="#REF!"/>
  </r>
  <r>
    <s v="B08QHLXWV3"/>
    <s v="Kenstar 2400 Watts 9"/>
    <x v="64"/>
    <s v="WaterPurifierAccessories"/>
    <n v="11990"/>
    <n v="6850"/>
    <n v="35970"/>
    <n v="20550"/>
    <n v="15467.099999999999"/>
    <n v="-15420"/>
    <n v="0.43"/>
    <n v="3.9"/>
    <n v="144"/>
    <s v="Svblue,Tushar Srivastava,SHREESH"/>
    <n v="3"/>
    <e v="#REF!"/>
    <e v="#REF!"/>
  </r>
  <r>
    <s v="B07G147SZD"/>
    <s v="NEXOMS Instant Heating Water"/>
    <x v="64"/>
    <s v="WaterCartridges"/>
    <n v="3799"/>
    <n v="2699"/>
    <n v="7598"/>
    <n v="5398"/>
    <n v="2203.42"/>
    <n v="-2200"/>
    <n v="0.28999999999999998"/>
    <n v="4"/>
    <n v="727"/>
    <s v="Asha Saraswat,Gopal"/>
    <n v="2"/>
    <e v="#REF!"/>
    <e v="#REF!"/>
  </r>
  <r>
    <s v="B09LH32678"/>
    <s v="JIALTO Mini Waffle Maker"/>
    <x v="56"/>
    <s v="Rice&amp;PastaCookers"/>
    <n v="1999"/>
    <n v="899"/>
    <n v="3998"/>
    <n v="1798"/>
    <n v="2198.9"/>
    <n v="-2200"/>
    <n v="0.55000000000000004"/>
    <n v="4"/>
    <n v="832"/>
    <s v="Aftab mulani,Chirag"/>
    <n v="2"/>
    <e v="#REF!"/>
    <e v="#REF!"/>
  </r>
  <r>
    <s v="B09R1YFL6S"/>
    <s v="Candes BlowHot All in"/>
    <x v="65"/>
    <s v="AirPurifiers&amp;Ionizers"/>
    <n v="2999"/>
    <n v="1090"/>
    <n v="5998"/>
    <n v="2180"/>
    <n v="3838.7200000000003"/>
    <n v="-3818"/>
    <n v="0.64"/>
    <n v="3.5"/>
    <n v="57"/>
    <s v="Akash Yadav,Philip"/>
    <n v="2"/>
    <e v="#REF!"/>
    <e v="#REF!"/>
  </r>
  <r>
    <s v="B07Q4NJQC5"/>
    <s v="Ionix Jewellery Scale |"/>
    <x v="66"/>
    <s v="HEPAAirPurifiers"/>
    <n v="599"/>
    <n v="295"/>
    <n v="1198"/>
    <n v="590"/>
    <n v="610.98"/>
    <n v="-608"/>
    <n v="0.51"/>
    <n v="4"/>
    <n v="1644"/>
    <s v="Vikas kabra,Joel"/>
    <n v="2"/>
    <e v="#REF!"/>
    <e v="#REF!"/>
  </r>
  <r>
    <s v="B097RN7BBK"/>
    <s v="Kitchen Kit Electric Kettle,"/>
    <x v="64"/>
    <s v="WaterFilters&amp;Purifiers"/>
    <n v="1999"/>
    <n v="479"/>
    <n v="5997"/>
    <n v="1437"/>
    <n v="4557.72"/>
    <n v="-4560"/>
    <n v="0.76"/>
    <n v="3.4"/>
    <n v="1066"/>
    <s v="Vijay sharma,Jaidwal,akshay"/>
    <n v="3"/>
    <e v="#REF!"/>
    <e v="#REF!"/>
  </r>
  <r>
    <s v="B097MKZHNV"/>
    <s v="Racold Pronto Pro 3Litres"/>
    <x v="61"/>
    <s v="LaundryBags"/>
    <n v="4849"/>
    <n v="2949"/>
    <n v="4849"/>
    <n v="2949"/>
    <n v="1891.1100000000001"/>
    <n v="-1900"/>
    <n v="0.39"/>
    <n v="4.2"/>
    <n v="7968"/>
    <s v="Dr Yashaswi"/>
    <n v="1"/>
    <e v="#REF!"/>
    <e v="#REF!"/>
  </r>
  <r>
    <s v="B07LG96SDB"/>
    <s v="ESN 999 Supreme Quality"/>
    <x v="67"/>
    <s v="Sewing&amp;EmbroideryMachines"/>
    <n v="510"/>
    <n v="335"/>
    <n v="1020"/>
    <n v="670"/>
    <n v="346.8"/>
    <n v="-350"/>
    <n v="0.34"/>
    <n v="3.8"/>
    <n v="3195"/>
    <s v="Amazon Customer,kapil"/>
    <n v="2"/>
    <e v="#REF!"/>
    <e v="#REF!"/>
  </r>
  <r>
    <s v="B08KS2KQTK"/>
    <s v="PajakaÂ® South Indian Filter"/>
    <x v="61"/>
    <s v="IroningAccessories"/>
    <n v="499"/>
    <n v="293"/>
    <n v="998"/>
    <n v="586"/>
    <n v="409.17999999999995"/>
    <n v="-412"/>
    <n v="0.41"/>
    <n v="4.0999999999999996"/>
    <n v="1456"/>
    <s v="Rajnish Sood,Amazon"/>
    <n v="2"/>
    <e v="#REF!"/>
    <e v="#REF!"/>
  </r>
  <r>
    <s v="B095K14P86"/>
    <s v="Saiyam Stainless Steel Espresso"/>
    <x v="56"/>
    <s v="HandMixers"/>
    <n v="1299"/>
    <n v="599"/>
    <n v="3897"/>
    <n v="1797"/>
    <n v="2104.38"/>
    <n v="-2100"/>
    <n v="0.54"/>
    <n v="4.2"/>
    <n v="590"/>
    <s v="Sudhirw,seshu P,Sunil"/>
    <n v="3"/>
    <e v="#REF!"/>
    <e v="#REF!"/>
  </r>
  <r>
    <s v="B08K36NZSV"/>
    <s v="KONVIO NEER 10 Inch"/>
    <x v="56"/>
    <s v="Mills&amp;Grinders"/>
    <n v="999"/>
    <n v="499"/>
    <n v="2997"/>
    <n v="1497"/>
    <n v="1498.5"/>
    <n v="-1500"/>
    <n v="0.5"/>
    <n v="4.3"/>
    <n v="1436"/>
    <s v="Himasrivastava,Pawan Dalal,Yeshwant"/>
    <n v="3"/>
    <e v="#REF!"/>
    <e v="#REF!"/>
  </r>
  <r>
    <s v="B07LDPLSZC"/>
    <s v="Havells Glydo 1000 watt"/>
    <x v="56"/>
    <s v="OvenToasterGrills"/>
    <n v="1190"/>
    <n v="849"/>
    <n v="2380"/>
    <n v="1698"/>
    <n v="690.19999999999993"/>
    <n v="-682"/>
    <n v="0.28999999999999998"/>
    <n v="4.2"/>
    <n v="4184"/>
    <s v="Swati Chaudhari,Anil"/>
    <n v="2"/>
    <e v="#REF!"/>
    <e v="#REF!"/>
  </r>
  <r>
    <s v="B07F1T31ZZ"/>
    <s v="Raffles Premium Stainless Steel"/>
    <x v="56"/>
    <s v="Juicers"/>
    <n v="400"/>
    <n v="249"/>
    <n v="800"/>
    <n v="498"/>
    <n v="304"/>
    <n v="-302"/>
    <n v="0.38"/>
    <n v="4.0999999999999996"/>
    <n v="693"/>
    <s v="Gautam B.,Kabir"/>
    <n v="2"/>
    <e v="#REF!"/>
    <e v="#REF!"/>
  </r>
  <r>
    <s v="B0BNDRK886"/>
    <s v="IONIX Activated Carbon Faucet"/>
    <x v="56"/>
    <m/>
    <n v="599"/>
    <n v="185"/>
    <n v="599"/>
    <n v="185"/>
    <n v="413.30999999999995"/>
    <n v="-414"/>
    <n v="0.69"/>
    <n v="3.9"/>
    <n v="1306"/>
    <s v="Buyer (Name"/>
    <n v="1"/>
    <e v="#REF!"/>
    <e v="#REF!"/>
  </r>
  <r>
    <s v="B09ZVJXN5L"/>
    <s v="KNYUC MART Mini Electric"/>
    <x v="68"/>
    <s v="WeighingScales"/>
    <n v="999"/>
    <n v="778"/>
    <n v="1998"/>
    <n v="1556"/>
    <n v="439.56"/>
    <n v="-442"/>
    <n v="0.22"/>
    <n v="3.3"/>
    <n v="8"/>
    <s v="Karthikeyan J,Nitin"/>
    <n v="2"/>
    <e v="#REF!"/>
    <e v="#REF!"/>
  </r>
  <r>
    <s v="B08JKPVDKL"/>
    <s v="INKULTURE Stainless_Steel Measuring Cups"/>
    <x v="63"/>
    <s v="EspressoMachines"/>
    <n v="699"/>
    <n v="279"/>
    <n v="3495"/>
    <n v="1395"/>
    <n v="2097"/>
    <n v="-2100"/>
    <n v="0.6"/>
    <n v="4.3"/>
    <n v="2326"/>
    <s v="Naina,SuperSandy,Ranjini k,Lalatendu,Deepak"/>
    <n v="5"/>
    <e v="#REF!"/>
    <e v="#REF!"/>
  </r>
  <r>
    <s v="B09JFR8H3Q"/>
    <s v="Macmillan Aquafresh 5 Micron"/>
    <x v="62"/>
    <s v="TableFans"/>
    <n v="1499"/>
    <n v="215"/>
    <n v="2998"/>
    <n v="430"/>
    <n v="2578.2799999999997"/>
    <n v="-2568"/>
    <n v="0.86"/>
    <n v="3.9"/>
    <n v="1004"/>
    <s v="Sudhakar Samuel,Sandeep"/>
    <n v="2"/>
    <e v="#REF!"/>
    <e v="#REF!"/>
  </r>
  <r>
    <s v="B07LDN9Q2P"/>
    <s v="Havells D'zire 1000 watt"/>
    <x v="63"/>
    <s v="MilkFrothers"/>
    <n v="1295"/>
    <n v="889"/>
    <n v="5180"/>
    <n v="3556"/>
    <n v="1605.8"/>
    <n v="-1624"/>
    <n v="0.31"/>
    <n v="4.3"/>
    <n v="6400"/>
    <s v="Sumit,Paresh Narola,Azharuddin,Jasmail"/>
    <n v="4"/>
    <e v="#REF!"/>
    <e v="#REF!"/>
  </r>
  <r>
    <s v="B08T8KWNQ9"/>
    <s v="TEâ„¢ Instant Electric Heating"/>
    <x v="69"/>
    <m/>
    <n v="4999"/>
    <n v="1449"/>
    <n v="19996"/>
    <n v="5796"/>
    <n v="14197.16"/>
    <n v="-14200"/>
    <n v="0.71"/>
    <n v="3.6"/>
    <n v="63"/>
    <s v="Amit,vedantika,gurpreet kaur,Md"/>
    <n v="4"/>
    <e v="#REF!"/>
    <e v="#REF!"/>
  </r>
  <r>
    <s v="B07Y1RCCW5"/>
    <s v="ZIGMA WinoteK WinoteK Sun"/>
    <x v="56"/>
    <s v="SmallApplianceParts&amp;Accessories"/>
    <n v="2550"/>
    <n v="1190"/>
    <n v="7650"/>
    <n v="3570"/>
    <n v="4054.5"/>
    <n v="-4080"/>
    <n v="0.53"/>
    <n v="3.8"/>
    <n v="1181"/>
    <s v="Aashishnautiyal,Telangana venkatesh,Abbas"/>
    <n v="3"/>
    <e v="#REF!"/>
    <e v="#REF!"/>
  </r>
  <r>
    <s v="B0762HXMTF"/>
    <s v="KENT 11054 Alkaline Water"/>
    <x v="56"/>
    <s v="YogurtMakers"/>
    <n v="1950"/>
    <n v="1799"/>
    <n v="3900"/>
    <n v="3598"/>
    <n v="312"/>
    <n v="-302"/>
    <n v="0.08"/>
    <n v="3.9"/>
    <n v="1888"/>
    <s v="Nikhilesh T.,Vishal"/>
    <n v="2"/>
    <e v="#REF!"/>
    <e v="#REF!"/>
  </r>
  <r>
    <s v="B00K57MR22"/>
    <s v="Sujata Dynamix DX Mixer"/>
    <x v="56"/>
    <s v="Juicers"/>
    <n v="8478"/>
    <n v="6120"/>
    <n v="33912"/>
    <n v="24480"/>
    <n v="9495.36"/>
    <n v="-9432"/>
    <n v="0.28000000000000003"/>
    <n v="4.5999999999999996"/>
    <n v="6550"/>
    <s v="Amazon Customer,Sai,Azim,john"/>
    <n v="4"/>
    <e v="#REF!"/>
    <e v="#REF!"/>
  </r>
  <r>
    <s v="B07TTSS5MP"/>
    <s v="Lifelong LLMG74 750 Watt"/>
    <x v="70"/>
    <s v="Split-SystemAirConditioners"/>
    <n v="3299"/>
    <n v="1799"/>
    <n v="6598"/>
    <n v="3598"/>
    <n v="2969.1"/>
    <n v="-3000"/>
    <n v="0.45"/>
    <n v="3.8"/>
    <n v="1846"/>
    <s v="mirza f.,P"/>
    <n v="2"/>
    <e v="#REF!"/>
    <e v="#REF!"/>
  </r>
  <r>
    <s v="B09ZDVL7L8"/>
    <s v="TTK Prestige Limited Orion"/>
    <x v="56"/>
    <s v="SmallApplianceParts&amp;Accessories"/>
    <n v="3895"/>
    <n v="2199"/>
    <n v="7790"/>
    <n v="4398"/>
    <n v="3427.6"/>
    <n v="-3392"/>
    <n v="0.44"/>
    <n v="3.9"/>
    <n v="1085"/>
    <s v="Amazon Customer,Amazon"/>
    <n v="2"/>
    <e v="#REF!"/>
    <e v="#REF!"/>
  </r>
  <r>
    <s v="B09XHXXCFH"/>
    <s v="AGARO Regal Electric Rice"/>
    <x v="56"/>
    <s v="WaffleMakers&amp;Irons"/>
    <n v="5495"/>
    <n v="3685"/>
    <n v="10990"/>
    <n v="7370"/>
    <n v="3626.7000000000003"/>
    <n v="-3620"/>
    <n v="0.33"/>
    <n v="4.0999999999999996"/>
    <n v="290"/>
    <s v="Pratik garg,Amazon"/>
    <n v="2"/>
    <e v="#REF!"/>
    <e v="#REF!"/>
  </r>
  <r>
    <s v="B0BL3R4RGS"/>
    <s v="VAPJAÂ® Portable Mini Juicer"/>
    <x v="63"/>
    <s v="StovetopEspressoPots"/>
    <n v="999"/>
    <n v="649"/>
    <n v="1998"/>
    <n v="1298"/>
    <n v="699.3"/>
    <n v="-700"/>
    <n v="0.35"/>
    <n v="3.6"/>
    <n v="4"/>
    <s v="Dinesh,Anshika"/>
    <n v="2"/>
    <e v="#REF!"/>
    <e v="#REF!"/>
  </r>
  <r>
    <s v="B07P1BR7L8"/>
    <s v="Philips HD6975/00 25 Litre"/>
    <x v="63"/>
    <s v="CoffeeMakerAccessories"/>
    <n v="8995"/>
    <n v="8599"/>
    <n v="8995"/>
    <n v="8599"/>
    <n v="359.8"/>
    <n v="-396"/>
    <n v="0.04"/>
    <n v="4.4000000000000004"/>
    <n v="9734"/>
    <s v="Imran Ahmed"/>
    <n v="1"/>
    <e v="#REF!"/>
    <e v="#REF!"/>
  </r>
  <r>
    <s v="B078WB1VWJ"/>
    <s v="Usha EI 3710 Heavy"/>
    <x v="63"/>
    <s v="CoffeePresses"/>
    <n v="1599"/>
    <n v="1110"/>
    <n v="9594"/>
    <n v="6660"/>
    <n v="2974.14"/>
    <n v="-2934"/>
    <n v="0.31"/>
    <n v="4.3"/>
    <n v="4022"/>
    <s v="Gyani baba,Sunil,Sakethram,Nagarajunuti,Nitin,Himanshu"/>
    <n v="6"/>
    <e v="#REF!"/>
    <e v="#REF!"/>
  </r>
  <r>
    <s v="B0BP89YBC1"/>
    <s v="Campfire Spring Chef Prolix"/>
    <x v="56"/>
    <s v="RotiMakers"/>
    <n v="3500"/>
    <n v="1499"/>
    <n v="7000"/>
    <n v="2998"/>
    <n v="3989.9999999999995"/>
    <n v="-4002"/>
    <n v="0.56999999999999995"/>
    <n v="4.7"/>
    <n v="2591"/>
    <s v="Srujan kumar,Sadhu"/>
    <n v="2"/>
    <e v="#REF!"/>
    <e v="#REF!"/>
  </r>
  <r>
    <s v="B09W9V2PXG"/>
    <s v="Themisto TH-WS20 Digital Kitchen"/>
    <x v="71"/>
    <s v="FanParts&amp;Accessories"/>
    <n v="1999"/>
    <n v="759"/>
    <n v="3998"/>
    <n v="1518"/>
    <n v="2478.7599999999998"/>
    <n v="-2480"/>
    <n v="0.62"/>
    <n v="4.3"/>
    <n v="532"/>
    <s v="Pierre Francis,Amazon"/>
    <n v="2"/>
    <e v="#REF!"/>
    <e v="#REF!"/>
  </r>
  <r>
    <s v="B09XTQFFCG"/>
    <s v="FYA Handheld Vacuum Cleaner"/>
    <x v="56"/>
    <s v="StandMixers"/>
    <n v="3199"/>
    <n v="2669"/>
    <n v="12796"/>
    <n v="10676"/>
    <n v="2175.3200000000002"/>
    <n v="-2120"/>
    <n v="0.17"/>
    <n v="3.9"/>
    <n v="260"/>
    <s v="Samsakthi2008,Hussain B.,Surendrasinh,Mitali"/>
    <n v="4"/>
    <e v="#REF!"/>
    <e v="#REF!"/>
  </r>
  <r>
    <s v="B08LVVTGZK"/>
    <s v="Lifelong LLSM120G Sandwich Griller"/>
    <x v="62"/>
    <s v="PedestalFans"/>
    <n v="1300"/>
    <n v="929"/>
    <n v="2600"/>
    <n v="1858"/>
    <n v="754"/>
    <n v="-742"/>
    <n v="0.28999999999999998"/>
    <n v="3.9"/>
    <n v="1672"/>
    <s v="vijay patel,Gopal"/>
    <n v="2"/>
    <e v="#REF!"/>
    <e v="#REF!"/>
  </r>
  <r>
    <s v="B07J2BQZD6"/>
    <s v="Kuber Industries Nylon Mesh"/>
    <x v="58"/>
    <s v="Vacuums&amp;FloorCare"/>
    <n v="399"/>
    <n v="199"/>
    <n v="1995"/>
    <n v="995"/>
    <n v="997.5"/>
    <n v="-1000"/>
    <n v="0.5"/>
    <n v="3.7"/>
    <n v="7945"/>
    <s v="MM,Tony Augustine,Pradeep,Priyanka.s,Amazon"/>
    <n v="5"/>
    <e v="#REF!"/>
    <e v="#REF!"/>
  </r>
  <r>
    <s v="B07HK53XM4"/>
    <s v="Bulfyss Plastic Sticky Lint"/>
    <x v="0"/>
    <s v="Cables"/>
    <n v="599"/>
    <n v="279"/>
    <n v="3594"/>
    <n v="1674"/>
    <n v="1904.8200000000002"/>
    <n v="-1920"/>
    <n v="0.53"/>
    <n v="3.5"/>
    <n v="1367"/>
    <s v="Rahul Todur,MG,geeta,Nawang,Saff,philomon"/>
    <n v="6"/>
    <e v="#REF!"/>
    <e v="#REF!"/>
  </r>
  <r>
    <s v="B08RDWBYCQ"/>
    <s v="T TOPLINE 180 W"/>
    <x v="1"/>
    <s v="WirelessUSBAdapters"/>
    <n v="999"/>
    <n v="549"/>
    <n v="1998"/>
    <n v="1098"/>
    <n v="899.1"/>
    <n v="-900"/>
    <n v="0.45"/>
    <n v="4"/>
    <n v="1313"/>
    <s v="sudesh h.,Debabrata"/>
    <n v="2"/>
    <e v="#REF!"/>
    <e v="#REF!"/>
  </r>
  <r>
    <s v="B09FHHTL8L"/>
    <s v="Empty Mist Trigger Plastic"/>
    <x v="2"/>
    <s v="Cables"/>
    <n v="199"/>
    <n v="85"/>
    <n v="796"/>
    <n v="340"/>
    <n v="453.71999999999997"/>
    <n v="-456"/>
    <n v="0.56999999999999995"/>
    <n v="4.0999999999999996"/>
    <n v="212"/>
    <s v="Aadhityaa,Arif H.,Rajesh,priyanka"/>
    <n v="4"/>
    <e v="#REF!"/>
    <e v="#REF!"/>
  </r>
  <r>
    <s v="B0BHNHMR3H"/>
    <s v="LONAXA Mini Travel Rechargeable"/>
    <x v="3"/>
    <s v="SmartTelevisions"/>
    <n v="1299"/>
    <n v="499"/>
    <n v="3897"/>
    <n v="1497"/>
    <n v="2416.14"/>
    <n v="-2400"/>
    <n v="0.62"/>
    <n v="3.9"/>
    <n v="65"/>
    <s v="Bindu,Rajat Biswas,Mulleti"/>
    <n v="3"/>
    <e v="#REF!"/>
    <e v="#REF!"/>
  </r>
  <r>
    <s v="B07D8VBYB4"/>
    <s v="SUJATA Powermatic Plus, Juicer"/>
    <x v="2"/>
    <s v="RemoteControls"/>
    <n v="7776"/>
    <n v="5865"/>
    <n v="7776"/>
    <n v="5865"/>
    <n v="1944"/>
    <n v="-1911"/>
    <n v="0.25"/>
    <n v="4.4000000000000004"/>
    <n v="2737"/>
    <s v="Rajeev Lochan"/>
    <n v="1"/>
    <e v="#REF!"/>
    <e v="#REF!"/>
  </r>
  <r>
    <s v="B0B3TBY2YX"/>
    <s v="AGARO Royal Double Layered"/>
    <x v="3"/>
    <s v="StandardTelevisions"/>
    <n v="2299"/>
    <n v="1260"/>
    <n v="6897"/>
    <n v="3780"/>
    <n v="3103.6499999999996"/>
    <n v="-3117"/>
    <n v="0.45"/>
    <n v="4.3"/>
    <n v="55"/>
    <s v="rhymerium,Samarjeet kaur,Amazon"/>
    <n v="3"/>
    <e v="#REF!"/>
    <e v="#REF!"/>
  </r>
  <r>
    <s v="B088WCFPQF"/>
    <s v="Cafe JEI French Press"/>
    <x v="2"/>
    <s v="TVMounts,Stands&amp;Turntables"/>
    <n v="1500"/>
    <n v="1099"/>
    <n v="9000"/>
    <n v="6594"/>
    <n v="2430"/>
    <n v="-2406"/>
    <n v="0.27"/>
    <n v="4.5"/>
    <n v="1065"/>
    <s v="Deepak,Garuda,Shikha,Rajesh Manoharan,Gaurav,Chaitanya"/>
    <n v="6"/>
    <e v="#REF!"/>
    <e v="#REF!"/>
  </r>
  <r>
    <s v="B07JZSG42Y"/>
    <s v="Borosil Prime Grill Sandwich"/>
    <x v="2"/>
    <s v="Cables"/>
    <n v="2590"/>
    <n v="1928"/>
    <n v="5180"/>
    <n v="3856"/>
    <n v="1346.8"/>
    <n v="-1324"/>
    <n v="0.26"/>
    <n v="4"/>
    <n v="2377"/>
    <s v="Ronish,Man Mohan"/>
    <n v="2"/>
    <e v="#REF!"/>
    <e v="#REF!"/>
  </r>
  <r>
    <s v="B08YRMBK9R"/>
    <s v="Candes 10 Litre Perfecto"/>
    <x v="2"/>
    <s v="SpeakerAccessories"/>
    <n v="6299"/>
    <n v="3249"/>
    <n v="12598"/>
    <n v="6498"/>
    <n v="6047.04"/>
    <n v="-6100"/>
    <n v="0.48"/>
    <n v="3.9"/>
    <n v="2569"/>
    <s v="A H.,Amazon"/>
    <n v="2"/>
    <e v="#REF!"/>
    <e v="#REF!"/>
  </r>
  <r>
    <s v="B00935MGHS"/>
    <s v="Prestige PSMFB 800 Watt"/>
    <x v="2"/>
    <s v="Cables"/>
    <n v="1795"/>
    <n v="1199"/>
    <n v="5385"/>
    <n v="3597"/>
    <n v="1777.0500000000002"/>
    <n v="-1788"/>
    <n v="0.33"/>
    <n v="4.2"/>
    <n v="5967"/>
    <s v="Jasmin Azzuhoor,Shreya,Avninder"/>
    <n v="3"/>
    <e v="#REF!"/>
    <e v="#REF!"/>
  </r>
  <r>
    <s v="B07B5XJ572"/>
    <s v="iBELL MPK120L Premium Stainless"/>
    <x v="4"/>
    <m/>
    <n v="3190"/>
    <n v="1456"/>
    <n v="12760"/>
    <n v="5824"/>
    <n v="6890.4000000000005"/>
    <n v="-6936"/>
    <n v="0.54"/>
    <n v="4.0999999999999996"/>
    <n v="1776"/>
    <s v="Santhosh,KR ARASU,Placeholder,Deepak"/>
    <n v="4"/>
    <e v="#REF!"/>
    <e v="#REF!"/>
  </r>
  <r>
    <s v="B086199CWG"/>
    <s v="Maharaja Whiteline Odacio Plus"/>
    <x v="2"/>
    <s v="Adapters"/>
    <n v="4799"/>
    <n v="3349"/>
    <n v="4799"/>
    <n v="3349"/>
    <n v="1439.7"/>
    <n v="-1450"/>
    <n v="0.3"/>
    <n v="3.7"/>
    <n v="4200"/>
    <s v="Sonu kumar"/>
    <n v="1"/>
    <e v="#REF!"/>
    <e v="#REF!"/>
  </r>
  <r>
    <s v="B0BBWJFK5C"/>
    <s v="Shakti Technology S3 High"/>
    <x v="5"/>
    <s v="SatelliteReceivers"/>
    <n v="8999"/>
    <n v="4899"/>
    <n v="8999"/>
    <n v="4899"/>
    <n v="4139.54"/>
    <n v="-4100"/>
    <n v="0.46"/>
    <n v="4.0999999999999996"/>
    <n v="297"/>
    <s v="Ayush kumar"/>
    <n v="1"/>
    <e v="#REF!"/>
    <e v="#REF!"/>
  </r>
  <r>
    <s v="B07GLS2563"/>
    <s v="Cello Quick Boil Popular"/>
    <x v="0"/>
    <s v="Cables"/>
    <n v="1899"/>
    <n v="1199"/>
    <n v="3798"/>
    <n v="2398"/>
    <n v="1405.26"/>
    <n v="-1400"/>
    <n v="0.37"/>
    <n v="4.2"/>
    <n v="3858"/>
    <s v="Priya S.,Aravinda"/>
    <n v="2"/>
    <e v="#REF!"/>
    <e v="#REF!"/>
  </r>
  <r>
    <s v="B09P182Z2H"/>
    <s v="AGARO Glory Cool Mist"/>
    <x v="2"/>
    <s v="Cables"/>
    <n v="5799"/>
    <n v="3290"/>
    <n v="28995"/>
    <n v="16450"/>
    <n v="12467.85"/>
    <n v="-12545"/>
    <n v="0.43"/>
    <n v="4.3"/>
    <n v="168"/>
    <s v="Vinesh,Jay Sah,krish,legends2k,Vijay"/>
    <n v="5"/>
    <e v="#REF!"/>
    <e v="#REF!"/>
  </r>
  <r>
    <s v="B0B59K1C8F"/>
    <s v="Wolpin 1 Lint Roller"/>
    <x v="6"/>
    <s v="StreamingClients"/>
    <n v="799"/>
    <n v="179"/>
    <n v="3196"/>
    <n v="716"/>
    <n v="2492.88"/>
    <n v="-2480"/>
    <n v="0.78"/>
    <n v="3.6"/>
    <n v="101"/>
    <s v="Vineeth,Gunjan garg,Gemini,Aleena"/>
    <n v="4"/>
    <e v="#REF!"/>
    <e v="#REF!"/>
  </r>
  <r>
    <s v="B06Y36JKC3"/>
    <s v="Abode Kitchen Essential Measuring"/>
    <x v="7"/>
    <m/>
    <n v="300"/>
    <n v="149"/>
    <n v="600"/>
    <n v="298"/>
    <n v="300"/>
    <n v="-302"/>
    <n v="0.5"/>
    <n v="4.0999999999999996"/>
    <n v="4074"/>
    <s v="Ateendra GN,Salim"/>
    <n v="2"/>
    <e v="#REF!"/>
    <e v="#REF!"/>
  </r>
  <r>
    <s v="B075S9FVRY"/>
    <s v="Sujata Supermix, Mixer Grinder,"/>
    <x v="8"/>
    <s v="TowerSpeakers"/>
    <n v="7200"/>
    <n v="5490"/>
    <n v="14400"/>
    <n v="10980"/>
    <n v="3456"/>
    <n v="-3420"/>
    <n v="0.24"/>
    <n v="4.5"/>
    <n v="1408"/>
    <s v="Ramaan Singh,Rajesh"/>
    <n v="2"/>
    <e v="#REF!"/>
    <e v="#REF!"/>
  </r>
  <r>
    <s v="B08SJVD8QD"/>
    <s v="CARDEX Digital Kitchen Weighing"/>
    <x v="2"/>
    <s v="3DGlasses"/>
    <n v="389"/>
    <n v="379"/>
    <n v="778"/>
    <n v="758"/>
    <n v="23.34"/>
    <n v="-20"/>
    <n v="0.03"/>
    <n v="4.2"/>
    <n v="3739"/>
    <s v="Hem Chand,MSA"/>
    <n v="2"/>
    <e v="#REF!"/>
    <e v="#REF!"/>
  </r>
  <r>
    <s v="B07FJNNZCJ"/>
    <s v="V-Guard Zenora RO+UF+MB Water"/>
    <x v="9"/>
    <m/>
    <n v="13049"/>
    <n v="8699"/>
    <n v="26098"/>
    <n v="17398"/>
    <n v="8612.34"/>
    <n v="-8700"/>
    <n v="0.33"/>
    <n v="4.3"/>
    <n v="5891"/>
    <s v="Amazon Customer,Vasireddy"/>
    <n v="2"/>
    <e v="#REF!"/>
    <e v="#REF!"/>
  </r>
  <r>
    <s v="B09MFR93KS"/>
    <s v="Bajaj Rex DLX 750"/>
    <x v="10"/>
    <s v="Chargers"/>
    <n v="5999"/>
    <n v="3041.67"/>
    <n v="11998"/>
    <n v="6083.34"/>
    <n v="5879.0199999999995"/>
    <n v="-5914.66"/>
    <n v="0.49"/>
    <n v="4"/>
    <n v="777"/>
    <s v="Ashish Mishra,PREM"/>
    <n v="2"/>
    <e v="#REF!"/>
    <e v="#REF!"/>
  </r>
  <r>
    <s v="B07Y5FDPKV"/>
    <s v="KENT 16051 Hand Blender"/>
    <x v="11"/>
    <s v="Smartphones"/>
    <n v="2400"/>
    <n v="1745"/>
    <n v="12000"/>
    <n v="8725"/>
    <n v="3240"/>
    <n v="-3275"/>
    <n v="0.27"/>
    <n v="4.2"/>
    <n v="14160"/>
    <s v="Riya,Titika,dilbagh singh,Aiysha,Amazon"/>
    <n v="5"/>
    <e v="#REF!"/>
    <e v="#REF!"/>
  </r>
  <r>
    <s v="B0756KCV5K"/>
    <s v="Prestige PIC 15.0+ 1900-Watt"/>
    <x v="12"/>
    <s v="MicroSD"/>
    <n v="5295"/>
    <n v="3180"/>
    <n v="15885"/>
    <n v="9540"/>
    <n v="6354"/>
    <n v="-6345"/>
    <n v="0.4"/>
    <n v="4.2"/>
    <n v="6919"/>
    <s v="ASHFAK KHAN,Uday,Amazon"/>
    <n v="3"/>
    <e v="#REF!"/>
    <e v="#REF!"/>
  </r>
  <r>
    <s v="B0BJ6P3LSK"/>
    <s v="Aqua d pure Active"/>
    <x v="11"/>
    <s v="BasicMobiles"/>
    <n v="24999"/>
    <n v="4999"/>
    <n v="49998"/>
    <n v="9998"/>
    <n v="39998.400000000001"/>
    <n v="-40000"/>
    <n v="0.8"/>
    <n v="4.5"/>
    <n v="287"/>
    <s v="Satya Ghettem,Amazon"/>
    <n v="2"/>
    <e v="#REF!"/>
    <e v="#REF!"/>
  </r>
  <r>
    <s v="B09HS1NDRQ"/>
    <s v="PrettyKrafts Laundry Square Shape"/>
    <x v="13"/>
    <s v="In-Ear"/>
    <n v="799"/>
    <n v="390"/>
    <n v="1598"/>
    <n v="780"/>
    <n v="814.98"/>
    <n v="-818"/>
    <n v="0.51"/>
    <n v="3.8"/>
    <n v="287"/>
    <s v="kishor kumar,Nitha"/>
    <n v="2"/>
    <e v="#REF!"/>
    <e v="#REF!"/>
  </r>
  <r>
    <s v="B018SJJ0GE"/>
    <s v="Libra Roti Maker Electric"/>
    <x v="10"/>
    <s v="Chargers"/>
    <n v="2999"/>
    <n v="1999"/>
    <n v="11996"/>
    <n v="7996"/>
    <n v="3958.6800000000003"/>
    <n v="-4000"/>
    <n v="0.33"/>
    <n v="4.4000000000000004"/>
    <n v="388"/>
    <s v="Esther newmai,Shravanti,Shikha,GOWTHAM"/>
    <n v="4"/>
    <e v="#REF!"/>
    <e v="#REF!"/>
  </r>
  <r>
    <s v="B09FPP3R1D"/>
    <s v="Glen 3 in 1"/>
    <x v="10"/>
    <s v="AutomobileAccessories"/>
    <n v="2495"/>
    <n v="1624"/>
    <n v="12475"/>
    <n v="8120"/>
    <n v="4366.25"/>
    <n v="-4355"/>
    <n v="0.35"/>
    <n v="4.0999999999999996"/>
    <n v="827"/>
    <s v="chetan,Gurbakhshish s,abhikant,NIKHIL,Halima"/>
    <n v="5"/>
    <e v="#REF!"/>
    <e v="#REF!"/>
  </r>
  <r>
    <s v="B01F7B2JCI"/>
    <s v="Dynore Stainless Steel Set"/>
    <x v="10"/>
    <s v="Chargers"/>
    <n v="450"/>
    <n v="184"/>
    <n v="3600"/>
    <n v="1472"/>
    <n v="2124"/>
    <n v="-2128"/>
    <n v="0.59"/>
    <n v="4.2"/>
    <n v="4971"/>
    <s v="Nanki,Amazon Customer,Rishikesh,B.kiran,Anas,Meenal,Faheem,Partha"/>
    <n v="8"/>
    <e v="#REF!"/>
    <e v="#REF!"/>
  </r>
  <r>
    <s v="B09NNZ1GF7"/>
    <s v="Lint Remover For Clothes"/>
    <x v="10"/>
    <s v="Cables&amp;Adapters"/>
    <n v="999"/>
    <n v="445"/>
    <n v="4995"/>
    <n v="2225"/>
    <n v="2747.25"/>
    <n v="-2770"/>
    <n v="0.55000000000000004"/>
    <n v="4.3"/>
    <n v="229"/>
    <s v="rahul,Kranti,Namrata Tokas,Farhana,Sudhir"/>
    <n v="5"/>
    <e v="#REF!"/>
    <e v="#REF!"/>
  </r>
  <r>
    <s v="B01CS4A5V4"/>
    <s v="Monitor AC Stand/Heavy Duty"/>
    <x v="10"/>
    <s v="Photo&amp;VideoAccessories"/>
    <n v="1690"/>
    <n v="699"/>
    <n v="5070"/>
    <n v="2097"/>
    <n v="2991.2999999999997"/>
    <n v="-2973"/>
    <n v="0.59"/>
    <n v="4.0999999999999996"/>
    <n v="3524"/>
    <s v="PRADEEP KUMAR,Vishal,B.Satyanarayana"/>
    <n v="3"/>
    <e v="#REF!"/>
    <e v="#REF!"/>
  </r>
  <r>
    <s v="B0BL11S5QK"/>
    <s v="iBELL Induction Cooktop, 2000W"/>
    <x v="10"/>
    <s v="Photo&amp;VideoAccessories"/>
    <n v="3890"/>
    <n v="1601"/>
    <n v="11670"/>
    <n v="4803"/>
    <n v="6885.2999999999993"/>
    <n v="-6867"/>
    <n v="0.59"/>
    <n v="4.2"/>
    <n v="156"/>
    <s v="Anshu,Beena kumari,vijil"/>
    <n v="3"/>
    <e v="#REF!"/>
    <e v="#REF!"/>
  </r>
  <r>
    <s v="B09BL2KHQW"/>
    <s v="KENT POWP-Sediment Filter 10''"/>
    <x v="10"/>
    <s v="Stands"/>
    <n v="260"/>
    <n v="231"/>
    <n v="520"/>
    <n v="462"/>
    <n v="57.2"/>
    <n v="-58"/>
    <n v="0.11"/>
    <n v="4.0999999999999996"/>
    <n v="490"/>
    <s v="Vasu P,KRISHNA"/>
    <n v="2"/>
    <e v="#REF!"/>
    <e v="#REF!"/>
  </r>
  <r>
    <s v="B081RLM75M"/>
    <s v="LACOPINE Mini Pocket Size"/>
    <x v="0"/>
    <s v="CableConnectionProtectors"/>
    <n v="599"/>
    <n v="369"/>
    <n v="1198"/>
    <n v="738"/>
    <n v="455.24"/>
    <n v="-460"/>
    <n v="0.38"/>
    <n v="3.9"/>
    <n v="82"/>
    <s v="Shalini A,Vishnu"/>
    <n v="2"/>
    <e v="#REF!"/>
    <e v="#REF!"/>
  </r>
  <r>
    <s v="B07SYYVP69"/>
    <s v="iBELL SEK170BM Premium Electric"/>
    <x v="10"/>
    <s v="DÃ©cor"/>
    <n v="1950"/>
    <n v="809"/>
    <n v="5850"/>
    <n v="2427"/>
    <n v="3451.5"/>
    <n v="-3423"/>
    <n v="0.59"/>
    <n v="3.9"/>
    <n v="710"/>
    <s v="S@NU,Osama Ahmad,mukesh"/>
    <n v="3"/>
    <e v="#REF!"/>
    <e v="#REF!"/>
  </r>
  <r>
    <s v="B0BDZWMGZ1"/>
    <s v="Activa Easy Mix Nutri"/>
    <x v="10"/>
    <s v="Maintenance,Upkeep&amp;Repairs"/>
    <n v="2990"/>
    <n v="1199"/>
    <n v="5980"/>
    <n v="2398"/>
    <n v="3588"/>
    <n v="-3582"/>
    <n v="0.6"/>
    <n v="3.8"/>
    <n v="133"/>
    <s v="Poonam k.,K"/>
    <n v="2"/>
    <e v="#REF!"/>
    <e v="#REF!"/>
  </r>
  <r>
    <s v="B078JT7LTD"/>
    <s v="Sujata Dynamix, Mixer Grinder,"/>
    <x v="10"/>
    <s v="StylusPens"/>
    <n v="8073"/>
    <n v="6120"/>
    <n v="32292"/>
    <n v="24480"/>
    <n v="7750.08"/>
    <n v="-7812"/>
    <n v="0.24"/>
    <n v="4.5999999999999996"/>
    <n v="2751"/>
    <s v="Tengop,Jeevan Gaikwad,gunashekar,Vibha"/>
    <n v="4"/>
    <e v="#REF!"/>
    <e v="#REF!"/>
  </r>
  <r>
    <s v="B09WF4Q7B3"/>
    <s v="Wipro Vesta 1380W Cordless"/>
    <x v="10"/>
    <s v="Mounts"/>
    <n v="2599"/>
    <n v="1799"/>
    <n v="10396"/>
    <n v="7196"/>
    <n v="3222.7599999999998"/>
    <n v="-3200"/>
    <n v="0.31"/>
    <n v="3.6"/>
    <n v="771"/>
    <s v="Sai,pallavi,Nibin BN,Suhas"/>
    <n v="4"/>
    <e v="#REF!"/>
    <e v="#REF!"/>
  </r>
  <r>
    <s v="B092R48XXB"/>
    <s v="Mi Robot Vacuum-Mop P,"/>
    <x v="10"/>
    <s v="Cases&amp;Covers"/>
    <n v="29999"/>
    <n v="18999"/>
    <n v="59998"/>
    <n v="37998"/>
    <n v="22199.26"/>
    <n v="-22000"/>
    <n v="0.37"/>
    <n v="4.0999999999999996"/>
    <n v="2536"/>
    <s v="Vinit S.,Amazon"/>
    <n v="2"/>
    <e v="#REF!"/>
    <e v="#REF!"/>
  </r>
  <r>
    <s v="B00KIDSU8S"/>
    <s v="Havells Ventil Air DX"/>
    <x v="10"/>
    <s v="Mounts"/>
    <n v="2360"/>
    <n v="1999"/>
    <n v="2360"/>
    <n v="1999"/>
    <n v="354"/>
    <n v="-361"/>
    <n v="0.15"/>
    <n v="4.2"/>
    <n v="7801"/>
    <s v="A.D.PAUL &amp;"/>
    <n v="1"/>
    <e v="#REF!"/>
    <e v="#REF!"/>
  </r>
  <r>
    <s v="B0977CGNJJ"/>
    <s v="AGARO Royal Stand 1000W"/>
    <x v="13"/>
    <s v="On-Ear"/>
    <n v="11495"/>
    <n v="5999"/>
    <n v="22990"/>
    <n v="11998"/>
    <n v="11035.199999999999"/>
    <n v="-10992"/>
    <n v="0.48"/>
    <n v="4.3"/>
    <n v="534"/>
    <s v="Sunil ashat,Amazon"/>
    <n v="2"/>
    <e v="#REF!"/>
    <e v="#REF!"/>
  </r>
  <r>
    <s v="B08WWKM5HQ"/>
    <s v="Crompton Highspeed Markle Prime"/>
    <x v="14"/>
    <s v="CameraPrivacyCovers"/>
    <n v="4780"/>
    <n v="2599"/>
    <n v="9560"/>
    <n v="5198"/>
    <n v="4397.6000000000004"/>
    <n v="-4362"/>
    <n v="0.46"/>
    <n v="3.9"/>
    <n v="898"/>
    <s v="Abhishek Dutta,Sai"/>
    <n v="2"/>
    <e v="#REF!"/>
    <e v="#REF!"/>
  </r>
  <r>
    <s v="B015GX9Y0W"/>
    <s v="Lifelong LLWM105 750-Watt Belgian"/>
    <x v="15"/>
    <m/>
    <n v="2400"/>
    <n v="1199"/>
    <n v="4800"/>
    <n v="2398"/>
    <n v="2400"/>
    <n v="-2402"/>
    <n v="0.5"/>
    <n v="3.9"/>
    <n v="1202"/>
    <s v="Dattatray Jadhav,Amazon"/>
    <n v="2"/>
    <e v="#REF!"/>
    <e v="#REF!"/>
  </r>
  <r>
    <s v="B089BDBDGM"/>
    <s v="Kuber Industries Waterproof Round"/>
    <x v="10"/>
    <s v="DÃ©cor"/>
    <n v="249"/>
    <n v="219"/>
    <n v="747"/>
    <n v="657"/>
    <n v="89.64"/>
    <n v="-90"/>
    <n v="0.12"/>
    <n v="4"/>
    <n v="1108"/>
    <s v="Vamsi,SASWATA CHAKRABORTY,nikitha.m"/>
    <n v="3"/>
    <e v="#REF!"/>
    <e v="#REF!"/>
  </r>
  <r>
    <s v="B0BPBG712X"/>
    <s v="Portable, Handy Compact Plug-in"/>
    <x v="10"/>
    <s v="Mounts"/>
    <n v="1199"/>
    <n v="799"/>
    <n v="2398"/>
    <n v="1598"/>
    <n v="791.34"/>
    <n v="-800"/>
    <n v="0.33"/>
    <n v="4.4000000000000004"/>
    <n v="17"/>
    <s v="Taniya singh,Abhidha"/>
    <n v="2"/>
    <e v="#REF!"/>
    <e v="#REF!"/>
  </r>
  <r>
    <s v="B00JBNZPFM"/>
    <s v="Karcher WD3 EU Wet"/>
    <x v="16"/>
    <m/>
    <n v="10999"/>
    <n v="6199"/>
    <n v="32997"/>
    <n v="18597"/>
    <n v="14518.68"/>
    <n v="-14400"/>
    <n v="0.44"/>
    <n v="4.2"/>
    <n v="10429"/>
    <s v="Prakash,Amazon Customer,Deepak"/>
    <n v="3"/>
    <e v="#REF!"/>
    <e v="#REF!"/>
  </r>
  <r>
    <s v="B08N6P8G5K"/>
    <s v="INALSA Air Fryer Digital"/>
    <x v="17"/>
    <s v="Mice"/>
    <n v="10995"/>
    <n v="6790"/>
    <n v="32985"/>
    <n v="20370"/>
    <n v="12534.300000000001"/>
    <n v="-12615"/>
    <n v="0.38"/>
    <n v="4.5"/>
    <n v="3192"/>
    <s v="Varun Dubey,Vanessa,sowmya"/>
    <n v="3"/>
    <e v="#REF!"/>
    <e v="#REF!"/>
  </r>
  <r>
    <s v="B07NPBG1B4"/>
    <s v="AmazonBasics High Speed 55"/>
    <x v="17"/>
    <s v="GraphicTablets"/>
    <n v="3300"/>
    <n v="1982.84"/>
    <n v="13200"/>
    <n v="7931.36"/>
    <n v="5280"/>
    <n v="-5268.64"/>
    <n v="0.4"/>
    <n v="4.0999999999999996"/>
    <n v="5873"/>
    <s v="Govind Khatri,Shanmugam,amrendra,Giji"/>
    <n v="4"/>
    <e v="#REF!"/>
    <e v="#REF!"/>
  </r>
  <r>
    <s v="B01MRARGBW"/>
    <s v="Eco Crystal J 5"/>
    <x v="14"/>
    <s v="Lapdesks"/>
    <n v="400"/>
    <n v="199"/>
    <n v="800"/>
    <n v="398"/>
    <n v="400"/>
    <n v="-402"/>
    <n v="0.5"/>
    <n v="4.0999999999999996"/>
    <n v="1379"/>
    <s v="Dasarath rao,Giridhar"/>
    <n v="2"/>
    <e v="#REF!"/>
    <e v="#REF!"/>
  </r>
  <r>
    <s v="B07VZYMQNZ"/>
    <s v="Borosil Rio 1.5 L"/>
    <x v="14"/>
    <s v="NotebookComputerStands"/>
    <n v="1440"/>
    <n v="1180"/>
    <n v="1440"/>
    <n v="1180"/>
    <n v="259.2"/>
    <n v="-260"/>
    <n v="0.18"/>
    <n v="4.2"/>
    <n v="1527"/>
    <s v="p c"/>
    <n v="1"/>
    <e v="#REF!"/>
    <e v="#REF!"/>
  </r>
  <r>
    <s v="B01L7C4IU2"/>
    <s v="Havells Ambrose 1200mm Ceiling"/>
    <x v="17"/>
    <s v="Keyboards"/>
    <n v="3045"/>
    <n v="2199"/>
    <n v="6090"/>
    <n v="4398"/>
    <n v="1705.2000000000003"/>
    <n v="-1692"/>
    <n v="0.28000000000000003"/>
    <n v="4.2"/>
    <n v="2686"/>
    <s v="Rohan Sakhare,Naveen"/>
    <n v="2"/>
    <e v="#REF!"/>
    <e v="#REF!"/>
  </r>
  <r>
    <s v="B09H7JDJCW"/>
    <s v="PHILIPS Drip Coffee Maker"/>
    <x v="18"/>
    <m/>
    <n v="3595"/>
    <n v="2999"/>
    <n v="7190"/>
    <n v="5998"/>
    <n v="1222.3000000000002"/>
    <n v="-1192"/>
    <n v="0.17"/>
    <n v="4"/>
    <n v="178"/>
    <s v="nagarjuna pedamuthi,Nitin"/>
    <n v="2"/>
    <e v="#REF!"/>
    <e v="#REF!"/>
  </r>
  <r>
    <s v="B07F6GXNPB"/>
    <s v="Eureka Forbes Euroclean Paper"/>
    <x v="19"/>
    <m/>
    <n v="500"/>
    <n v="253"/>
    <n v="3000"/>
    <n v="1518"/>
    <n v="1470"/>
    <n v="-1482"/>
    <n v="0.49"/>
    <n v="4.3"/>
    <n v="2664"/>
    <s v="Lulzdrone,KRISH,Harsh Shah,Harsh,HaPa,Inderjeet"/>
    <n v="6"/>
    <e v="#REF!"/>
    <e v="#REF!"/>
  </r>
  <r>
    <s v="B0B97D658R"/>
    <s v="Larrito wooden Cool Mist"/>
    <x v="20"/>
    <s v="Stationery"/>
    <n v="799"/>
    <n v="499"/>
    <n v="1598"/>
    <n v="998"/>
    <n v="607.24"/>
    <n v="-600"/>
    <n v="0.38"/>
    <n v="3.6"/>
    <n v="212"/>
    <s v="Narinder Kaur,Heavenly"/>
    <n v="2"/>
    <e v="#REF!"/>
    <e v="#REF!"/>
  </r>
  <r>
    <s v="B09NFSHCWN"/>
    <s v="Hilton Quartz Heater 400/800-Watt"/>
    <x v="21"/>
    <s v="Tape"/>
    <n v="1899"/>
    <n v="1149"/>
    <n v="3798"/>
    <n v="2298"/>
    <n v="1481.22"/>
    <n v="-1500"/>
    <n v="0.39"/>
    <n v="3.5"/>
    <n v="24"/>
    <s v="Shravan patel,Tajammul"/>
    <n v="2"/>
    <e v="#REF!"/>
    <e v="#REF!"/>
  </r>
  <r>
    <s v="B076VQS87V"/>
    <s v="Syska SDI-07 1000 W"/>
    <x v="17"/>
    <s v="Keyboard&amp;MouseSets"/>
    <n v="799"/>
    <n v="457"/>
    <n v="1598"/>
    <n v="914"/>
    <n v="687.14"/>
    <n v="-684"/>
    <n v="0.43"/>
    <n v="4.3"/>
    <n v="1868"/>
    <s v="Sandip Biswas,Jatin"/>
    <n v="2"/>
    <e v="#REF!"/>
    <e v="#REF!"/>
  </r>
  <r>
    <s v="B09LMMFW3S"/>
    <s v="IKEA Milk Frother for"/>
    <x v="22"/>
    <m/>
    <n v="399"/>
    <n v="229"/>
    <n v="1197"/>
    <n v="687"/>
    <n v="514.71"/>
    <n v="-510"/>
    <n v="0.43"/>
    <n v="3.6"/>
    <n v="451"/>
    <s v="ANURAG,Amazon Customer,Pallavi"/>
    <n v="3"/>
    <e v="#REF!"/>
    <e v="#REF!"/>
  </r>
  <r>
    <s v="B0BBLHTRM9"/>
    <s v="IONIX Tap filter Multilayer"/>
    <x v="23"/>
    <m/>
    <n v="699"/>
    <n v="199"/>
    <n v="2097"/>
    <n v="597"/>
    <n v="1509.84"/>
    <n v="-1500"/>
    <n v="0.72"/>
    <n v="2.9"/>
    <n v="159"/>
    <s v="Anmol Khanna,G.l.sudhakar,Amazon"/>
    <n v="3"/>
    <e v="#REF!"/>
    <e v="#REF!"/>
  </r>
  <r>
    <s v="B0BJYSCWFQ"/>
    <s v="Kitchengenix's Mini Waffle Maker"/>
    <x v="2"/>
    <s v="Tripods&amp;Monopods"/>
    <n v="1999"/>
    <n v="899"/>
    <n v="5997"/>
    <n v="2697"/>
    <n v="3298.3500000000004"/>
    <n v="-3300"/>
    <n v="0.55000000000000004"/>
    <n v="4.2"/>
    <n v="39"/>
    <s v="Placeholder,Saddam Suthar,Priyanka"/>
    <n v="3"/>
    <e v="#REF!"/>
    <e v="#REF!"/>
  </r>
  <r>
    <s v="B0187F2IOK"/>
    <s v="Bajaj HM-01 Powerful 250W"/>
    <x v="24"/>
    <s v="Scientific"/>
    <n v="2199"/>
    <n v="1499"/>
    <n v="4398"/>
    <n v="2998"/>
    <n v="1407.3600000000001"/>
    <n v="-1400"/>
    <n v="0.32"/>
    <n v="4.4000000000000004"/>
    <n v="6531"/>
    <s v="Megha Gadiya,bharati"/>
    <n v="2"/>
    <e v="#REF!"/>
    <e v="#REF!"/>
  </r>
  <r>
    <s v="B0B8CB7MHW"/>
    <s v="KNOWZA Electric Handheld Milk"/>
    <x v="25"/>
    <m/>
    <n v="999"/>
    <n v="426"/>
    <n v="1998"/>
    <n v="852"/>
    <n v="1138.8599999999999"/>
    <n v="-1146"/>
    <n v="0.56999999999999995"/>
    <n v="4.0999999999999996"/>
    <n v="222"/>
    <s v="Deepak B.,Azhar"/>
    <n v="2"/>
    <e v="#REF!"/>
    <e v="#REF!"/>
  </r>
  <r>
    <s v="B07K19NYZ8"/>
    <s v="Usha Hc 812 T"/>
    <x v="2"/>
    <s v="Tripods&amp;Monopods"/>
    <n v="3290"/>
    <n v="2320"/>
    <n v="9870"/>
    <n v="6960"/>
    <n v="2862.2999999999997"/>
    <n v="-2910"/>
    <n v="0.28999999999999998"/>
    <n v="3.8"/>
    <n v="195"/>
    <s v="Sumit kumar,sunil,Mahima"/>
    <n v="3"/>
    <e v="#REF!"/>
    <e v="#REF!"/>
  </r>
  <r>
    <s v="B08ZXZ362Z"/>
    <s v="akiara - Makes life"/>
    <x v="26"/>
    <s v="InkjetInkCartridges"/>
    <n v="3098"/>
    <n v="1563"/>
    <n v="12392"/>
    <n v="6252"/>
    <n v="6196"/>
    <n v="-6140"/>
    <n v="0.5"/>
    <n v="3.5"/>
    <n v="2283"/>
    <s v="Vaishnavi,Paramesh,Kirti Gupta,Mousumi"/>
    <n v="4"/>
    <e v="#REF!"/>
    <e v="#REF!"/>
  </r>
  <r>
    <s v="B00GHL8VP2"/>
    <s v="USHA 1212 PTC with"/>
    <x v="17"/>
    <s v="Keyboard&amp;MiceAccessories"/>
    <n v="4990"/>
    <n v="3487.77"/>
    <n v="9980"/>
    <n v="6975.54"/>
    <n v="2994"/>
    <n v="-3004.46"/>
    <n v="0.3"/>
    <n v="4.0999999999999996"/>
    <n v="1127"/>
    <s v="Manoj Kumar,Arun"/>
    <n v="2"/>
    <e v="#REF!"/>
    <e v="#REF!"/>
  </r>
  <r>
    <s v="B0B9JZW1SQ"/>
    <s v="4 in 1 Handheld"/>
    <x v="27"/>
    <s v="GamingMice"/>
    <n v="1200"/>
    <n v="498"/>
    <n v="4800"/>
    <n v="1992"/>
    <n v="2832"/>
    <n v="-2808"/>
    <n v="0.59"/>
    <n v="3.2"/>
    <n v="113"/>
    <s v="Ashish,Kavita J.,Sundar,Tessy"/>
    <n v="4"/>
    <e v="#REF!"/>
    <e v="#REF!"/>
  </r>
  <r>
    <s v="B00TI8E7BI"/>
    <s v="Philips HD9306/06 1.5-Litre Electric"/>
    <x v="28"/>
    <s v="Paints"/>
    <n v="2695"/>
    <n v="2695"/>
    <n v="10780"/>
    <n v="10780"/>
    <n v="0"/>
    <n v="0"/>
    <n v="0"/>
    <n v="4.4000000000000004"/>
    <n v="2518"/>
    <s v="AmazonCust,DD_Zen,Amazon Customer,VINISH"/>
    <n v="4"/>
    <e v="#REF!"/>
    <e v="#REF!"/>
  </r>
  <r>
    <s v="B07J9KXQCC"/>
    <s v="Libra Room Heater for"/>
    <x v="17"/>
    <s v="Keyboard&amp;MiceAccessories"/>
    <n v="2299"/>
    <n v="949"/>
    <n v="6897"/>
    <n v="2847"/>
    <n v="4069.2299999999996"/>
    <n v="-4050"/>
    <n v="0.59"/>
    <n v="3.6"/>
    <n v="550"/>
    <s v="gitesh jaiswal,Divyansh,Dr"/>
    <n v="3"/>
    <e v="#REF!"/>
    <e v="#REF!"/>
  </r>
  <r>
    <s v="B0B3JSWG81"/>
    <s v="NGI Store 2 Pieces"/>
    <x v="29"/>
    <m/>
    <n v="999"/>
    <n v="199"/>
    <n v="999"/>
    <n v="199"/>
    <n v="799.2"/>
    <n v="-800"/>
    <n v="0.8"/>
    <n v="3.1"/>
    <n v="2"/>
    <s v="Kunal Sen"/>
    <n v="1"/>
    <e v="#REF!"/>
    <e v="#REF!"/>
  </r>
  <r>
    <s v="B08L7J3T31"/>
    <s v="Noir Aqua - 5pcs"/>
    <x v="30"/>
    <s v="Macro&amp;RinglightFlashes"/>
    <n v="919"/>
    <n v="379"/>
    <n v="1838"/>
    <n v="758"/>
    <n v="1084.4199999999998"/>
    <n v="-1080"/>
    <n v="0.59"/>
    <n v="4"/>
    <n v="1090"/>
    <s v="Prabha ds,Raghuram"/>
    <n v="2"/>
    <e v="#REF!"/>
    <e v="#REF!"/>
  </r>
  <r>
    <s v="B01M6453MB"/>
    <s v="Prestige Delight PRWO Electric"/>
    <x v="31"/>
    <m/>
    <n v="3045"/>
    <n v="2280"/>
    <n v="9135"/>
    <n v="6840"/>
    <n v="2283.75"/>
    <n v="-2295"/>
    <n v="0.25"/>
    <n v="4.0999999999999996"/>
    <n v="4118"/>
    <s v="Manu Bhai,Naveenpittu,Evatira"/>
    <n v="3"/>
    <e v="#REF!"/>
    <e v="#REF!"/>
  </r>
  <r>
    <s v="B009P2LIL4"/>
    <s v="Bajaj Majesty RX10 2000"/>
    <x v="32"/>
    <m/>
    <n v="3080"/>
    <n v="2219"/>
    <n v="6160"/>
    <n v="4438"/>
    <n v="1724.8000000000002"/>
    <n v="-1722"/>
    <n v="0.28000000000000003"/>
    <n v="3.6"/>
    <n v="468"/>
    <s v="Nehal Desai,Danish"/>
    <n v="2"/>
    <e v="#REF!"/>
    <e v="#REF!"/>
  </r>
  <r>
    <s v="B00J5DYCCA"/>
    <s v="Havells Ventil Air DSP"/>
    <x v="13"/>
    <s v="Over-Ear"/>
    <n v="1890"/>
    <n v="1399"/>
    <n v="5670"/>
    <n v="4197"/>
    <n v="1474.2"/>
    <n v="-1473"/>
    <n v="0.26"/>
    <n v="4"/>
    <n v="8031"/>
    <s v="Shubham Dubey,E.GURUBARAN,Mayank"/>
    <n v="3"/>
    <e v="#REF!"/>
    <e v="#REF!"/>
  </r>
  <r>
    <s v="B01486F4G6"/>
    <s v="Borosil Jumbo 1000-Watt Grill"/>
    <x v="8"/>
    <s v="BluetoothSpeakers"/>
    <n v="3690"/>
    <n v="2863"/>
    <n v="11070"/>
    <n v="8589"/>
    <n v="2435.3999999999996"/>
    <n v="-2481"/>
    <n v="0.22"/>
    <n v="4.3"/>
    <n v="6987"/>
    <s v="Rajib,Ajay B,Vikas"/>
    <n v="3"/>
    <e v="#REF!"/>
    <e v="#REF!"/>
  </r>
  <r>
    <m/>
    <m/>
    <x v="31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2198C-E785-4B24-9BD8-80E2952BBB0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B77" firstHeaderRow="1" firstDataRow="1" firstDataCol="1"/>
  <pivotFields count="17">
    <pivotField showAll="0"/>
    <pivotField dataField="1" showAll="0"/>
    <pivotField axis="axisRow" showAll="0">
      <items count="73">
        <item x="2"/>
        <item x="15"/>
        <item x="43"/>
        <item x="70"/>
        <item x="66"/>
        <item x="38"/>
        <item x="7"/>
        <item x="0"/>
        <item x="24"/>
        <item x="42"/>
        <item x="63"/>
        <item x="18"/>
        <item x="53"/>
        <item x="45"/>
        <item x="19"/>
        <item x="50"/>
        <item x="46"/>
        <item x="49"/>
        <item x="22"/>
        <item x="39"/>
        <item x="51"/>
        <item x="62"/>
        <item x="30"/>
        <item x="29"/>
        <item x="54"/>
        <item x="13"/>
        <item x="68"/>
        <item x="69"/>
        <item x="26"/>
        <item x="65"/>
        <item x="47"/>
        <item x="44"/>
        <item x="17"/>
        <item x="59"/>
        <item x="14"/>
        <item x="61"/>
        <item x="6"/>
        <item x="40"/>
        <item x="12"/>
        <item x="10"/>
        <item x="1"/>
        <item x="28"/>
        <item x="20"/>
        <item x="71"/>
        <item x="27"/>
        <item x="16"/>
        <item x="48"/>
        <item x="4"/>
        <item x="33"/>
        <item x="25"/>
        <item x="57"/>
        <item x="32"/>
        <item x="5"/>
        <item x="21"/>
        <item x="35"/>
        <item x="67"/>
        <item x="56"/>
        <item x="11"/>
        <item x="9"/>
        <item x="8"/>
        <item x="52"/>
        <item x="36"/>
        <item x="3"/>
        <item x="55"/>
        <item x="41"/>
        <item x="34"/>
        <item x="37"/>
        <item x="58"/>
        <item x="23"/>
        <item x="60"/>
        <item x="64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Product" fld="1" subtotal="count" baseField="2" baseItem="1"/>
  </dataFields>
  <chartFormats count="7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5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5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5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5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5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5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5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5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5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5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5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5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5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5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5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5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5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5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5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5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5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5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5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5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5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5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5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5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5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5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5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5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5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5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5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5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5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5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5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5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5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5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5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5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5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5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5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5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5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5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5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5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5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5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5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5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5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15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5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5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5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15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15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15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5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95681-43B4-4FF4-8C18-26F58CAE36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/>
  <pivotFields count="17">
    <pivotField showAll="0"/>
    <pivotField dataField="1" showAll="0"/>
    <pivotField axis="axisRow" showAll="0">
      <items count="73">
        <item h="1" x="2"/>
        <item h="1" x="15"/>
        <item h="1" x="43"/>
        <item h="1" x="70"/>
        <item h="1" x="66"/>
        <item h="1" x="38"/>
        <item x="7"/>
        <item h="1" x="0"/>
        <item h="1" x="24"/>
        <item h="1" x="42"/>
        <item h="1" x="63"/>
        <item h="1" x="18"/>
        <item h="1" x="53"/>
        <item h="1" x="45"/>
        <item h="1" x="19"/>
        <item h="1" x="50"/>
        <item h="1" x="46"/>
        <item h="1" x="49"/>
        <item h="1" x="22"/>
        <item h="1" x="39"/>
        <item h="1" x="51"/>
        <item h="1" x="62"/>
        <item h="1" x="30"/>
        <item h="1" x="29"/>
        <item h="1" x="54"/>
        <item h="1" x="13"/>
        <item h="1" x="68"/>
        <item h="1" x="69"/>
        <item h="1" x="26"/>
        <item h="1" x="65"/>
        <item h="1" x="47"/>
        <item h="1" x="44"/>
        <item h="1" x="17"/>
        <item h="1" x="59"/>
        <item h="1" x="14"/>
        <item h="1" x="61"/>
        <item h="1" x="6"/>
        <item h="1" x="40"/>
        <item h="1" x="12"/>
        <item h="1" x="10"/>
        <item h="1" x="1"/>
        <item h="1" x="28"/>
        <item h="1" x="20"/>
        <item h="1" x="71"/>
        <item h="1" x="27"/>
        <item h="1" x="16"/>
        <item h="1" x="48"/>
        <item h="1" x="4"/>
        <item h="1" x="33"/>
        <item h="1" x="25"/>
        <item h="1" x="57"/>
        <item h="1" x="32"/>
        <item h="1" x="5"/>
        <item h="1" x="21"/>
        <item h="1" x="35"/>
        <item h="1" x="67"/>
        <item h="1" x="56"/>
        <item h="1" x="11"/>
        <item h="1" x="9"/>
        <item h="1" x="8"/>
        <item h="1" x="52"/>
        <item h="1" x="36"/>
        <item h="1" x="3"/>
        <item h="1" x="55"/>
        <item h="1" x="41"/>
        <item h="1" x="34"/>
        <item h="1" x="37"/>
        <item h="1" x="58"/>
        <item h="1" x="23"/>
        <item h="1" x="60"/>
        <item h="1" x="64"/>
        <item h="1" x="3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" fld="1" subtotal="count" baseField="0" baseItem="0"/>
    <dataField name="Count of product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E10E1-01DA-4B46-BC04-D0CEDDE928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44:G117" firstHeaderRow="1" firstDataRow="1" firstDataCol="1"/>
  <pivotFields count="17">
    <pivotField showAll="0"/>
    <pivotField showAll="0"/>
    <pivotField axis="axisRow" showAll="0">
      <items count="73">
        <item x="2"/>
        <item x="15"/>
        <item x="43"/>
        <item x="70"/>
        <item x="66"/>
        <item x="38"/>
        <item x="7"/>
        <item x="0"/>
        <item x="24"/>
        <item x="42"/>
        <item x="63"/>
        <item x="18"/>
        <item x="53"/>
        <item x="45"/>
        <item x="19"/>
        <item x="50"/>
        <item x="46"/>
        <item x="49"/>
        <item x="22"/>
        <item x="39"/>
        <item x="51"/>
        <item x="62"/>
        <item x="30"/>
        <item x="29"/>
        <item x="54"/>
        <item x="13"/>
        <item x="68"/>
        <item x="69"/>
        <item x="26"/>
        <item x="65"/>
        <item x="47"/>
        <item x="44"/>
        <item x="17"/>
        <item x="59"/>
        <item x="14"/>
        <item x="61"/>
        <item x="6"/>
        <item x="40"/>
        <item x="12"/>
        <item x="10"/>
        <item x="1"/>
        <item x="28"/>
        <item x="20"/>
        <item x="71"/>
        <item x="27"/>
        <item x="16"/>
        <item x="48"/>
        <item x="4"/>
        <item x="33"/>
        <item x="25"/>
        <item x="57"/>
        <item x="32"/>
        <item x="5"/>
        <item x="21"/>
        <item x="35"/>
        <item x="67"/>
        <item x="56"/>
        <item x="11"/>
        <item x="9"/>
        <item x="8"/>
        <item x="52"/>
        <item x="36"/>
        <item x="3"/>
        <item x="55"/>
        <item x="41"/>
        <item x="34"/>
        <item x="37"/>
        <item x="58"/>
        <item x="23"/>
        <item x="60"/>
        <item x="64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Average of rating" fld="11" subtotal="average" baseField="2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E7174-069C-46FD-920D-C089606D54D1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:B3" firstHeaderRow="1" firstDataRow="1" firstDataCol="1"/>
  <pivotFields count="17">
    <pivotField showAll="0"/>
    <pivotField showAll="0"/>
    <pivotField axis="axisRow" showAll="0">
      <items count="73">
        <item h="1" x="2"/>
        <item h="1" x="15"/>
        <item h="1" x="43"/>
        <item h="1" x="70"/>
        <item h="1" x="66"/>
        <item h="1" x="38"/>
        <item x="7"/>
        <item h="1" x="0"/>
        <item h="1" x="24"/>
        <item h="1" x="42"/>
        <item h="1" x="63"/>
        <item h="1" x="18"/>
        <item h="1" x="53"/>
        <item h="1" x="45"/>
        <item h="1" x="19"/>
        <item h="1" x="50"/>
        <item h="1" x="46"/>
        <item h="1" x="49"/>
        <item h="1" x="22"/>
        <item h="1" x="39"/>
        <item h="1" x="51"/>
        <item h="1" x="62"/>
        <item h="1" x="30"/>
        <item h="1" x="29"/>
        <item h="1" x="54"/>
        <item h="1" x="13"/>
        <item h="1" x="68"/>
        <item h="1" x="69"/>
        <item h="1" x="26"/>
        <item h="1" x="65"/>
        <item h="1" x="47"/>
        <item h="1" x="44"/>
        <item h="1" x="17"/>
        <item h="1" x="59"/>
        <item h="1" x="14"/>
        <item h="1" x="61"/>
        <item h="1" x="6"/>
        <item h="1" x="40"/>
        <item h="1" x="12"/>
        <item h="1" x="10"/>
        <item h="1" x="1"/>
        <item h="1" x="28"/>
        <item h="1" x="20"/>
        <item h="1" x="71"/>
        <item h="1" x="27"/>
        <item h="1" x="16"/>
        <item h="1" x="48"/>
        <item h="1" x="4"/>
        <item h="1" x="33"/>
        <item h="1" x="25"/>
        <item h="1" x="57"/>
        <item h="1" x="32"/>
        <item h="1" x="5"/>
        <item h="1" x="21"/>
        <item h="1" x="35"/>
        <item h="1" x="67"/>
        <item h="1" x="56"/>
        <item h="1" x="11"/>
        <item h="1" x="9"/>
        <item h="1" x="8"/>
        <item h="1" x="52"/>
        <item h="1" x="36"/>
        <item h="1" x="3"/>
        <item h="1" x="55"/>
        <item h="1" x="41"/>
        <item h="1" x="34"/>
        <item h="1" x="37"/>
        <item h="1" x="58"/>
        <item h="1" x="23"/>
        <item h="1" x="60"/>
        <item h="1" x="64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6"/>
    </i>
    <i t="grand">
      <x/>
    </i>
  </rowItems>
  <colItems count="1">
    <i/>
  </colItems>
  <dataFields count="1">
    <dataField name="Average of discount_percentage" fld="10" subtotal="average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F3C2D-242A-489C-84FA-10A15DA0A61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74" firstHeaderRow="1" firstDataRow="1" firstDataCol="1"/>
  <pivotFields count="17">
    <pivotField showAll="0"/>
    <pivotField showAll="0"/>
    <pivotField axis="axisRow" showAll="0">
      <items count="73">
        <item x="2"/>
        <item x="15"/>
        <item x="43"/>
        <item x="70"/>
        <item x="66"/>
        <item x="38"/>
        <item x="7"/>
        <item x="0"/>
        <item x="24"/>
        <item x="42"/>
        <item x="63"/>
        <item x="18"/>
        <item x="53"/>
        <item x="45"/>
        <item x="19"/>
        <item x="50"/>
        <item x="46"/>
        <item x="49"/>
        <item x="22"/>
        <item x="39"/>
        <item x="51"/>
        <item x="62"/>
        <item x="30"/>
        <item x="29"/>
        <item x="54"/>
        <item x="13"/>
        <item x="68"/>
        <item x="69"/>
        <item x="26"/>
        <item x="65"/>
        <item x="47"/>
        <item x="44"/>
        <item x="17"/>
        <item x="59"/>
        <item x="14"/>
        <item x="61"/>
        <item x="6"/>
        <item x="40"/>
        <item x="12"/>
        <item x="10"/>
        <item x="1"/>
        <item x="28"/>
        <item x="20"/>
        <item x="71"/>
        <item x="27"/>
        <item x="16"/>
        <item x="48"/>
        <item x="4"/>
        <item x="33"/>
        <item x="25"/>
        <item x="57"/>
        <item x="32"/>
        <item x="5"/>
        <item x="21"/>
        <item x="35"/>
        <item x="67"/>
        <item x="56"/>
        <item x="11"/>
        <item x="9"/>
        <item x="8"/>
        <item x="52"/>
        <item x="36"/>
        <item x="3"/>
        <item x="55"/>
        <item x="41"/>
        <item x="34"/>
        <item x="37"/>
        <item x="58"/>
        <item x="23"/>
        <item x="60"/>
        <item x="64"/>
        <item x="3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Average of discounted_price" fld="5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037BA-0F48-476A-A2A0-EEEBB687E8C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C74" firstHeaderRow="0" firstDataRow="1" firstDataCol="1"/>
  <pivotFields count="17">
    <pivotField showAll="0"/>
    <pivotField showAll="0"/>
    <pivotField axis="axisRow" showAll="0">
      <items count="73">
        <item x="2"/>
        <item x="15"/>
        <item x="43"/>
        <item x="70"/>
        <item x="66"/>
        <item x="38"/>
        <item x="7"/>
        <item x="0"/>
        <item x="24"/>
        <item x="42"/>
        <item x="63"/>
        <item x="18"/>
        <item x="53"/>
        <item x="45"/>
        <item x="19"/>
        <item x="50"/>
        <item x="46"/>
        <item x="49"/>
        <item x="22"/>
        <item x="39"/>
        <item x="51"/>
        <item x="62"/>
        <item x="30"/>
        <item x="29"/>
        <item x="54"/>
        <item x="13"/>
        <item x="68"/>
        <item x="69"/>
        <item x="26"/>
        <item x="65"/>
        <item x="47"/>
        <item x="44"/>
        <item x="17"/>
        <item x="59"/>
        <item x="14"/>
        <item x="61"/>
        <item x="6"/>
        <item x="40"/>
        <item x="12"/>
        <item x="10"/>
        <item x="1"/>
        <item x="28"/>
        <item x="20"/>
        <item x="71"/>
        <item x="27"/>
        <item x="16"/>
        <item x="48"/>
        <item x="4"/>
        <item x="33"/>
        <item x="25"/>
        <item x="57"/>
        <item x="32"/>
        <item x="5"/>
        <item x="21"/>
        <item x="35"/>
        <item x="67"/>
        <item x="56"/>
        <item x="11"/>
        <item x="9"/>
        <item x="8"/>
        <item x="52"/>
        <item x="36"/>
        <item x="3"/>
        <item x="55"/>
        <item x="41"/>
        <item x="34"/>
        <item x="37"/>
        <item x="58"/>
        <item x="23"/>
        <item x="60"/>
        <item x="64"/>
        <item x="3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ed_price" fld="5" subtotal="average" baseField="2" baseItem="0"/>
    <dataField name="Average of rating" fld="11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D5236-53E4-4847-90B8-85C9DDA5098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4" firstHeaderRow="1" firstDataRow="1" firstDataCol="1"/>
  <pivotFields count="17">
    <pivotField showAll="0"/>
    <pivotField showAll="0"/>
    <pivotField axis="axisRow" showAll="0">
      <items count="73">
        <item x="2"/>
        <item x="15"/>
        <item x="43"/>
        <item x="70"/>
        <item x="66"/>
        <item x="38"/>
        <item x="7"/>
        <item x="0"/>
        <item x="24"/>
        <item x="42"/>
        <item x="63"/>
        <item x="18"/>
        <item x="53"/>
        <item x="45"/>
        <item x="19"/>
        <item x="50"/>
        <item x="46"/>
        <item x="49"/>
        <item x="22"/>
        <item x="39"/>
        <item x="51"/>
        <item x="62"/>
        <item x="30"/>
        <item x="29"/>
        <item x="54"/>
        <item x="13"/>
        <item x="68"/>
        <item x="69"/>
        <item x="26"/>
        <item x="65"/>
        <item x="47"/>
        <item x="44"/>
        <item x="17"/>
        <item x="59"/>
        <item x="14"/>
        <item x="61"/>
        <item x="6"/>
        <item x="40"/>
        <item x="12"/>
        <item x="10"/>
        <item x="1"/>
        <item x="28"/>
        <item x="20"/>
        <item x="71"/>
        <item x="27"/>
        <item x="16"/>
        <item x="48"/>
        <item x="4"/>
        <item x="33"/>
        <item x="25"/>
        <item x="57"/>
        <item x="32"/>
        <item x="5"/>
        <item x="21"/>
        <item x="35"/>
        <item x="67"/>
        <item x="56"/>
        <item x="11"/>
        <item x="9"/>
        <item x="8"/>
        <item x="52"/>
        <item x="36"/>
        <item x="3"/>
        <item x="55"/>
        <item x="41"/>
        <item x="34"/>
        <item x="37"/>
        <item x="58"/>
        <item x="23"/>
        <item x="60"/>
        <item x="64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Average of discount_percentage" fld="10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6C59-FE1B-4FBD-9E70-8851A5ED5EB8}">
  <dimension ref="A1:Q1466"/>
  <sheetViews>
    <sheetView topLeftCell="A1136" workbookViewId="0">
      <selection activeCell="A1289" sqref="A1:XFD1048576"/>
    </sheetView>
  </sheetViews>
  <sheetFormatPr defaultColWidth="14.33203125" defaultRowHeight="14.4" x14ac:dyDescent="0.3"/>
  <cols>
    <col min="2" max="2" width="23" customWidth="1"/>
    <col min="3" max="4" width="14.33203125" style="11"/>
    <col min="5" max="5" width="14.33203125" style="14"/>
    <col min="6" max="8" width="14.33203125" style="3"/>
    <col min="9" max="10" width="14.33203125" style="14"/>
  </cols>
  <sheetData>
    <row r="1" spans="1:17" x14ac:dyDescent="0.3">
      <c r="A1" s="6" t="s">
        <v>0</v>
      </c>
      <c r="B1" s="6" t="s">
        <v>1</v>
      </c>
      <c r="C1" s="7" t="s">
        <v>2</v>
      </c>
      <c r="D1" s="7" t="s">
        <v>3931</v>
      </c>
      <c r="E1" s="13" t="s">
        <v>4</v>
      </c>
      <c r="F1" s="8" t="s">
        <v>3</v>
      </c>
      <c r="G1" s="8" t="s">
        <v>3941</v>
      </c>
      <c r="H1" s="8" t="s">
        <v>3942</v>
      </c>
      <c r="I1" s="13" t="s">
        <v>3939</v>
      </c>
      <c r="J1" s="13" t="s">
        <v>3940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3932</v>
      </c>
      <c r="P1" s="6" t="s">
        <v>3933</v>
      </c>
      <c r="Q1" s="6" t="s">
        <v>3934</v>
      </c>
    </row>
    <row r="2" spans="1:17" x14ac:dyDescent="0.3">
      <c r="A2" t="s">
        <v>9</v>
      </c>
      <c r="B2" t="s">
        <v>10</v>
      </c>
      <c r="C2" s="10" t="s">
        <v>3725</v>
      </c>
      <c r="D2" s="10" t="s">
        <v>3726</v>
      </c>
      <c r="E2" s="14">
        <v>1099</v>
      </c>
      <c r="F2" s="3">
        <v>399</v>
      </c>
      <c r="G2" s="3">
        <f>E2*O2</f>
        <v>4396</v>
      </c>
      <c r="H2" s="3">
        <f t="shared" ref="H2:H65" si="0">F2*O2</f>
        <v>1596</v>
      </c>
      <c r="I2" s="14">
        <f>(E2*K2)*O2</f>
        <v>2813.44</v>
      </c>
      <c r="J2" s="14">
        <f>H2-G2</f>
        <v>-2800</v>
      </c>
      <c r="K2" s="1">
        <v>0.64</v>
      </c>
      <c r="L2">
        <v>4.2</v>
      </c>
      <c r="M2" s="2">
        <v>24269</v>
      </c>
      <c r="N2" t="s">
        <v>11</v>
      </c>
      <c r="O2">
        <f>LEN(N2)-LEN(SUBSTITUTE(N2,",",""))+1</f>
        <v>4</v>
      </c>
      <c r="P2" s="12" t="e">
        <f>HYPERLINK(#REF!,"Link")</f>
        <v>#REF!</v>
      </c>
      <c r="Q2" s="12" t="e">
        <f>HYPERLINK(#REF!,"Link")</f>
        <v>#REF!</v>
      </c>
    </row>
    <row r="3" spans="1:17" x14ac:dyDescent="0.3">
      <c r="A3" t="s">
        <v>12</v>
      </c>
      <c r="B3" t="s">
        <v>13</v>
      </c>
      <c r="C3" s="9" t="s">
        <v>3727</v>
      </c>
      <c r="D3" s="9" t="s">
        <v>3728</v>
      </c>
      <c r="E3" s="14">
        <v>349</v>
      </c>
      <c r="F3" s="3">
        <v>199</v>
      </c>
      <c r="G3" s="3">
        <f t="shared" ref="G3:G66" si="1">E3*O3</f>
        <v>1047</v>
      </c>
      <c r="H3" s="3">
        <f t="shared" si="0"/>
        <v>597</v>
      </c>
      <c r="I3" s="14">
        <f t="shared" ref="I3:I66" si="2">(E3*K3)*O3</f>
        <v>450.21</v>
      </c>
      <c r="J3" s="14">
        <f t="shared" ref="J3:J66" si="3">H3-G3</f>
        <v>-450</v>
      </c>
      <c r="K3" s="1">
        <v>0.43</v>
      </c>
      <c r="L3">
        <v>4</v>
      </c>
      <c r="M3" s="2">
        <v>43994</v>
      </c>
      <c r="N3" t="s">
        <v>14</v>
      </c>
      <c r="O3">
        <f t="shared" ref="O3:O66" si="4">LEN(N3)-LEN(SUBSTITUTE(N3,",",""))+1</f>
        <v>3</v>
      </c>
      <c r="P3" s="12" t="e">
        <f>HYPERLINK(#REF!,"Link")</f>
        <v>#REF!</v>
      </c>
      <c r="Q3" s="12" t="e">
        <f>HYPERLINK(#REF!,"Link")</f>
        <v>#REF!</v>
      </c>
    </row>
    <row r="4" spans="1:17" x14ac:dyDescent="0.3">
      <c r="A4" t="s">
        <v>15</v>
      </c>
      <c r="B4" t="s">
        <v>16</v>
      </c>
      <c r="C4" s="10" t="s">
        <v>3729</v>
      </c>
      <c r="D4" s="10" t="s">
        <v>3726</v>
      </c>
      <c r="E4" s="14">
        <v>1899</v>
      </c>
      <c r="F4" s="3">
        <v>199</v>
      </c>
      <c r="G4" s="3">
        <f t="shared" si="1"/>
        <v>9495</v>
      </c>
      <c r="H4" s="3">
        <f t="shared" si="0"/>
        <v>995</v>
      </c>
      <c r="I4" s="14">
        <f t="shared" si="2"/>
        <v>8545.5</v>
      </c>
      <c r="J4" s="14">
        <f t="shared" si="3"/>
        <v>-8500</v>
      </c>
      <c r="K4" s="1">
        <v>0.9</v>
      </c>
      <c r="L4">
        <v>3.9</v>
      </c>
      <c r="M4" s="2">
        <v>7928</v>
      </c>
      <c r="N4" t="s">
        <v>17</v>
      </c>
      <c r="O4">
        <f t="shared" si="4"/>
        <v>5</v>
      </c>
      <c r="P4" s="12" t="e">
        <f>HYPERLINK(#REF!,"Link")</f>
        <v>#REF!</v>
      </c>
      <c r="Q4" s="12" t="e">
        <f>HYPERLINK(#REF!,"Link")</f>
        <v>#REF!</v>
      </c>
    </row>
    <row r="5" spans="1:17" x14ac:dyDescent="0.3">
      <c r="A5" t="s">
        <v>18</v>
      </c>
      <c r="B5" t="s">
        <v>19</v>
      </c>
      <c r="C5" s="9" t="s">
        <v>3730</v>
      </c>
      <c r="D5" s="9" t="s">
        <v>3731</v>
      </c>
      <c r="E5" s="14">
        <v>699</v>
      </c>
      <c r="F5" s="3">
        <v>329</v>
      </c>
      <c r="G5" s="3">
        <f t="shared" si="1"/>
        <v>2796</v>
      </c>
      <c r="H5" s="3">
        <f t="shared" si="0"/>
        <v>1316</v>
      </c>
      <c r="I5" s="14">
        <f t="shared" si="2"/>
        <v>1481.88</v>
      </c>
      <c r="J5" s="14">
        <f t="shared" si="3"/>
        <v>-1480</v>
      </c>
      <c r="K5" s="1">
        <v>0.53</v>
      </c>
      <c r="L5">
        <v>4.2</v>
      </c>
      <c r="M5" s="2">
        <v>94363</v>
      </c>
      <c r="N5" t="s">
        <v>20</v>
      </c>
      <c r="O5">
        <f t="shared" si="4"/>
        <v>4</v>
      </c>
      <c r="P5" s="12" t="e">
        <f>HYPERLINK(#REF!,"Link")</f>
        <v>#REF!</v>
      </c>
      <c r="Q5" s="12" t="e">
        <f>HYPERLINK(#REF!,"Link")</f>
        <v>#REF!</v>
      </c>
    </row>
    <row r="6" spans="1:17" x14ac:dyDescent="0.3">
      <c r="A6" t="s">
        <v>21</v>
      </c>
      <c r="B6" t="s">
        <v>22</v>
      </c>
      <c r="C6" s="10" t="s">
        <v>3729</v>
      </c>
      <c r="D6" s="10" t="s">
        <v>3732</v>
      </c>
      <c r="E6" s="14">
        <v>399</v>
      </c>
      <c r="F6" s="3">
        <v>154</v>
      </c>
      <c r="G6" s="3">
        <f t="shared" si="1"/>
        <v>1197</v>
      </c>
      <c r="H6" s="3">
        <f t="shared" si="0"/>
        <v>462</v>
      </c>
      <c r="I6" s="14">
        <f t="shared" si="2"/>
        <v>730.17</v>
      </c>
      <c r="J6" s="14">
        <f t="shared" si="3"/>
        <v>-735</v>
      </c>
      <c r="K6" s="1">
        <v>0.61</v>
      </c>
      <c r="L6">
        <v>4.2</v>
      </c>
      <c r="M6" s="2">
        <v>16905</v>
      </c>
      <c r="N6" t="s">
        <v>23</v>
      </c>
      <c r="O6">
        <f t="shared" si="4"/>
        <v>3</v>
      </c>
      <c r="P6" s="12" t="e">
        <f>HYPERLINK(#REF!,"Link")</f>
        <v>#REF!</v>
      </c>
      <c r="Q6" s="12" t="e">
        <f>HYPERLINK(#REF!,"Link")</f>
        <v>#REF!</v>
      </c>
    </row>
    <row r="7" spans="1:17" x14ac:dyDescent="0.3">
      <c r="A7" t="s">
        <v>24</v>
      </c>
      <c r="B7" t="s">
        <v>25</v>
      </c>
      <c r="C7" s="9" t="s">
        <v>3730</v>
      </c>
      <c r="D7" s="9" t="s">
        <v>3733</v>
      </c>
      <c r="E7" s="14">
        <v>1000</v>
      </c>
      <c r="F7" s="3">
        <v>149</v>
      </c>
      <c r="G7" s="3">
        <f t="shared" si="1"/>
        <v>4000</v>
      </c>
      <c r="H7" s="3">
        <f t="shared" si="0"/>
        <v>596</v>
      </c>
      <c r="I7" s="14">
        <f t="shared" si="2"/>
        <v>3400</v>
      </c>
      <c r="J7" s="14">
        <f t="shared" si="3"/>
        <v>-3404</v>
      </c>
      <c r="K7" s="1">
        <v>0.85</v>
      </c>
      <c r="L7">
        <v>3.9</v>
      </c>
      <c r="M7" s="2">
        <v>24871</v>
      </c>
      <c r="N7" t="s">
        <v>26</v>
      </c>
      <c r="O7">
        <f t="shared" si="4"/>
        <v>4</v>
      </c>
      <c r="P7" s="12" t="e">
        <f>HYPERLINK(#REF!,"Link")</f>
        <v>#REF!</v>
      </c>
      <c r="Q7" s="12" t="e">
        <f>HYPERLINK(#REF!,"Link")</f>
        <v>#REF!</v>
      </c>
    </row>
    <row r="8" spans="1:17" x14ac:dyDescent="0.3">
      <c r="A8" t="s">
        <v>27</v>
      </c>
      <c r="B8" t="s">
        <v>28</v>
      </c>
      <c r="C8" s="10" t="s">
        <v>3729</v>
      </c>
      <c r="D8" s="10" t="s">
        <v>3734</v>
      </c>
      <c r="E8" s="14">
        <v>499</v>
      </c>
      <c r="F8" s="3">
        <v>176.63</v>
      </c>
      <c r="G8" s="3">
        <f t="shared" si="1"/>
        <v>998</v>
      </c>
      <c r="H8" s="3">
        <f t="shared" si="0"/>
        <v>353.26</v>
      </c>
      <c r="I8" s="14">
        <f t="shared" si="2"/>
        <v>648.70000000000005</v>
      </c>
      <c r="J8" s="14">
        <f t="shared" si="3"/>
        <v>-644.74</v>
      </c>
      <c r="K8" s="1">
        <v>0.65</v>
      </c>
      <c r="L8">
        <v>4.0999999999999996</v>
      </c>
      <c r="M8" s="2">
        <v>15188</v>
      </c>
      <c r="N8" t="s">
        <v>29</v>
      </c>
      <c r="O8">
        <f t="shared" si="4"/>
        <v>2</v>
      </c>
      <c r="P8" s="12" t="e">
        <f>HYPERLINK(#REF!,"Link")</f>
        <v>#REF!</v>
      </c>
      <c r="Q8" s="12" t="e">
        <f>HYPERLINK(#REF!,"Link")</f>
        <v>#REF!</v>
      </c>
    </row>
    <row r="9" spans="1:17" x14ac:dyDescent="0.3">
      <c r="A9" t="s">
        <v>30</v>
      </c>
      <c r="B9" t="s">
        <v>31</v>
      </c>
      <c r="C9" s="9" t="s">
        <v>3729</v>
      </c>
      <c r="D9" s="9" t="s">
        <v>3726</v>
      </c>
      <c r="E9" s="14">
        <v>299</v>
      </c>
      <c r="F9" s="3">
        <v>229</v>
      </c>
      <c r="G9" s="3">
        <f t="shared" si="1"/>
        <v>299</v>
      </c>
      <c r="H9" s="3">
        <f t="shared" si="0"/>
        <v>229</v>
      </c>
      <c r="I9" s="14">
        <f t="shared" si="2"/>
        <v>68.77</v>
      </c>
      <c r="J9" s="14">
        <f t="shared" si="3"/>
        <v>-70</v>
      </c>
      <c r="K9" s="1">
        <v>0.23</v>
      </c>
      <c r="L9">
        <v>4.3</v>
      </c>
      <c r="M9" s="2">
        <v>30411</v>
      </c>
      <c r="N9" t="s">
        <v>32</v>
      </c>
      <c r="O9">
        <f t="shared" si="4"/>
        <v>1</v>
      </c>
      <c r="P9" s="12" t="e">
        <f>HYPERLINK(#REF!,"Link")</f>
        <v>#REF!</v>
      </c>
      <c r="Q9" s="12" t="e">
        <f>HYPERLINK(#REF!,"Link")</f>
        <v>#REF!</v>
      </c>
    </row>
    <row r="10" spans="1:17" x14ac:dyDescent="0.3">
      <c r="A10" t="s">
        <v>33</v>
      </c>
      <c r="B10" t="s">
        <v>34</v>
      </c>
      <c r="C10" s="10" t="s">
        <v>3729</v>
      </c>
      <c r="D10" s="10" t="s">
        <v>3735</v>
      </c>
      <c r="E10" s="14">
        <v>999</v>
      </c>
      <c r="F10" s="3">
        <v>499</v>
      </c>
      <c r="G10" s="3">
        <f t="shared" si="1"/>
        <v>1998</v>
      </c>
      <c r="H10" s="3">
        <f t="shared" si="0"/>
        <v>998</v>
      </c>
      <c r="I10" s="14">
        <f t="shared" si="2"/>
        <v>999</v>
      </c>
      <c r="J10" s="14">
        <f t="shared" si="3"/>
        <v>-1000</v>
      </c>
      <c r="K10" s="1">
        <v>0.5</v>
      </c>
      <c r="L10">
        <v>4.2</v>
      </c>
      <c r="M10" s="2">
        <v>179691</v>
      </c>
      <c r="N10" t="s">
        <v>35</v>
      </c>
      <c r="O10">
        <f t="shared" si="4"/>
        <v>2</v>
      </c>
      <c r="P10" s="12" t="e">
        <f>HYPERLINK(#REF!,"Link")</f>
        <v>#REF!</v>
      </c>
      <c r="Q10" s="12" t="e">
        <f>HYPERLINK(#REF!,"Link")</f>
        <v>#REF!</v>
      </c>
    </row>
    <row r="11" spans="1:17" x14ac:dyDescent="0.3">
      <c r="A11" t="s">
        <v>36</v>
      </c>
      <c r="B11" t="s">
        <v>13</v>
      </c>
      <c r="C11" s="9" t="s">
        <v>3729</v>
      </c>
      <c r="D11" s="9" t="s">
        <v>3726</v>
      </c>
      <c r="E11" s="14">
        <v>299</v>
      </c>
      <c r="F11" s="3">
        <v>199</v>
      </c>
      <c r="G11" s="3">
        <f t="shared" si="1"/>
        <v>897</v>
      </c>
      <c r="H11" s="3">
        <f t="shared" si="0"/>
        <v>597</v>
      </c>
      <c r="I11" s="14">
        <f t="shared" si="2"/>
        <v>296.01</v>
      </c>
      <c r="J11" s="14">
        <f t="shared" si="3"/>
        <v>-300</v>
      </c>
      <c r="K11" s="1">
        <v>0.33</v>
      </c>
      <c r="L11">
        <v>4</v>
      </c>
      <c r="M11" s="2">
        <v>43994</v>
      </c>
      <c r="N11" t="s">
        <v>14</v>
      </c>
      <c r="O11">
        <f t="shared" si="4"/>
        <v>3</v>
      </c>
      <c r="P11" s="12" t="e">
        <f>HYPERLINK(#REF!,"Link")</f>
        <v>#REF!</v>
      </c>
      <c r="Q11" s="12" t="e">
        <f>HYPERLINK(#REF!,"Link")</f>
        <v>#REF!</v>
      </c>
    </row>
    <row r="12" spans="1:17" x14ac:dyDescent="0.3">
      <c r="A12" t="s">
        <v>37</v>
      </c>
      <c r="B12" t="s">
        <v>38</v>
      </c>
      <c r="C12" s="10" t="s">
        <v>3737</v>
      </c>
      <c r="D12" s="10"/>
      <c r="E12" s="14">
        <v>339</v>
      </c>
      <c r="F12" s="3">
        <v>154</v>
      </c>
      <c r="G12" s="3">
        <f t="shared" si="1"/>
        <v>1356</v>
      </c>
      <c r="H12" s="3">
        <f t="shared" si="0"/>
        <v>616</v>
      </c>
      <c r="I12" s="14">
        <f t="shared" si="2"/>
        <v>745.80000000000007</v>
      </c>
      <c r="J12" s="14">
        <f t="shared" si="3"/>
        <v>-740</v>
      </c>
      <c r="K12" s="1">
        <v>0.55000000000000004</v>
      </c>
      <c r="L12">
        <v>4.3</v>
      </c>
      <c r="M12" s="2">
        <v>13391</v>
      </c>
      <c r="N12" t="s">
        <v>39</v>
      </c>
      <c r="O12">
        <f t="shared" si="4"/>
        <v>4</v>
      </c>
      <c r="P12" s="12" t="e">
        <f>HYPERLINK(#REF!,"Link")</f>
        <v>#REF!</v>
      </c>
      <c r="Q12" s="12" t="e">
        <f>HYPERLINK(#REF!,"Link")</f>
        <v>#REF!</v>
      </c>
    </row>
    <row r="13" spans="1:17" x14ac:dyDescent="0.3">
      <c r="A13" t="s">
        <v>40</v>
      </c>
      <c r="B13" t="s">
        <v>41</v>
      </c>
      <c r="C13" s="9" t="s">
        <v>3729</v>
      </c>
      <c r="D13" s="9" t="s">
        <v>3738</v>
      </c>
      <c r="E13" s="14">
        <v>799</v>
      </c>
      <c r="F13" s="3">
        <v>299</v>
      </c>
      <c r="G13" s="3">
        <f t="shared" si="1"/>
        <v>3196</v>
      </c>
      <c r="H13" s="3">
        <f t="shared" si="0"/>
        <v>1196</v>
      </c>
      <c r="I13" s="14">
        <f t="shared" si="2"/>
        <v>2013.48</v>
      </c>
      <c r="J13" s="14">
        <f t="shared" si="3"/>
        <v>-2000</v>
      </c>
      <c r="K13" s="1">
        <v>0.63</v>
      </c>
      <c r="L13">
        <v>4.2</v>
      </c>
      <c r="M13" s="2">
        <v>94363</v>
      </c>
      <c r="N13" t="s">
        <v>20</v>
      </c>
      <c r="O13">
        <f t="shared" si="4"/>
        <v>4</v>
      </c>
      <c r="P13" s="12" t="e">
        <f>HYPERLINK(#REF!,"Link")</f>
        <v>#REF!</v>
      </c>
      <c r="Q13" s="12" t="e">
        <f>HYPERLINK(#REF!,"Link")</f>
        <v>#REF!</v>
      </c>
    </row>
    <row r="14" spans="1:17" x14ac:dyDescent="0.3">
      <c r="A14" t="s">
        <v>42</v>
      </c>
      <c r="B14" t="s">
        <v>43</v>
      </c>
      <c r="C14" s="10" t="s">
        <v>3739</v>
      </c>
      <c r="D14" s="10" t="s">
        <v>3740</v>
      </c>
      <c r="E14" s="14">
        <v>700</v>
      </c>
      <c r="F14" s="3">
        <v>219</v>
      </c>
      <c r="G14" s="3">
        <f t="shared" si="1"/>
        <v>1400</v>
      </c>
      <c r="H14" s="3">
        <f t="shared" si="0"/>
        <v>438</v>
      </c>
      <c r="I14" s="14">
        <f t="shared" si="2"/>
        <v>965.99999999999989</v>
      </c>
      <c r="J14" s="14">
        <f t="shared" si="3"/>
        <v>-962</v>
      </c>
      <c r="K14" s="1">
        <v>0.69</v>
      </c>
      <c r="L14">
        <v>4.4000000000000004</v>
      </c>
      <c r="M14" s="2">
        <v>426973</v>
      </c>
      <c r="N14" t="s">
        <v>44</v>
      </c>
      <c r="O14">
        <f t="shared" si="4"/>
        <v>2</v>
      </c>
      <c r="P14" s="12" t="e">
        <f>HYPERLINK(#REF!,"Link")</f>
        <v>#REF!</v>
      </c>
      <c r="Q14" s="12" t="e">
        <f>HYPERLINK(#REF!,"Link")</f>
        <v>#REF!</v>
      </c>
    </row>
    <row r="15" spans="1:17" x14ac:dyDescent="0.3">
      <c r="A15" t="s">
        <v>45</v>
      </c>
      <c r="B15" t="s">
        <v>46</v>
      </c>
      <c r="C15" s="9" t="s">
        <v>3725</v>
      </c>
      <c r="D15" s="9" t="s">
        <v>3726</v>
      </c>
      <c r="E15" s="14">
        <v>899</v>
      </c>
      <c r="F15" s="3">
        <v>350</v>
      </c>
      <c r="G15" s="3">
        <f t="shared" si="1"/>
        <v>5394</v>
      </c>
      <c r="H15" s="3">
        <f t="shared" si="0"/>
        <v>2100</v>
      </c>
      <c r="I15" s="14">
        <f t="shared" si="2"/>
        <v>3290.34</v>
      </c>
      <c r="J15" s="14">
        <f t="shared" si="3"/>
        <v>-3294</v>
      </c>
      <c r="K15" s="1">
        <v>0.61</v>
      </c>
      <c r="L15">
        <v>4.2</v>
      </c>
      <c r="M15" s="2">
        <v>2262</v>
      </c>
      <c r="N15" t="s">
        <v>47</v>
      </c>
      <c r="O15">
        <f t="shared" si="4"/>
        <v>6</v>
      </c>
      <c r="P15" s="12" t="e">
        <f>HYPERLINK(#REF!,"Link")</f>
        <v>#REF!</v>
      </c>
      <c r="Q15" s="12" t="e">
        <f>HYPERLINK(#REF!,"Link")</f>
        <v>#REF!</v>
      </c>
    </row>
    <row r="16" spans="1:17" x14ac:dyDescent="0.3">
      <c r="A16" t="s">
        <v>48</v>
      </c>
      <c r="B16" t="s">
        <v>22</v>
      </c>
      <c r="C16" s="10" t="s">
        <v>3729</v>
      </c>
      <c r="D16" s="10" t="s">
        <v>3726</v>
      </c>
      <c r="E16" s="14">
        <v>399</v>
      </c>
      <c r="F16" s="3">
        <v>159</v>
      </c>
      <c r="G16" s="3">
        <f t="shared" si="1"/>
        <v>798</v>
      </c>
      <c r="H16" s="3">
        <f t="shared" si="0"/>
        <v>318</v>
      </c>
      <c r="I16" s="14">
        <f t="shared" si="2"/>
        <v>478.79999999999995</v>
      </c>
      <c r="J16" s="14">
        <f t="shared" si="3"/>
        <v>-480</v>
      </c>
      <c r="K16" s="1">
        <v>0.6</v>
      </c>
      <c r="L16">
        <v>4.0999999999999996</v>
      </c>
      <c r="M16" s="2">
        <v>4768</v>
      </c>
      <c r="N16" t="s">
        <v>49</v>
      </c>
      <c r="O16">
        <f t="shared" si="4"/>
        <v>2</v>
      </c>
      <c r="P16" s="12" t="e">
        <f>HYPERLINK(#REF!,"Link")</f>
        <v>#REF!</v>
      </c>
      <c r="Q16" s="12" t="e">
        <f>HYPERLINK(#REF!,"Link")</f>
        <v>#REF!</v>
      </c>
    </row>
    <row r="17" spans="1:17" x14ac:dyDescent="0.3">
      <c r="A17" t="s">
        <v>50</v>
      </c>
      <c r="B17" t="s">
        <v>51</v>
      </c>
      <c r="C17" s="9" t="s">
        <v>3741</v>
      </c>
      <c r="D17" s="9" t="s">
        <v>3742</v>
      </c>
      <c r="E17" s="14">
        <v>399</v>
      </c>
      <c r="F17" s="3">
        <v>349</v>
      </c>
      <c r="G17" s="3">
        <f t="shared" si="1"/>
        <v>399</v>
      </c>
      <c r="H17" s="3">
        <f t="shared" si="0"/>
        <v>349</v>
      </c>
      <c r="I17" s="14">
        <f t="shared" si="2"/>
        <v>51.870000000000005</v>
      </c>
      <c r="J17" s="14">
        <f t="shared" si="3"/>
        <v>-50</v>
      </c>
      <c r="K17" s="1">
        <v>0.13</v>
      </c>
      <c r="L17">
        <v>4.4000000000000004</v>
      </c>
      <c r="M17" s="2">
        <v>18757</v>
      </c>
      <c r="N17" t="s">
        <v>52</v>
      </c>
      <c r="O17">
        <f t="shared" si="4"/>
        <v>1</v>
      </c>
      <c r="P17" s="12" t="e">
        <f>HYPERLINK(#REF!,"Link")</f>
        <v>#REF!</v>
      </c>
      <c r="Q17" s="12" t="e">
        <f>HYPERLINK(#REF!,"Link")</f>
        <v>#REF!</v>
      </c>
    </row>
    <row r="18" spans="1:17" x14ac:dyDescent="0.3">
      <c r="A18" t="s">
        <v>53</v>
      </c>
      <c r="B18" t="s">
        <v>54</v>
      </c>
      <c r="C18" s="10" t="s">
        <v>3743</v>
      </c>
      <c r="D18" s="10"/>
      <c r="E18" s="14">
        <v>24999</v>
      </c>
      <c r="F18" s="3">
        <v>13999</v>
      </c>
      <c r="G18" s="3">
        <f t="shared" si="1"/>
        <v>49998</v>
      </c>
      <c r="H18" s="3">
        <f t="shared" si="0"/>
        <v>27998</v>
      </c>
      <c r="I18" s="14">
        <f t="shared" si="2"/>
        <v>21999.119999999999</v>
      </c>
      <c r="J18" s="14">
        <f t="shared" si="3"/>
        <v>-22000</v>
      </c>
      <c r="K18" s="1">
        <v>0.44</v>
      </c>
      <c r="L18">
        <v>4.2</v>
      </c>
      <c r="M18" s="2">
        <v>32840</v>
      </c>
      <c r="N18" t="s">
        <v>55</v>
      </c>
      <c r="O18">
        <f t="shared" si="4"/>
        <v>2</v>
      </c>
      <c r="P18" s="12" t="e">
        <f>HYPERLINK(#REF!,"Link")</f>
        <v>#REF!</v>
      </c>
      <c r="Q18" s="12" t="e">
        <f>HYPERLINK(#REF!,"Link")</f>
        <v>#REF!</v>
      </c>
    </row>
    <row r="19" spans="1:17" x14ac:dyDescent="0.3">
      <c r="A19" t="s">
        <v>56</v>
      </c>
      <c r="B19" t="s">
        <v>13</v>
      </c>
      <c r="C19" s="9" t="s">
        <v>3744</v>
      </c>
      <c r="D19" s="9" t="s">
        <v>3745</v>
      </c>
      <c r="E19" s="14">
        <v>399</v>
      </c>
      <c r="F19" s="3">
        <v>249</v>
      </c>
      <c r="G19" s="3">
        <f t="shared" si="1"/>
        <v>1197</v>
      </c>
      <c r="H19" s="3">
        <f t="shared" si="0"/>
        <v>747</v>
      </c>
      <c r="I19" s="14">
        <f t="shared" si="2"/>
        <v>454.86</v>
      </c>
      <c r="J19" s="14">
        <f t="shared" si="3"/>
        <v>-450</v>
      </c>
      <c r="K19" s="1">
        <v>0.38</v>
      </c>
      <c r="L19">
        <v>4</v>
      </c>
      <c r="M19" s="2">
        <v>43994</v>
      </c>
      <c r="N19" t="s">
        <v>14</v>
      </c>
      <c r="O19">
        <f t="shared" si="4"/>
        <v>3</v>
      </c>
      <c r="P19" s="12" t="e">
        <f>HYPERLINK(#REF!,"Link")</f>
        <v>#REF!</v>
      </c>
      <c r="Q19" s="12" t="e">
        <f>HYPERLINK(#REF!,"Link")</f>
        <v>#REF!</v>
      </c>
    </row>
    <row r="20" spans="1:17" x14ac:dyDescent="0.3">
      <c r="A20" t="s">
        <v>57</v>
      </c>
      <c r="B20" t="s">
        <v>58</v>
      </c>
      <c r="C20" s="10" t="s">
        <v>3729</v>
      </c>
      <c r="D20" s="10" t="s">
        <v>3746</v>
      </c>
      <c r="E20" s="14">
        <v>499</v>
      </c>
      <c r="F20" s="3">
        <v>199</v>
      </c>
      <c r="G20" s="3">
        <f t="shared" si="1"/>
        <v>998</v>
      </c>
      <c r="H20" s="3">
        <f t="shared" si="0"/>
        <v>398</v>
      </c>
      <c r="I20" s="14">
        <f t="shared" si="2"/>
        <v>598.79999999999995</v>
      </c>
      <c r="J20" s="14">
        <f t="shared" si="3"/>
        <v>-600</v>
      </c>
      <c r="K20" s="1">
        <v>0.6</v>
      </c>
      <c r="L20">
        <v>4.0999999999999996</v>
      </c>
      <c r="M20" s="2">
        <v>13045</v>
      </c>
      <c r="N20" t="s">
        <v>59</v>
      </c>
      <c r="O20">
        <f t="shared" si="4"/>
        <v>2</v>
      </c>
      <c r="P20" s="12" t="e">
        <f>HYPERLINK(#REF!,"Link")</f>
        <v>#REF!</v>
      </c>
      <c r="Q20" s="12" t="e">
        <f>HYPERLINK(#REF!,"Link")</f>
        <v>#REF!</v>
      </c>
    </row>
    <row r="21" spans="1:17" x14ac:dyDescent="0.3">
      <c r="A21" t="s">
        <v>60</v>
      </c>
      <c r="B21" t="s">
        <v>61</v>
      </c>
      <c r="C21" s="9" t="s">
        <v>3747</v>
      </c>
      <c r="D21" s="9"/>
      <c r="E21" s="14">
        <v>21990</v>
      </c>
      <c r="F21" s="3">
        <v>13490</v>
      </c>
      <c r="G21" s="3">
        <f t="shared" si="1"/>
        <v>65970</v>
      </c>
      <c r="H21" s="3">
        <f t="shared" si="0"/>
        <v>40470</v>
      </c>
      <c r="I21" s="14">
        <f t="shared" si="2"/>
        <v>25728.300000000003</v>
      </c>
      <c r="J21" s="14">
        <f t="shared" si="3"/>
        <v>-25500</v>
      </c>
      <c r="K21" s="1">
        <v>0.39</v>
      </c>
      <c r="L21">
        <v>4.3</v>
      </c>
      <c r="M21" s="2">
        <v>11976</v>
      </c>
      <c r="N21" t="s">
        <v>62</v>
      </c>
      <c r="O21">
        <f t="shared" si="4"/>
        <v>3</v>
      </c>
      <c r="P21" s="12" t="e">
        <f>HYPERLINK(#REF!,"Link")</f>
        <v>#REF!</v>
      </c>
      <c r="Q21" s="12" t="e">
        <f>HYPERLINK(#REF!,"Link")</f>
        <v>#REF!</v>
      </c>
    </row>
    <row r="22" spans="1:17" x14ac:dyDescent="0.3">
      <c r="A22" t="s">
        <v>63</v>
      </c>
      <c r="B22" t="s">
        <v>64</v>
      </c>
      <c r="C22" s="10" t="s">
        <v>3748</v>
      </c>
      <c r="D22" s="10" t="s">
        <v>3749</v>
      </c>
      <c r="E22" s="14">
        <v>1799</v>
      </c>
      <c r="F22" s="3">
        <v>970</v>
      </c>
      <c r="G22" s="3">
        <f t="shared" si="1"/>
        <v>3598</v>
      </c>
      <c r="H22" s="3">
        <f t="shared" si="0"/>
        <v>1940</v>
      </c>
      <c r="I22" s="14">
        <f t="shared" si="2"/>
        <v>1655.0800000000002</v>
      </c>
      <c r="J22" s="14">
        <f t="shared" si="3"/>
        <v>-1658</v>
      </c>
      <c r="K22" s="1">
        <v>0.46</v>
      </c>
      <c r="L22">
        <v>4.5</v>
      </c>
      <c r="M22">
        <v>815</v>
      </c>
      <c r="N22" t="s">
        <v>65</v>
      </c>
      <c r="O22">
        <f t="shared" si="4"/>
        <v>2</v>
      </c>
      <c r="P22" s="12" t="e">
        <f>HYPERLINK(#REF!,"Link")</f>
        <v>#REF!</v>
      </c>
      <c r="Q22" s="12" t="e">
        <f>HYPERLINK(#REF!,"Link")</f>
        <v>#REF!</v>
      </c>
    </row>
    <row r="23" spans="1:17" x14ac:dyDescent="0.3">
      <c r="A23" t="s">
        <v>66</v>
      </c>
      <c r="B23" t="s">
        <v>67</v>
      </c>
      <c r="C23" s="9" t="s">
        <v>3750</v>
      </c>
      <c r="D23" s="9" t="s">
        <v>3751</v>
      </c>
      <c r="E23" s="14">
        <v>499</v>
      </c>
      <c r="F23" s="3">
        <v>279</v>
      </c>
      <c r="G23" s="3">
        <f t="shared" si="1"/>
        <v>1497</v>
      </c>
      <c r="H23" s="3">
        <f t="shared" si="0"/>
        <v>837</v>
      </c>
      <c r="I23" s="14">
        <f t="shared" si="2"/>
        <v>658.68000000000006</v>
      </c>
      <c r="J23" s="14">
        <f t="shared" si="3"/>
        <v>-660</v>
      </c>
      <c r="K23" s="1">
        <v>0.44</v>
      </c>
      <c r="L23">
        <v>3.7</v>
      </c>
      <c r="M23" s="2">
        <v>10962</v>
      </c>
      <c r="N23" t="s">
        <v>68</v>
      </c>
      <c r="O23">
        <f t="shared" si="4"/>
        <v>3</v>
      </c>
      <c r="P23" s="12" t="e">
        <f>HYPERLINK(#REF!,"Link")</f>
        <v>#REF!</v>
      </c>
      <c r="Q23" s="12" t="e">
        <f>HYPERLINK(#REF!,"Link")</f>
        <v>#REF!</v>
      </c>
    </row>
    <row r="24" spans="1:17" x14ac:dyDescent="0.3">
      <c r="A24" t="s">
        <v>69</v>
      </c>
      <c r="B24" t="s">
        <v>70</v>
      </c>
      <c r="C24" s="10" t="s">
        <v>3752</v>
      </c>
      <c r="D24" s="10" t="s">
        <v>3753</v>
      </c>
      <c r="E24" s="14">
        <v>22900</v>
      </c>
      <c r="F24" s="3">
        <v>13490</v>
      </c>
      <c r="G24" s="3">
        <f t="shared" si="1"/>
        <v>45800</v>
      </c>
      <c r="H24" s="3">
        <f t="shared" si="0"/>
        <v>26980</v>
      </c>
      <c r="I24" s="14">
        <f t="shared" si="2"/>
        <v>18778</v>
      </c>
      <c r="J24" s="14">
        <f t="shared" si="3"/>
        <v>-18820</v>
      </c>
      <c r="K24" s="1">
        <v>0.41</v>
      </c>
      <c r="L24">
        <v>4.3</v>
      </c>
      <c r="M24" s="2">
        <v>16299</v>
      </c>
      <c r="N24" t="s">
        <v>71</v>
      </c>
      <c r="O24">
        <f t="shared" si="4"/>
        <v>2</v>
      </c>
      <c r="P24" s="12" t="e">
        <f>HYPERLINK(#REF!,"Link")</f>
        <v>#REF!</v>
      </c>
      <c r="Q24" s="12" t="e">
        <f>HYPERLINK(#REF!,"Link")</f>
        <v>#REF!</v>
      </c>
    </row>
    <row r="25" spans="1:17" x14ac:dyDescent="0.3">
      <c r="A25" t="s">
        <v>72</v>
      </c>
      <c r="B25" t="s">
        <v>73</v>
      </c>
      <c r="C25" s="9" t="s">
        <v>3750</v>
      </c>
      <c r="D25" s="9" t="s">
        <v>3754</v>
      </c>
      <c r="E25" s="14">
        <v>199</v>
      </c>
      <c r="F25" s="3">
        <v>59</v>
      </c>
      <c r="G25" s="3">
        <f t="shared" si="1"/>
        <v>597</v>
      </c>
      <c r="H25" s="3">
        <f t="shared" si="0"/>
        <v>177</v>
      </c>
      <c r="I25" s="14">
        <f t="shared" si="2"/>
        <v>417.9</v>
      </c>
      <c r="J25" s="14">
        <f t="shared" si="3"/>
        <v>-420</v>
      </c>
      <c r="K25" s="1">
        <v>0.7</v>
      </c>
      <c r="L25">
        <v>4</v>
      </c>
      <c r="M25" s="2">
        <v>9378</v>
      </c>
      <c r="N25" t="s">
        <v>74</v>
      </c>
      <c r="O25">
        <f t="shared" si="4"/>
        <v>3</v>
      </c>
      <c r="P25" s="12" t="e">
        <f>HYPERLINK(#REF!,"Link")</f>
        <v>#REF!</v>
      </c>
      <c r="Q25" s="12" t="e">
        <f>HYPERLINK(#REF!,"Link")</f>
        <v>#REF!</v>
      </c>
    </row>
    <row r="26" spans="1:17" x14ac:dyDescent="0.3">
      <c r="A26" t="s">
        <v>75</v>
      </c>
      <c r="B26" t="s">
        <v>76</v>
      </c>
      <c r="C26" s="10" t="s">
        <v>3755</v>
      </c>
      <c r="D26" s="10" t="s">
        <v>3756</v>
      </c>
      <c r="E26" s="14">
        <v>19990</v>
      </c>
      <c r="F26" s="3">
        <v>11499</v>
      </c>
      <c r="G26" s="3">
        <f t="shared" si="1"/>
        <v>99950</v>
      </c>
      <c r="H26" s="3">
        <f t="shared" si="0"/>
        <v>57495</v>
      </c>
      <c r="I26" s="14">
        <f t="shared" si="2"/>
        <v>41979</v>
      </c>
      <c r="J26" s="14">
        <f t="shared" si="3"/>
        <v>-42455</v>
      </c>
      <c r="K26" s="1">
        <v>0.42</v>
      </c>
      <c r="L26">
        <v>4.3</v>
      </c>
      <c r="M26" s="2">
        <v>4703</v>
      </c>
      <c r="N26" t="s">
        <v>77</v>
      </c>
      <c r="O26">
        <f t="shared" si="4"/>
        <v>5</v>
      </c>
      <c r="P26" s="12" t="e">
        <f>HYPERLINK(#REF!,"Link")</f>
        <v>#REF!</v>
      </c>
      <c r="Q26" s="12" t="e">
        <f>HYPERLINK(#REF!,"Link")</f>
        <v>#REF!</v>
      </c>
    </row>
    <row r="27" spans="1:17" x14ac:dyDescent="0.3">
      <c r="A27" t="s">
        <v>78</v>
      </c>
      <c r="B27" t="s">
        <v>79</v>
      </c>
      <c r="C27" s="9" t="s">
        <v>3748</v>
      </c>
      <c r="D27" s="9" t="s">
        <v>3749</v>
      </c>
      <c r="E27" s="14">
        <v>699</v>
      </c>
      <c r="F27" s="3">
        <v>199</v>
      </c>
      <c r="G27" s="3">
        <f t="shared" si="1"/>
        <v>2097</v>
      </c>
      <c r="H27" s="3">
        <f t="shared" si="0"/>
        <v>597</v>
      </c>
      <c r="I27" s="14">
        <f t="shared" si="2"/>
        <v>1509.84</v>
      </c>
      <c r="J27" s="14">
        <f t="shared" si="3"/>
        <v>-1500</v>
      </c>
      <c r="K27" s="1">
        <v>0.72</v>
      </c>
      <c r="L27">
        <v>4.2</v>
      </c>
      <c r="M27" s="2">
        <v>12153</v>
      </c>
      <c r="N27" t="s">
        <v>80</v>
      </c>
      <c r="O27">
        <f t="shared" si="4"/>
        <v>3</v>
      </c>
      <c r="P27" s="12" t="e">
        <f>HYPERLINK(#REF!,"Link")</f>
        <v>#REF!</v>
      </c>
      <c r="Q27" s="12" t="e">
        <f>HYPERLINK(#REF!,"Link")</f>
        <v>#REF!</v>
      </c>
    </row>
    <row r="28" spans="1:17" x14ac:dyDescent="0.3">
      <c r="A28" t="s">
        <v>81</v>
      </c>
      <c r="B28" t="s">
        <v>82</v>
      </c>
      <c r="C28" s="10" t="s">
        <v>3748</v>
      </c>
      <c r="D28" s="10" t="s">
        <v>3757</v>
      </c>
      <c r="E28" s="14">
        <v>19999</v>
      </c>
      <c r="F28" s="3">
        <v>14999</v>
      </c>
      <c r="G28" s="3">
        <f t="shared" si="1"/>
        <v>39998</v>
      </c>
      <c r="H28" s="3">
        <f t="shared" si="0"/>
        <v>29998</v>
      </c>
      <c r="I28" s="14">
        <f t="shared" si="2"/>
        <v>9999.5</v>
      </c>
      <c r="J28" s="14">
        <f t="shared" si="3"/>
        <v>-10000</v>
      </c>
      <c r="K28" s="1">
        <v>0.25</v>
      </c>
      <c r="L28">
        <v>4.2</v>
      </c>
      <c r="M28" s="2">
        <v>34899</v>
      </c>
      <c r="N28" t="s">
        <v>83</v>
      </c>
      <c r="O28">
        <f t="shared" si="4"/>
        <v>2</v>
      </c>
      <c r="P28" s="12" t="e">
        <f>HYPERLINK(#REF!,"Link")</f>
        <v>#REF!</v>
      </c>
      <c r="Q28" s="12" t="e">
        <f>HYPERLINK(#REF!,"Link")</f>
        <v>#REF!</v>
      </c>
    </row>
    <row r="29" spans="1:17" x14ac:dyDescent="0.3">
      <c r="A29" t="s">
        <v>84</v>
      </c>
      <c r="B29" t="s">
        <v>85</v>
      </c>
      <c r="C29" s="9" t="s">
        <v>3748</v>
      </c>
      <c r="D29" s="9" t="s">
        <v>3749</v>
      </c>
      <c r="E29" s="14">
        <v>399</v>
      </c>
      <c r="F29" s="3">
        <v>299</v>
      </c>
      <c r="G29" s="3">
        <f t="shared" si="1"/>
        <v>1596</v>
      </c>
      <c r="H29" s="3">
        <f t="shared" si="0"/>
        <v>1196</v>
      </c>
      <c r="I29" s="14">
        <f t="shared" si="2"/>
        <v>399</v>
      </c>
      <c r="J29" s="14">
        <f t="shared" si="3"/>
        <v>-400</v>
      </c>
      <c r="K29" s="1">
        <v>0.25</v>
      </c>
      <c r="L29">
        <v>4</v>
      </c>
      <c r="M29" s="2">
        <v>2766</v>
      </c>
      <c r="N29" t="s">
        <v>86</v>
      </c>
      <c r="O29">
        <f t="shared" si="4"/>
        <v>4</v>
      </c>
      <c r="P29" s="12" t="e">
        <f>HYPERLINK(#REF!,"Link")</f>
        <v>#REF!</v>
      </c>
      <c r="Q29" s="12" t="e">
        <f>HYPERLINK(#REF!,"Link")</f>
        <v>#REF!</v>
      </c>
    </row>
    <row r="30" spans="1:17" x14ac:dyDescent="0.3">
      <c r="A30" t="s">
        <v>87</v>
      </c>
      <c r="B30" t="s">
        <v>88</v>
      </c>
      <c r="C30" s="10" t="s">
        <v>3748</v>
      </c>
      <c r="D30" s="10" t="s">
        <v>3758</v>
      </c>
      <c r="E30" s="14">
        <v>1999</v>
      </c>
      <c r="F30" s="3">
        <v>970</v>
      </c>
      <c r="G30" s="3">
        <f t="shared" si="1"/>
        <v>3998</v>
      </c>
      <c r="H30" s="3">
        <f t="shared" si="0"/>
        <v>1940</v>
      </c>
      <c r="I30" s="14">
        <f t="shared" si="2"/>
        <v>2038.98</v>
      </c>
      <c r="J30" s="14">
        <f t="shared" si="3"/>
        <v>-2058</v>
      </c>
      <c r="K30" s="1">
        <v>0.51</v>
      </c>
      <c r="L30">
        <v>4.4000000000000004</v>
      </c>
      <c r="M30">
        <v>184</v>
      </c>
      <c r="N30" t="s">
        <v>89</v>
      </c>
      <c r="O30">
        <f t="shared" si="4"/>
        <v>2</v>
      </c>
      <c r="P30" s="12" t="e">
        <f>HYPERLINK(#REF!,"Link")</f>
        <v>#REF!</v>
      </c>
      <c r="Q30" s="12" t="e">
        <f>HYPERLINK(#REF!,"Link")</f>
        <v>#REF!</v>
      </c>
    </row>
    <row r="31" spans="1:17" x14ac:dyDescent="0.3">
      <c r="A31" t="s">
        <v>90</v>
      </c>
      <c r="B31" t="s">
        <v>91</v>
      </c>
      <c r="C31" s="9" t="s">
        <v>3748</v>
      </c>
      <c r="D31" s="9" t="s">
        <v>3759</v>
      </c>
      <c r="E31" s="14">
        <v>999</v>
      </c>
      <c r="F31" s="3">
        <v>299</v>
      </c>
      <c r="G31" s="3">
        <f t="shared" si="1"/>
        <v>2997</v>
      </c>
      <c r="H31" s="3">
        <f t="shared" si="0"/>
        <v>897</v>
      </c>
      <c r="I31" s="14">
        <f t="shared" si="2"/>
        <v>2097.8999999999996</v>
      </c>
      <c r="J31" s="14">
        <f t="shared" si="3"/>
        <v>-2100</v>
      </c>
      <c r="K31" s="1">
        <v>0.7</v>
      </c>
      <c r="L31">
        <v>4.3</v>
      </c>
      <c r="M31" s="2">
        <v>20850</v>
      </c>
      <c r="N31" t="s">
        <v>92</v>
      </c>
      <c r="O31">
        <f t="shared" si="4"/>
        <v>3</v>
      </c>
      <c r="P31" s="12" t="e">
        <f>HYPERLINK(#REF!,"Link")</f>
        <v>#REF!</v>
      </c>
      <c r="Q31" s="12" t="e">
        <f>HYPERLINK(#REF!,"Link")</f>
        <v>#REF!</v>
      </c>
    </row>
    <row r="32" spans="1:17" x14ac:dyDescent="0.3">
      <c r="A32" t="s">
        <v>93</v>
      </c>
      <c r="B32" t="s">
        <v>94</v>
      </c>
      <c r="C32" s="10" t="s">
        <v>3748</v>
      </c>
      <c r="D32" s="10" t="s">
        <v>3759</v>
      </c>
      <c r="E32" s="14">
        <v>750</v>
      </c>
      <c r="F32" s="3">
        <v>199</v>
      </c>
      <c r="G32" s="3">
        <f t="shared" si="1"/>
        <v>6000</v>
      </c>
      <c r="H32" s="3">
        <f t="shared" si="0"/>
        <v>1592</v>
      </c>
      <c r="I32" s="14">
        <f t="shared" si="2"/>
        <v>4380</v>
      </c>
      <c r="J32" s="14">
        <f t="shared" si="3"/>
        <v>-4408</v>
      </c>
      <c r="K32" s="1">
        <v>0.73</v>
      </c>
      <c r="L32">
        <v>4.5</v>
      </c>
      <c r="M32" s="2">
        <v>74976</v>
      </c>
      <c r="N32" t="s">
        <v>95</v>
      </c>
      <c r="O32">
        <f t="shared" si="4"/>
        <v>8</v>
      </c>
      <c r="P32" s="12" t="e">
        <f>HYPERLINK(#REF!,"Link")</f>
        <v>#REF!</v>
      </c>
      <c r="Q32" s="12" t="e">
        <f>HYPERLINK(#REF!,"Link")</f>
        <v>#REF!</v>
      </c>
    </row>
    <row r="33" spans="1:17" x14ac:dyDescent="0.3">
      <c r="A33" t="s">
        <v>96</v>
      </c>
      <c r="B33" t="s">
        <v>97</v>
      </c>
      <c r="C33" s="9" t="s">
        <v>3748</v>
      </c>
      <c r="D33" s="9" t="s">
        <v>3760</v>
      </c>
      <c r="E33" s="14">
        <v>499</v>
      </c>
      <c r="F33" s="3">
        <v>179</v>
      </c>
      <c r="G33" s="3">
        <f t="shared" si="1"/>
        <v>1497</v>
      </c>
      <c r="H33" s="3">
        <f t="shared" si="0"/>
        <v>537</v>
      </c>
      <c r="I33" s="14">
        <f t="shared" si="2"/>
        <v>958.08</v>
      </c>
      <c r="J33" s="14">
        <f t="shared" si="3"/>
        <v>-960</v>
      </c>
      <c r="K33" s="1">
        <v>0.64</v>
      </c>
      <c r="L33">
        <v>4</v>
      </c>
      <c r="M33" s="2">
        <v>1934</v>
      </c>
      <c r="N33" t="s">
        <v>98</v>
      </c>
      <c r="O33">
        <f t="shared" si="4"/>
        <v>3</v>
      </c>
      <c r="P33" s="12" t="e">
        <f>HYPERLINK(#REF!,"Link")</f>
        <v>#REF!</v>
      </c>
      <c r="Q33" s="12" t="e">
        <f>HYPERLINK(#REF!,"Link")</f>
        <v>#REF!</v>
      </c>
    </row>
    <row r="34" spans="1:17" x14ac:dyDescent="0.3">
      <c r="A34" t="s">
        <v>99</v>
      </c>
      <c r="B34" t="s">
        <v>100</v>
      </c>
      <c r="C34" s="10" t="s">
        <v>3725</v>
      </c>
      <c r="D34" s="10" t="s">
        <v>3761</v>
      </c>
      <c r="E34" s="14">
        <v>1099</v>
      </c>
      <c r="F34" s="3">
        <v>389</v>
      </c>
      <c r="G34" s="3">
        <f t="shared" si="1"/>
        <v>4396</v>
      </c>
      <c r="H34" s="3">
        <f t="shared" si="0"/>
        <v>1556</v>
      </c>
      <c r="I34" s="14">
        <f t="shared" si="2"/>
        <v>2857.4</v>
      </c>
      <c r="J34" s="14">
        <f t="shared" si="3"/>
        <v>-2840</v>
      </c>
      <c r="K34" s="1">
        <v>0.65</v>
      </c>
      <c r="L34">
        <v>4.3</v>
      </c>
      <c r="M34">
        <v>974</v>
      </c>
      <c r="N34" t="s">
        <v>101</v>
      </c>
      <c r="O34">
        <f t="shared" si="4"/>
        <v>4</v>
      </c>
      <c r="P34" s="12" t="e">
        <f>HYPERLINK(#REF!,"Link")</f>
        <v>#REF!</v>
      </c>
      <c r="Q34" s="12" t="e">
        <f>HYPERLINK(#REF!,"Link")</f>
        <v>#REF!</v>
      </c>
    </row>
    <row r="35" spans="1:17" x14ac:dyDescent="0.3">
      <c r="A35" t="s">
        <v>102</v>
      </c>
      <c r="B35" t="s">
        <v>103</v>
      </c>
      <c r="C35" s="9" t="s">
        <v>3748</v>
      </c>
      <c r="D35" s="9" t="s">
        <v>3762</v>
      </c>
      <c r="E35" s="14">
        <v>599</v>
      </c>
      <c r="F35" s="3">
        <v>599</v>
      </c>
      <c r="G35" s="3">
        <f t="shared" si="1"/>
        <v>1198</v>
      </c>
      <c r="H35" s="3">
        <f t="shared" si="0"/>
        <v>1198</v>
      </c>
      <c r="I35" s="14">
        <f t="shared" si="2"/>
        <v>0</v>
      </c>
      <c r="J35" s="14">
        <f t="shared" si="3"/>
        <v>0</v>
      </c>
      <c r="K35" s="1">
        <v>0</v>
      </c>
      <c r="L35">
        <v>4.3</v>
      </c>
      <c r="M35">
        <v>355</v>
      </c>
      <c r="N35" t="s">
        <v>104</v>
      </c>
      <c r="O35">
        <f t="shared" si="4"/>
        <v>2</v>
      </c>
      <c r="P35" s="12" t="e">
        <f>HYPERLINK(#REF!,"Link")</f>
        <v>#REF!</v>
      </c>
      <c r="Q35" s="12" t="e">
        <f>HYPERLINK(#REF!,"Link")</f>
        <v>#REF!</v>
      </c>
    </row>
    <row r="36" spans="1:17" x14ac:dyDescent="0.3">
      <c r="A36" t="s">
        <v>105</v>
      </c>
      <c r="B36" t="s">
        <v>106</v>
      </c>
      <c r="C36" s="10" t="s">
        <v>3748</v>
      </c>
      <c r="D36" s="10" t="s">
        <v>3763</v>
      </c>
      <c r="E36" s="14">
        <v>999</v>
      </c>
      <c r="F36" s="3">
        <v>199</v>
      </c>
      <c r="G36" s="3">
        <f t="shared" si="1"/>
        <v>4995</v>
      </c>
      <c r="H36" s="3">
        <f t="shared" si="0"/>
        <v>995</v>
      </c>
      <c r="I36" s="14">
        <f t="shared" si="2"/>
        <v>3996</v>
      </c>
      <c r="J36" s="14">
        <f t="shared" si="3"/>
        <v>-4000</v>
      </c>
      <c r="K36" s="1">
        <v>0.8</v>
      </c>
      <c r="L36">
        <v>3.9</v>
      </c>
      <c r="M36" s="2">
        <v>1075</v>
      </c>
      <c r="N36" t="s">
        <v>107</v>
      </c>
      <c r="O36">
        <f t="shared" si="4"/>
        <v>5</v>
      </c>
      <c r="P36" s="12" t="e">
        <f>HYPERLINK(#REF!,"Link")</f>
        <v>#REF!</v>
      </c>
      <c r="Q36" s="12" t="e">
        <f>HYPERLINK(#REF!,"Link")</f>
        <v>#REF!</v>
      </c>
    </row>
    <row r="37" spans="1:17" x14ac:dyDescent="0.3">
      <c r="A37" t="s">
        <v>108</v>
      </c>
      <c r="B37" t="s">
        <v>109</v>
      </c>
      <c r="C37" s="9" t="s">
        <v>3748</v>
      </c>
      <c r="D37" s="9" t="s">
        <v>3765</v>
      </c>
      <c r="E37" s="14">
        <v>666.66</v>
      </c>
      <c r="F37" s="3">
        <v>99</v>
      </c>
      <c r="G37" s="3">
        <f t="shared" si="1"/>
        <v>2666.64</v>
      </c>
      <c r="H37" s="3">
        <f t="shared" si="0"/>
        <v>396</v>
      </c>
      <c r="I37" s="14">
        <f t="shared" si="2"/>
        <v>2266.6439999999998</v>
      </c>
      <c r="J37" s="14">
        <f t="shared" si="3"/>
        <v>-2270.64</v>
      </c>
      <c r="K37" s="1">
        <v>0.85</v>
      </c>
      <c r="L37">
        <v>3.9</v>
      </c>
      <c r="M37" s="2">
        <v>24871</v>
      </c>
      <c r="N37" t="s">
        <v>26</v>
      </c>
      <c r="O37">
        <f t="shared" si="4"/>
        <v>4</v>
      </c>
      <c r="P37" s="12" t="e">
        <f>HYPERLINK(#REF!,"Link")</f>
        <v>#REF!</v>
      </c>
      <c r="Q37" s="12" t="e">
        <f>HYPERLINK(#REF!,"Link")</f>
        <v>#REF!</v>
      </c>
    </row>
    <row r="38" spans="1:17" x14ac:dyDescent="0.3">
      <c r="A38" t="s">
        <v>110</v>
      </c>
      <c r="B38" t="s">
        <v>111</v>
      </c>
      <c r="C38" s="10" t="s">
        <v>3748</v>
      </c>
      <c r="D38" s="10" t="s">
        <v>3736</v>
      </c>
      <c r="E38" s="14">
        <v>1900</v>
      </c>
      <c r="F38" s="3">
        <v>899</v>
      </c>
      <c r="G38" s="3">
        <f t="shared" si="1"/>
        <v>5700</v>
      </c>
      <c r="H38" s="3">
        <f t="shared" si="0"/>
        <v>2697</v>
      </c>
      <c r="I38" s="14">
        <f t="shared" si="2"/>
        <v>3021</v>
      </c>
      <c r="J38" s="14">
        <f t="shared" si="3"/>
        <v>-3003</v>
      </c>
      <c r="K38" s="1">
        <v>0.53</v>
      </c>
      <c r="L38">
        <v>4.4000000000000004</v>
      </c>
      <c r="M38" s="2">
        <v>13552</v>
      </c>
      <c r="N38" t="s">
        <v>112</v>
      </c>
      <c r="O38">
        <f t="shared" si="4"/>
        <v>3</v>
      </c>
      <c r="P38" s="12" t="e">
        <f>HYPERLINK(#REF!,"Link")</f>
        <v>#REF!</v>
      </c>
      <c r="Q38" s="12" t="e">
        <f>HYPERLINK(#REF!,"Link")</f>
        <v>#REF!</v>
      </c>
    </row>
    <row r="39" spans="1:17" x14ac:dyDescent="0.3">
      <c r="A39" t="s">
        <v>113</v>
      </c>
      <c r="B39" t="s">
        <v>114</v>
      </c>
      <c r="C39" s="9" t="s">
        <v>3748</v>
      </c>
      <c r="D39" s="9" t="s">
        <v>3766</v>
      </c>
      <c r="E39" s="14">
        <v>999</v>
      </c>
      <c r="F39" s="3">
        <v>199</v>
      </c>
      <c r="G39" s="3">
        <f t="shared" si="1"/>
        <v>3996</v>
      </c>
      <c r="H39" s="3">
        <f t="shared" si="0"/>
        <v>796</v>
      </c>
      <c r="I39" s="14">
        <f t="shared" si="2"/>
        <v>3196.8</v>
      </c>
      <c r="J39" s="14">
        <f t="shared" si="3"/>
        <v>-3200</v>
      </c>
      <c r="K39" s="1">
        <v>0.8</v>
      </c>
      <c r="L39">
        <v>4</v>
      </c>
      <c r="M39">
        <v>576</v>
      </c>
      <c r="N39" t="s">
        <v>115</v>
      </c>
      <c r="O39">
        <f t="shared" si="4"/>
        <v>4</v>
      </c>
      <c r="P39" s="12" t="e">
        <f>HYPERLINK(#REF!,"Link")</f>
        <v>#REF!</v>
      </c>
      <c r="Q39" s="12" t="e">
        <f>HYPERLINK(#REF!,"Link")</f>
        <v>#REF!</v>
      </c>
    </row>
    <row r="40" spans="1:17" x14ac:dyDescent="0.3">
      <c r="A40" t="s">
        <v>116</v>
      </c>
      <c r="B40" t="s">
        <v>117</v>
      </c>
      <c r="C40" s="10" t="s">
        <v>3748</v>
      </c>
      <c r="D40" s="10" t="s">
        <v>3736</v>
      </c>
      <c r="E40" s="14">
        <v>45999</v>
      </c>
      <c r="F40" s="3">
        <v>32999</v>
      </c>
      <c r="G40" s="3">
        <f t="shared" si="1"/>
        <v>91998</v>
      </c>
      <c r="H40" s="3">
        <f t="shared" si="0"/>
        <v>65998</v>
      </c>
      <c r="I40" s="14">
        <f t="shared" si="2"/>
        <v>25759.440000000002</v>
      </c>
      <c r="J40" s="14">
        <f t="shared" si="3"/>
        <v>-26000</v>
      </c>
      <c r="K40" s="1">
        <v>0.28000000000000003</v>
      </c>
      <c r="L40">
        <v>4.2</v>
      </c>
      <c r="M40" s="2">
        <v>7298</v>
      </c>
      <c r="N40" t="s">
        <v>118</v>
      </c>
      <c r="O40">
        <f t="shared" si="4"/>
        <v>2</v>
      </c>
      <c r="P40" s="12" t="e">
        <f>HYPERLINK(#REF!,"Link")</f>
        <v>#REF!</v>
      </c>
      <c r="Q40" s="12" t="e">
        <f>HYPERLINK(#REF!,"Link")</f>
        <v>#REF!</v>
      </c>
    </row>
    <row r="41" spans="1:17" x14ac:dyDescent="0.3">
      <c r="A41" t="s">
        <v>119</v>
      </c>
      <c r="B41" t="s">
        <v>120</v>
      </c>
      <c r="C41" s="9" t="s">
        <v>3755</v>
      </c>
      <c r="D41" s="9" t="s">
        <v>3767</v>
      </c>
      <c r="E41" s="14">
        <v>1999</v>
      </c>
      <c r="F41" s="3">
        <v>970</v>
      </c>
      <c r="G41" s="3">
        <f t="shared" si="1"/>
        <v>1999</v>
      </c>
      <c r="H41" s="3">
        <f t="shared" si="0"/>
        <v>970</v>
      </c>
      <c r="I41" s="14">
        <f t="shared" si="2"/>
        <v>1019.49</v>
      </c>
      <c r="J41" s="14">
        <f t="shared" si="3"/>
        <v>-1029</v>
      </c>
      <c r="K41" s="1">
        <v>0.51</v>
      </c>
      <c r="L41">
        <v>4.2</v>
      </c>
      <c r="M41">
        <v>462</v>
      </c>
      <c r="N41" t="s">
        <v>121</v>
      </c>
      <c r="O41">
        <f t="shared" si="4"/>
        <v>1</v>
      </c>
      <c r="P41" s="12" t="e">
        <f>HYPERLINK(#REF!,"Link")</f>
        <v>#REF!</v>
      </c>
      <c r="Q41" s="12" t="e">
        <f>HYPERLINK(#REF!,"Link")</f>
        <v>#REF!</v>
      </c>
    </row>
    <row r="42" spans="1:17" x14ac:dyDescent="0.3">
      <c r="A42" t="s">
        <v>122</v>
      </c>
      <c r="B42" t="s">
        <v>123</v>
      </c>
      <c r="C42" s="10" t="s">
        <v>3768</v>
      </c>
      <c r="D42" s="10" t="s">
        <v>3769</v>
      </c>
      <c r="E42" s="14">
        <v>695</v>
      </c>
      <c r="F42" s="3">
        <v>209</v>
      </c>
      <c r="G42" s="3">
        <f t="shared" si="1"/>
        <v>4865</v>
      </c>
      <c r="H42" s="3">
        <f t="shared" si="0"/>
        <v>1463</v>
      </c>
      <c r="I42" s="14">
        <f t="shared" si="2"/>
        <v>3405.4999999999995</v>
      </c>
      <c r="J42" s="14">
        <f t="shared" si="3"/>
        <v>-3402</v>
      </c>
      <c r="K42" s="1">
        <v>0.7</v>
      </c>
      <c r="L42">
        <v>4.5</v>
      </c>
      <c r="M42" s="2">
        <v>107687</v>
      </c>
      <c r="N42" t="s">
        <v>124</v>
      </c>
      <c r="O42">
        <f t="shared" si="4"/>
        <v>7</v>
      </c>
      <c r="P42" s="12" t="e">
        <f>HYPERLINK(#REF!,"Link")</f>
        <v>#REF!</v>
      </c>
      <c r="Q42" s="12" t="e">
        <f>HYPERLINK(#REF!,"Link")</f>
        <v>#REF!</v>
      </c>
    </row>
    <row r="43" spans="1:17" x14ac:dyDescent="0.3">
      <c r="A43" t="s">
        <v>125</v>
      </c>
      <c r="B43" t="s">
        <v>126</v>
      </c>
      <c r="C43" s="9" t="s">
        <v>3738</v>
      </c>
      <c r="D43" s="9"/>
      <c r="E43" s="14">
        <v>34999</v>
      </c>
      <c r="F43" s="3">
        <v>19999</v>
      </c>
      <c r="G43" s="3">
        <f t="shared" si="1"/>
        <v>104997</v>
      </c>
      <c r="H43" s="3">
        <f t="shared" si="0"/>
        <v>59997</v>
      </c>
      <c r="I43" s="14">
        <f t="shared" si="2"/>
        <v>45148.71</v>
      </c>
      <c r="J43" s="14">
        <f t="shared" si="3"/>
        <v>-45000</v>
      </c>
      <c r="K43" s="1">
        <v>0.43</v>
      </c>
      <c r="L43">
        <v>4.3</v>
      </c>
      <c r="M43" s="2">
        <v>27151</v>
      </c>
      <c r="N43" t="s">
        <v>127</v>
      </c>
      <c r="O43">
        <f t="shared" si="4"/>
        <v>3</v>
      </c>
      <c r="P43" s="12" t="e">
        <f>HYPERLINK(#REF!,"Link")</f>
        <v>#REF!</v>
      </c>
      <c r="Q43" s="12" t="e">
        <f>HYPERLINK(#REF!,"Link")</f>
        <v>#REF!</v>
      </c>
    </row>
    <row r="44" spans="1:17" x14ac:dyDescent="0.3">
      <c r="A44" t="s">
        <v>128</v>
      </c>
      <c r="B44" t="s">
        <v>129</v>
      </c>
      <c r="C44" s="10" t="s">
        <v>3748</v>
      </c>
      <c r="D44" s="10" t="s">
        <v>3762</v>
      </c>
      <c r="E44" s="14">
        <v>1099</v>
      </c>
      <c r="F44" s="3">
        <v>399</v>
      </c>
      <c r="G44" s="3">
        <f t="shared" si="1"/>
        <v>4396</v>
      </c>
      <c r="H44" s="3">
        <f t="shared" si="0"/>
        <v>1596</v>
      </c>
      <c r="I44" s="14">
        <f t="shared" si="2"/>
        <v>2813.44</v>
      </c>
      <c r="J44" s="14">
        <f t="shared" si="3"/>
        <v>-2800</v>
      </c>
      <c r="K44" s="1">
        <v>0.64</v>
      </c>
      <c r="L44">
        <v>4.2</v>
      </c>
      <c r="M44" s="2">
        <v>24269</v>
      </c>
      <c r="N44" t="s">
        <v>11</v>
      </c>
      <c r="O44">
        <f t="shared" si="4"/>
        <v>4</v>
      </c>
      <c r="P44" s="12" t="e">
        <f>HYPERLINK(#REF!,"Link")</f>
        <v>#REF!</v>
      </c>
      <c r="Q44" s="12" t="e">
        <f>HYPERLINK(#REF!,"Link")</f>
        <v>#REF!</v>
      </c>
    </row>
    <row r="45" spans="1:17" x14ac:dyDescent="0.3">
      <c r="A45" t="s">
        <v>130</v>
      </c>
      <c r="B45" t="s">
        <v>131</v>
      </c>
      <c r="C45" s="9" t="s">
        <v>3748</v>
      </c>
      <c r="D45" s="9" t="s">
        <v>3736</v>
      </c>
      <c r="E45" s="14">
        <v>1599</v>
      </c>
      <c r="F45" s="3">
        <v>999</v>
      </c>
      <c r="G45" s="3">
        <f t="shared" si="1"/>
        <v>3198</v>
      </c>
      <c r="H45" s="3">
        <f t="shared" si="0"/>
        <v>1998</v>
      </c>
      <c r="I45" s="14">
        <f t="shared" si="2"/>
        <v>1215.24</v>
      </c>
      <c r="J45" s="14">
        <f t="shared" si="3"/>
        <v>-1200</v>
      </c>
      <c r="K45" s="1">
        <v>0.38</v>
      </c>
      <c r="L45">
        <v>4.3</v>
      </c>
      <c r="M45" s="2">
        <v>12093</v>
      </c>
      <c r="N45" t="s">
        <v>132</v>
      </c>
      <c r="O45">
        <f t="shared" si="4"/>
        <v>2</v>
      </c>
      <c r="P45" s="12" t="e">
        <f>HYPERLINK(#REF!,"Link")</f>
        <v>#REF!</v>
      </c>
      <c r="Q45" s="12" t="e">
        <f>HYPERLINK(#REF!,"Link")</f>
        <v>#REF!</v>
      </c>
    </row>
    <row r="46" spans="1:17" x14ac:dyDescent="0.3">
      <c r="A46" t="s">
        <v>133</v>
      </c>
      <c r="B46" t="s">
        <v>134</v>
      </c>
      <c r="C46" s="10" t="s">
        <v>3770</v>
      </c>
      <c r="D46" s="10"/>
      <c r="E46" s="14">
        <v>199</v>
      </c>
      <c r="F46" s="3">
        <v>59</v>
      </c>
      <c r="G46" s="3">
        <f t="shared" si="1"/>
        <v>597</v>
      </c>
      <c r="H46" s="3">
        <f t="shared" si="0"/>
        <v>177</v>
      </c>
      <c r="I46" s="14">
        <f t="shared" si="2"/>
        <v>417.9</v>
      </c>
      <c r="J46" s="14">
        <f t="shared" si="3"/>
        <v>-420</v>
      </c>
      <c r="K46" s="1">
        <v>0.7</v>
      </c>
      <c r="L46">
        <v>4</v>
      </c>
      <c r="M46" s="2">
        <v>9378</v>
      </c>
      <c r="N46" t="s">
        <v>74</v>
      </c>
      <c r="O46">
        <f t="shared" si="4"/>
        <v>3</v>
      </c>
      <c r="P46" s="12" t="e">
        <f>HYPERLINK(#REF!,"Link")</f>
        <v>#REF!</v>
      </c>
      <c r="Q46" s="12" t="e">
        <f>HYPERLINK(#REF!,"Link")</f>
        <v>#REF!</v>
      </c>
    </row>
    <row r="47" spans="1:17" x14ac:dyDescent="0.3">
      <c r="A47" t="s">
        <v>135</v>
      </c>
      <c r="B47" t="s">
        <v>136</v>
      </c>
      <c r="C47" s="9" t="s">
        <v>3771</v>
      </c>
      <c r="D47" s="9" t="s">
        <v>3772</v>
      </c>
      <c r="E47" s="14">
        <v>999</v>
      </c>
      <c r="F47" s="3">
        <v>333</v>
      </c>
      <c r="G47" s="3">
        <f t="shared" si="1"/>
        <v>3996</v>
      </c>
      <c r="H47" s="3">
        <f t="shared" si="0"/>
        <v>1332</v>
      </c>
      <c r="I47" s="14">
        <f t="shared" si="2"/>
        <v>2677.32</v>
      </c>
      <c r="J47" s="14">
        <f t="shared" si="3"/>
        <v>-2664</v>
      </c>
      <c r="K47" s="1">
        <v>0.67</v>
      </c>
      <c r="L47">
        <v>3.3</v>
      </c>
      <c r="M47" s="2">
        <v>9792</v>
      </c>
      <c r="N47" t="s">
        <v>137</v>
      </c>
      <c r="O47">
        <f t="shared" si="4"/>
        <v>4</v>
      </c>
      <c r="P47" s="12" t="e">
        <f>HYPERLINK(#REF!,"Link")</f>
        <v>#REF!</v>
      </c>
      <c r="Q47" s="12" t="e">
        <f>HYPERLINK(#REF!,"Link")</f>
        <v>#REF!</v>
      </c>
    </row>
    <row r="48" spans="1:17" x14ac:dyDescent="0.3">
      <c r="A48" t="s">
        <v>138</v>
      </c>
      <c r="B48" t="s">
        <v>139</v>
      </c>
      <c r="C48" s="10" t="s">
        <v>3771</v>
      </c>
      <c r="D48" s="10" t="s">
        <v>3773</v>
      </c>
      <c r="E48" s="14">
        <v>1208</v>
      </c>
      <c r="F48" s="3">
        <v>507</v>
      </c>
      <c r="G48" s="3">
        <f t="shared" si="1"/>
        <v>4832</v>
      </c>
      <c r="H48" s="3">
        <f t="shared" si="0"/>
        <v>2028</v>
      </c>
      <c r="I48" s="14">
        <f t="shared" si="2"/>
        <v>2802.56</v>
      </c>
      <c r="J48" s="14">
        <f t="shared" si="3"/>
        <v>-2804</v>
      </c>
      <c r="K48" s="1">
        <v>0.57999999999999996</v>
      </c>
      <c r="L48">
        <v>4.0999999999999996</v>
      </c>
      <c r="M48" s="2">
        <v>8131</v>
      </c>
      <c r="N48" t="s">
        <v>140</v>
      </c>
      <c r="O48">
        <f t="shared" si="4"/>
        <v>4</v>
      </c>
      <c r="P48" s="12" t="e">
        <f>HYPERLINK(#REF!,"Link")</f>
        <v>#REF!</v>
      </c>
      <c r="Q48" s="12" t="e">
        <f>HYPERLINK(#REF!,"Link")</f>
        <v>#REF!</v>
      </c>
    </row>
    <row r="49" spans="1:17" x14ac:dyDescent="0.3">
      <c r="A49" t="s">
        <v>141</v>
      </c>
      <c r="B49" t="s">
        <v>142</v>
      </c>
      <c r="C49" s="9" t="s">
        <v>3768</v>
      </c>
      <c r="D49" s="9" t="s">
        <v>3774</v>
      </c>
      <c r="E49" s="14">
        <v>475</v>
      </c>
      <c r="F49" s="3">
        <v>309</v>
      </c>
      <c r="G49" s="3">
        <f t="shared" si="1"/>
        <v>950</v>
      </c>
      <c r="H49" s="3">
        <f t="shared" si="0"/>
        <v>618</v>
      </c>
      <c r="I49" s="14">
        <f t="shared" si="2"/>
        <v>332.5</v>
      </c>
      <c r="J49" s="14">
        <f t="shared" si="3"/>
        <v>-332</v>
      </c>
      <c r="K49" s="1">
        <v>0.35</v>
      </c>
      <c r="L49">
        <v>4.4000000000000004</v>
      </c>
      <c r="M49" s="2">
        <v>426973</v>
      </c>
      <c r="N49" t="s">
        <v>44</v>
      </c>
      <c r="O49">
        <f t="shared" si="4"/>
        <v>2</v>
      </c>
      <c r="P49" s="12" t="e">
        <f>HYPERLINK(#REF!,"Link")</f>
        <v>#REF!</v>
      </c>
      <c r="Q49" s="12" t="e">
        <f>HYPERLINK(#REF!,"Link")</f>
        <v>#REF!</v>
      </c>
    </row>
    <row r="50" spans="1:17" x14ac:dyDescent="0.3">
      <c r="A50" t="s">
        <v>143</v>
      </c>
      <c r="B50" t="s">
        <v>144</v>
      </c>
      <c r="C50" s="10" t="s">
        <v>3768</v>
      </c>
      <c r="D50" s="10" t="s">
        <v>3775</v>
      </c>
      <c r="E50" s="14">
        <v>999</v>
      </c>
      <c r="F50" s="3">
        <v>399</v>
      </c>
      <c r="G50" s="3">
        <f t="shared" si="1"/>
        <v>2997</v>
      </c>
      <c r="H50" s="3">
        <f t="shared" si="0"/>
        <v>1197</v>
      </c>
      <c r="I50" s="14">
        <f t="shared" si="2"/>
        <v>1798.1999999999998</v>
      </c>
      <c r="J50" s="14">
        <f t="shared" si="3"/>
        <v>-1800</v>
      </c>
      <c r="K50" s="1">
        <v>0.6</v>
      </c>
      <c r="L50">
        <v>3.6</v>
      </c>
      <c r="M50">
        <v>493</v>
      </c>
      <c r="N50" t="s">
        <v>145</v>
      </c>
      <c r="O50">
        <f t="shared" si="4"/>
        <v>3</v>
      </c>
      <c r="P50" s="12" t="e">
        <f>HYPERLINK(#REF!,"Link")</f>
        <v>#REF!</v>
      </c>
      <c r="Q50" s="12" t="e">
        <f>HYPERLINK(#REF!,"Link")</f>
        <v>#REF!</v>
      </c>
    </row>
    <row r="51" spans="1:17" x14ac:dyDescent="0.3">
      <c r="A51" t="s">
        <v>146</v>
      </c>
      <c r="B51" t="s">
        <v>147</v>
      </c>
      <c r="C51" s="9" t="s">
        <v>3771</v>
      </c>
      <c r="D51" s="9" t="s">
        <v>3776</v>
      </c>
      <c r="E51" s="14">
        <v>395</v>
      </c>
      <c r="F51" s="3">
        <v>199</v>
      </c>
      <c r="G51" s="3">
        <f t="shared" si="1"/>
        <v>1975</v>
      </c>
      <c r="H51" s="3">
        <f t="shared" si="0"/>
        <v>995</v>
      </c>
      <c r="I51" s="14">
        <f t="shared" si="2"/>
        <v>987.5</v>
      </c>
      <c r="J51" s="14">
        <f t="shared" si="3"/>
        <v>-980</v>
      </c>
      <c r="K51" s="1">
        <v>0.5</v>
      </c>
      <c r="L51">
        <v>4.2</v>
      </c>
      <c r="M51" s="2">
        <v>92595</v>
      </c>
      <c r="N51" t="s">
        <v>148</v>
      </c>
      <c r="O51">
        <f t="shared" si="4"/>
        <v>5</v>
      </c>
      <c r="P51" s="12" t="e">
        <f>HYPERLINK(#REF!,"Link")</f>
        <v>#REF!</v>
      </c>
      <c r="Q51" s="12" t="e">
        <f>HYPERLINK(#REF!,"Link")</f>
        <v>#REF!</v>
      </c>
    </row>
    <row r="52" spans="1:17" x14ac:dyDescent="0.3">
      <c r="A52" t="s">
        <v>149</v>
      </c>
      <c r="B52" t="s">
        <v>150</v>
      </c>
      <c r="C52" s="10" t="s">
        <v>3777</v>
      </c>
      <c r="D52" s="10"/>
      <c r="E52" s="14">
        <v>2199</v>
      </c>
      <c r="F52" s="3">
        <v>1199</v>
      </c>
      <c r="G52" s="3">
        <f t="shared" si="1"/>
        <v>6597</v>
      </c>
      <c r="H52" s="3">
        <f t="shared" si="0"/>
        <v>3597</v>
      </c>
      <c r="I52" s="14">
        <f t="shared" si="2"/>
        <v>2968.65</v>
      </c>
      <c r="J52" s="14">
        <f t="shared" si="3"/>
        <v>-3000</v>
      </c>
      <c r="K52" s="1">
        <v>0.45</v>
      </c>
      <c r="L52">
        <v>4.4000000000000004</v>
      </c>
      <c r="M52" s="2">
        <v>24780</v>
      </c>
      <c r="N52" t="s">
        <v>151</v>
      </c>
      <c r="O52">
        <f t="shared" si="4"/>
        <v>3</v>
      </c>
      <c r="P52" s="12" t="e">
        <f>HYPERLINK(#REF!,"Link")</f>
        <v>#REF!</v>
      </c>
      <c r="Q52" s="12" t="e">
        <f>HYPERLINK(#REF!,"Link")</f>
        <v>#REF!</v>
      </c>
    </row>
    <row r="53" spans="1:17" x14ac:dyDescent="0.3">
      <c r="A53" t="s">
        <v>152</v>
      </c>
      <c r="B53" t="s">
        <v>153</v>
      </c>
      <c r="C53" s="9" t="s">
        <v>3778</v>
      </c>
      <c r="D53" s="9"/>
      <c r="E53" s="14">
        <v>500</v>
      </c>
      <c r="F53" s="3">
        <v>179</v>
      </c>
      <c r="G53" s="3">
        <f t="shared" si="1"/>
        <v>2500</v>
      </c>
      <c r="H53" s="3">
        <f t="shared" si="0"/>
        <v>895</v>
      </c>
      <c r="I53" s="14">
        <f t="shared" si="2"/>
        <v>1600</v>
      </c>
      <c r="J53" s="14">
        <f t="shared" si="3"/>
        <v>-1605</v>
      </c>
      <c r="K53" s="1">
        <v>0.64</v>
      </c>
      <c r="L53">
        <v>4.2</v>
      </c>
      <c r="M53" s="2">
        <v>92595</v>
      </c>
      <c r="N53" t="s">
        <v>148</v>
      </c>
      <c r="O53">
        <f t="shared" si="4"/>
        <v>5</v>
      </c>
      <c r="P53" s="12" t="e">
        <f>HYPERLINK(#REF!,"Link")</f>
        <v>#REF!</v>
      </c>
      <c r="Q53" s="12" t="e">
        <f>HYPERLINK(#REF!,"Link")</f>
        <v>#REF!</v>
      </c>
    </row>
    <row r="54" spans="1:17" x14ac:dyDescent="0.3">
      <c r="A54" t="s">
        <v>154</v>
      </c>
      <c r="B54" t="s">
        <v>155</v>
      </c>
      <c r="C54" s="10" t="s">
        <v>3779</v>
      </c>
      <c r="D54" s="10" t="s">
        <v>3780</v>
      </c>
      <c r="E54" s="14">
        <v>2100</v>
      </c>
      <c r="F54" s="3">
        <v>799</v>
      </c>
      <c r="G54" s="3">
        <f t="shared" si="1"/>
        <v>6300</v>
      </c>
      <c r="H54" s="3">
        <f t="shared" si="0"/>
        <v>2397</v>
      </c>
      <c r="I54" s="14">
        <f t="shared" si="2"/>
        <v>3906</v>
      </c>
      <c r="J54" s="14">
        <f t="shared" si="3"/>
        <v>-3903</v>
      </c>
      <c r="K54" s="1">
        <v>0.62</v>
      </c>
      <c r="L54">
        <v>4.3</v>
      </c>
      <c r="M54" s="2">
        <v>8188</v>
      </c>
      <c r="N54" t="s">
        <v>156</v>
      </c>
      <c r="O54">
        <f t="shared" si="4"/>
        <v>3</v>
      </c>
      <c r="P54" s="12" t="e">
        <f>HYPERLINK(#REF!,"Link")</f>
        <v>#REF!</v>
      </c>
      <c r="Q54" s="12" t="e">
        <f>HYPERLINK(#REF!,"Link")</f>
        <v>#REF!</v>
      </c>
    </row>
    <row r="55" spans="1:17" x14ac:dyDescent="0.3">
      <c r="A55" t="s">
        <v>157</v>
      </c>
      <c r="B55" t="s">
        <v>158</v>
      </c>
      <c r="C55" s="9" t="s">
        <v>3781</v>
      </c>
      <c r="D55" s="9" t="s">
        <v>3782</v>
      </c>
      <c r="E55" s="14">
        <v>12999</v>
      </c>
      <c r="F55" s="3">
        <v>6999</v>
      </c>
      <c r="G55" s="3">
        <f t="shared" si="1"/>
        <v>38997</v>
      </c>
      <c r="H55" s="3">
        <f t="shared" si="0"/>
        <v>20997</v>
      </c>
      <c r="I55" s="14">
        <f t="shared" si="2"/>
        <v>17938.62</v>
      </c>
      <c r="J55" s="14">
        <f t="shared" si="3"/>
        <v>-18000</v>
      </c>
      <c r="K55" s="1">
        <v>0.46</v>
      </c>
      <c r="L55">
        <v>4.2</v>
      </c>
      <c r="M55" s="2">
        <v>4003</v>
      </c>
      <c r="N55" t="s">
        <v>159</v>
      </c>
      <c r="O55">
        <f t="shared" si="4"/>
        <v>3</v>
      </c>
      <c r="P55" s="12" t="e">
        <f>HYPERLINK(#REF!,"Link")</f>
        <v>#REF!</v>
      </c>
      <c r="Q55" s="12" t="e">
        <f>HYPERLINK(#REF!,"Link")</f>
        <v>#REF!</v>
      </c>
    </row>
    <row r="56" spans="1:17" x14ac:dyDescent="0.3">
      <c r="A56" t="s">
        <v>160</v>
      </c>
      <c r="B56" t="s">
        <v>161</v>
      </c>
      <c r="C56" s="10" t="s">
        <v>3771</v>
      </c>
      <c r="D56" s="10" t="s">
        <v>3783</v>
      </c>
      <c r="E56" s="14">
        <v>349</v>
      </c>
      <c r="F56" s="3">
        <v>199</v>
      </c>
      <c r="G56" s="3">
        <f t="shared" si="1"/>
        <v>698</v>
      </c>
      <c r="H56" s="3">
        <f t="shared" si="0"/>
        <v>398</v>
      </c>
      <c r="I56" s="14">
        <f t="shared" si="2"/>
        <v>300.14</v>
      </c>
      <c r="J56" s="14">
        <f t="shared" si="3"/>
        <v>-300</v>
      </c>
      <c r="K56" s="1">
        <v>0.43</v>
      </c>
      <c r="L56">
        <v>4.0999999999999996</v>
      </c>
      <c r="M56">
        <v>314</v>
      </c>
      <c r="N56" t="s">
        <v>162</v>
      </c>
      <c r="O56">
        <f t="shared" si="4"/>
        <v>2</v>
      </c>
      <c r="P56" s="12" t="e">
        <f>HYPERLINK(#REF!,"Link")</f>
        <v>#REF!</v>
      </c>
      <c r="Q56" s="12" t="e">
        <f>HYPERLINK(#REF!,"Link")</f>
        <v>#REF!</v>
      </c>
    </row>
    <row r="57" spans="1:17" x14ac:dyDescent="0.3">
      <c r="A57" t="s">
        <v>163</v>
      </c>
      <c r="B57" t="s">
        <v>164</v>
      </c>
      <c r="C57" s="9" t="s">
        <v>3784</v>
      </c>
      <c r="D57" s="9"/>
      <c r="E57" s="14">
        <v>499</v>
      </c>
      <c r="F57" s="3">
        <v>230</v>
      </c>
      <c r="G57" s="3">
        <f t="shared" si="1"/>
        <v>1996</v>
      </c>
      <c r="H57" s="3">
        <f t="shared" si="0"/>
        <v>920</v>
      </c>
      <c r="I57" s="14">
        <f t="shared" si="2"/>
        <v>1077.8400000000001</v>
      </c>
      <c r="J57" s="14">
        <f t="shared" si="3"/>
        <v>-1076</v>
      </c>
      <c r="K57" s="1">
        <v>0.54</v>
      </c>
      <c r="L57">
        <v>3.7</v>
      </c>
      <c r="M57" s="2">
        <v>2960</v>
      </c>
      <c r="N57" t="s">
        <v>165</v>
      </c>
      <c r="O57">
        <f t="shared" si="4"/>
        <v>4</v>
      </c>
      <c r="P57" s="12" t="e">
        <f>HYPERLINK(#REF!,"Link")</f>
        <v>#REF!</v>
      </c>
      <c r="Q57" s="12" t="e">
        <f>HYPERLINK(#REF!,"Link")</f>
        <v>#REF!</v>
      </c>
    </row>
    <row r="58" spans="1:17" x14ac:dyDescent="0.3">
      <c r="A58" t="s">
        <v>166</v>
      </c>
      <c r="B58" t="s">
        <v>167</v>
      </c>
      <c r="C58" s="10" t="s">
        <v>3785</v>
      </c>
      <c r="D58" s="10"/>
      <c r="E58" s="14">
        <v>1399</v>
      </c>
      <c r="F58" s="3">
        <v>649</v>
      </c>
      <c r="G58" s="3">
        <f t="shared" si="1"/>
        <v>2798</v>
      </c>
      <c r="H58" s="3">
        <f t="shared" si="0"/>
        <v>1298</v>
      </c>
      <c r="I58" s="14">
        <f t="shared" si="2"/>
        <v>1510.92</v>
      </c>
      <c r="J58" s="14">
        <f t="shared" si="3"/>
        <v>-1500</v>
      </c>
      <c r="K58" s="1">
        <v>0.54</v>
      </c>
      <c r="L58">
        <v>4.2</v>
      </c>
      <c r="M58" s="2">
        <v>179691</v>
      </c>
      <c r="N58" t="s">
        <v>35</v>
      </c>
      <c r="O58">
        <f t="shared" si="4"/>
        <v>2</v>
      </c>
      <c r="P58" s="12" t="e">
        <f>HYPERLINK(#REF!,"Link")</f>
        <v>#REF!</v>
      </c>
      <c r="Q58" s="12" t="e">
        <f>HYPERLINK(#REF!,"Link")</f>
        <v>#REF!</v>
      </c>
    </row>
    <row r="59" spans="1:17" x14ac:dyDescent="0.3">
      <c r="A59" t="s">
        <v>168</v>
      </c>
      <c r="B59" t="s">
        <v>82</v>
      </c>
      <c r="C59" s="9" t="s">
        <v>3729</v>
      </c>
      <c r="D59" s="9" t="s">
        <v>3786</v>
      </c>
      <c r="E59" s="14">
        <v>21999</v>
      </c>
      <c r="F59" s="3">
        <v>15999</v>
      </c>
      <c r="G59" s="3">
        <f t="shared" si="1"/>
        <v>43998</v>
      </c>
      <c r="H59" s="3">
        <f t="shared" si="0"/>
        <v>31998</v>
      </c>
      <c r="I59" s="14">
        <f t="shared" si="2"/>
        <v>11879.460000000001</v>
      </c>
      <c r="J59" s="14">
        <f t="shared" si="3"/>
        <v>-12000</v>
      </c>
      <c r="K59" s="1">
        <v>0.27</v>
      </c>
      <c r="L59">
        <v>4.2</v>
      </c>
      <c r="M59" s="2">
        <v>34899</v>
      </c>
      <c r="N59" t="s">
        <v>83</v>
      </c>
      <c r="O59">
        <f t="shared" si="4"/>
        <v>2</v>
      </c>
      <c r="P59" s="12" t="e">
        <f>HYPERLINK(#REF!,"Link")</f>
        <v>#REF!</v>
      </c>
      <c r="Q59" s="12" t="e">
        <f>HYPERLINK(#REF!,"Link")</f>
        <v>#REF!</v>
      </c>
    </row>
    <row r="60" spans="1:17" x14ac:dyDescent="0.3">
      <c r="A60" t="s">
        <v>169</v>
      </c>
      <c r="B60" t="s">
        <v>170</v>
      </c>
      <c r="C60" s="10" t="s">
        <v>3787</v>
      </c>
      <c r="D60" s="10" t="s">
        <v>3788</v>
      </c>
      <c r="E60" s="14">
        <v>1499</v>
      </c>
      <c r="F60" s="3">
        <v>348</v>
      </c>
      <c r="G60" s="3">
        <f t="shared" si="1"/>
        <v>2998</v>
      </c>
      <c r="H60" s="3">
        <f t="shared" si="0"/>
        <v>696</v>
      </c>
      <c r="I60" s="14">
        <f t="shared" si="2"/>
        <v>2308.46</v>
      </c>
      <c r="J60" s="14">
        <f t="shared" si="3"/>
        <v>-2302</v>
      </c>
      <c r="K60" s="1">
        <v>0.77</v>
      </c>
      <c r="L60">
        <v>4.2</v>
      </c>
      <c r="M60">
        <v>656</v>
      </c>
      <c r="N60" t="s">
        <v>171</v>
      </c>
      <c r="O60">
        <f t="shared" si="4"/>
        <v>2</v>
      </c>
      <c r="P60" s="12" t="e">
        <f>HYPERLINK(#REF!,"Link")</f>
        <v>#REF!</v>
      </c>
      <c r="Q60" s="12" t="e">
        <f>HYPERLINK(#REF!,"Link")</f>
        <v>#REF!</v>
      </c>
    </row>
    <row r="61" spans="1:17" x14ac:dyDescent="0.3">
      <c r="A61" t="s">
        <v>172</v>
      </c>
      <c r="B61" t="s">
        <v>173</v>
      </c>
      <c r="C61" s="9" t="s">
        <v>3789</v>
      </c>
      <c r="D61" s="9"/>
      <c r="E61" s="14">
        <v>349</v>
      </c>
      <c r="F61" s="3">
        <v>154</v>
      </c>
      <c r="G61" s="3">
        <f t="shared" si="1"/>
        <v>698</v>
      </c>
      <c r="H61" s="3">
        <f t="shared" si="0"/>
        <v>308</v>
      </c>
      <c r="I61" s="14">
        <f t="shared" si="2"/>
        <v>390.88000000000005</v>
      </c>
      <c r="J61" s="14">
        <f t="shared" si="3"/>
        <v>-390</v>
      </c>
      <c r="K61" s="1">
        <v>0.56000000000000005</v>
      </c>
      <c r="L61">
        <v>4.3</v>
      </c>
      <c r="M61" s="2">
        <v>7064</v>
      </c>
      <c r="N61" t="s">
        <v>174</v>
      </c>
      <c r="O61">
        <f t="shared" si="4"/>
        <v>2</v>
      </c>
      <c r="P61" s="12" t="e">
        <f>HYPERLINK(#REF!,"Link")</f>
        <v>#REF!</v>
      </c>
      <c r="Q61" s="12" t="e">
        <f>HYPERLINK(#REF!,"Link")</f>
        <v>#REF!</v>
      </c>
    </row>
    <row r="62" spans="1:17" x14ac:dyDescent="0.3">
      <c r="A62" t="s">
        <v>175</v>
      </c>
      <c r="B62" t="s">
        <v>176</v>
      </c>
      <c r="C62" s="10" t="s">
        <v>3729</v>
      </c>
      <c r="D62" s="10" t="s">
        <v>3786</v>
      </c>
      <c r="E62" s="14">
        <v>799</v>
      </c>
      <c r="F62" s="3">
        <v>179</v>
      </c>
      <c r="G62" s="3">
        <f t="shared" si="1"/>
        <v>2397</v>
      </c>
      <c r="H62" s="3">
        <f t="shared" si="0"/>
        <v>537</v>
      </c>
      <c r="I62" s="14">
        <f t="shared" si="2"/>
        <v>1869.66</v>
      </c>
      <c r="J62" s="14">
        <f t="shared" si="3"/>
        <v>-1860</v>
      </c>
      <c r="K62" s="1">
        <v>0.78</v>
      </c>
      <c r="L62">
        <v>3.7</v>
      </c>
      <c r="M62" s="2">
        <v>2201</v>
      </c>
      <c r="N62" t="s">
        <v>177</v>
      </c>
      <c r="O62">
        <f t="shared" si="4"/>
        <v>3</v>
      </c>
      <c r="P62" s="12" t="e">
        <f>HYPERLINK(#REF!,"Link")</f>
        <v>#REF!</v>
      </c>
      <c r="Q62" s="12" t="e">
        <f>HYPERLINK(#REF!,"Link")</f>
        <v>#REF!</v>
      </c>
    </row>
    <row r="63" spans="1:17" x14ac:dyDescent="0.3">
      <c r="A63" t="s">
        <v>178</v>
      </c>
      <c r="B63" t="s">
        <v>179</v>
      </c>
      <c r="C63" s="9" t="s">
        <v>3790</v>
      </c>
      <c r="D63" s="9" t="s">
        <v>3791</v>
      </c>
      <c r="E63" s="14">
        <v>47900</v>
      </c>
      <c r="F63" s="3">
        <v>32990</v>
      </c>
      <c r="G63" s="3">
        <f t="shared" si="1"/>
        <v>335300</v>
      </c>
      <c r="H63" s="3">
        <f t="shared" si="0"/>
        <v>230930</v>
      </c>
      <c r="I63" s="14">
        <f t="shared" si="2"/>
        <v>103943</v>
      </c>
      <c r="J63" s="14">
        <f t="shared" si="3"/>
        <v>-104370</v>
      </c>
      <c r="K63" s="1">
        <v>0.31</v>
      </c>
      <c r="L63">
        <v>4.3</v>
      </c>
      <c r="M63" s="2">
        <v>7109</v>
      </c>
      <c r="N63" t="s">
        <v>180</v>
      </c>
      <c r="O63">
        <f t="shared" si="4"/>
        <v>7</v>
      </c>
      <c r="P63" s="12" t="e">
        <f>HYPERLINK(#REF!,"Link")</f>
        <v>#REF!</v>
      </c>
      <c r="Q63" s="12" t="e">
        <f>HYPERLINK(#REF!,"Link")</f>
        <v>#REF!</v>
      </c>
    </row>
    <row r="64" spans="1:17" x14ac:dyDescent="0.3">
      <c r="A64" t="s">
        <v>181</v>
      </c>
      <c r="B64" t="s">
        <v>182</v>
      </c>
      <c r="C64" s="10" t="s">
        <v>3771</v>
      </c>
      <c r="D64" s="10" t="s">
        <v>3792</v>
      </c>
      <c r="E64" s="14">
        <v>999</v>
      </c>
      <c r="F64" s="3">
        <v>139</v>
      </c>
      <c r="G64" s="3">
        <f t="shared" si="1"/>
        <v>2997</v>
      </c>
      <c r="H64" s="3">
        <f t="shared" si="0"/>
        <v>417</v>
      </c>
      <c r="I64" s="14">
        <f t="shared" si="2"/>
        <v>2577.42</v>
      </c>
      <c r="J64" s="14">
        <f t="shared" si="3"/>
        <v>-2580</v>
      </c>
      <c r="K64" s="1">
        <v>0.86</v>
      </c>
      <c r="L64">
        <v>4</v>
      </c>
      <c r="M64" s="2">
        <v>1313</v>
      </c>
      <c r="N64" t="s">
        <v>183</v>
      </c>
      <c r="O64">
        <f t="shared" si="4"/>
        <v>3</v>
      </c>
      <c r="P64" s="12" t="e">
        <f>HYPERLINK(#REF!,"Link")</f>
        <v>#REF!</v>
      </c>
      <c r="Q64" s="12" t="e">
        <f>HYPERLINK(#REF!,"Link")</f>
        <v>#REF!</v>
      </c>
    </row>
    <row r="65" spans="1:17" x14ac:dyDescent="0.3">
      <c r="A65" t="s">
        <v>184</v>
      </c>
      <c r="B65" t="s">
        <v>185</v>
      </c>
      <c r="C65" s="9" t="s">
        <v>3793</v>
      </c>
      <c r="D65" s="9" t="s">
        <v>3794</v>
      </c>
      <c r="E65" s="14">
        <v>845</v>
      </c>
      <c r="F65" s="3">
        <v>329</v>
      </c>
      <c r="G65" s="3">
        <f t="shared" si="1"/>
        <v>1690</v>
      </c>
      <c r="H65" s="3">
        <f t="shared" si="0"/>
        <v>658</v>
      </c>
      <c r="I65" s="14">
        <f t="shared" si="2"/>
        <v>1030.9000000000001</v>
      </c>
      <c r="J65" s="14">
        <f t="shared" si="3"/>
        <v>-1032</v>
      </c>
      <c r="K65" s="1">
        <v>0.61</v>
      </c>
      <c r="L65">
        <v>4.2</v>
      </c>
      <c r="M65" s="2">
        <v>29746</v>
      </c>
      <c r="N65" t="s">
        <v>186</v>
      </c>
      <c r="O65">
        <f t="shared" si="4"/>
        <v>2</v>
      </c>
      <c r="P65" s="12" t="e">
        <f>HYPERLINK(#REF!,"Link")</f>
        <v>#REF!</v>
      </c>
      <c r="Q65" s="12" t="e">
        <f>HYPERLINK(#REF!,"Link")</f>
        <v>#REF!</v>
      </c>
    </row>
    <row r="66" spans="1:17" x14ac:dyDescent="0.3">
      <c r="A66" t="s">
        <v>187</v>
      </c>
      <c r="B66" t="s">
        <v>188</v>
      </c>
      <c r="C66" s="10" t="s">
        <v>3795</v>
      </c>
      <c r="D66" s="10" t="s">
        <v>3796</v>
      </c>
      <c r="E66" s="14">
        <v>24999</v>
      </c>
      <c r="F66" s="3">
        <v>13999</v>
      </c>
      <c r="G66" s="3">
        <f t="shared" si="1"/>
        <v>74997</v>
      </c>
      <c r="H66" s="3">
        <f t="shared" ref="H66:H129" si="5">F66*O66</f>
        <v>41997</v>
      </c>
      <c r="I66" s="14">
        <f t="shared" si="2"/>
        <v>32998.68</v>
      </c>
      <c r="J66" s="14">
        <f t="shared" si="3"/>
        <v>-33000</v>
      </c>
      <c r="K66" s="1">
        <v>0.44</v>
      </c>
      <c r="L66">
        <v>4.2</v>
      </c>
      <c r="M66" s="2">
        <v>45238</v>
      </c>
      <c r="N66" t="s">
        <v>189</v>
      </c>
      <c r="O66">
        <f t="shared" si="4"/>
        <v>3</v>
      </c>
      <c r="P66" s="12" t="e">
        <f>HYPERLINK(#REF!,"Link")</f>
        <v>#REF!</v>
      </c>
      <c r="Q66" s="12" t="e">
        <f>HYPERLINK(#REF!,"Link")</f>
        <v>#REF!</v>
      </c>
    </row>
    <row r="67" spans="1:17" x14ac:dyDescent="0.3">
      <c r="A67" t="s">
        <v>190</v>
      </c>
      <c r="B67" t="s">
        <v>142</v>
      </c>
      <c r="C67" s="9" t="s">
        <v>3771</v>
      </c>
      <c r="D67" s="9" t="s">
        <v>3792</v>
      </c>
      <c r="E67" s="14">
        <v>1400</v>
      </c>
      <c r="F67" s="3">
        <v>309</v>
      </c>
      <c r="G67" s="3">
        <f t="shared" ref="G67:G130" si="6">E67*O67</f>
        <v>2800</v>
      </c>
      <c r="H67" s="3">
        <f t="shared" si="5"/>
        <v>618</v>
      </c>
      <c r="I67" s="14">
        <f t="shared" ref="I67:I130" si="7">(E67*K67)*O67</f>
        <v>2184</v>
      </c>
      <c r="J67" s="14">
        <f t="shared" ref="J67:J130" si="8">H67-G67</f>
        <v>-2182</v>
      </c>
      <c r="K67" s="1">
        <v>0.78</v>
      </c>
      <c r="L67">
        <v>4.4000000000000004</v>
      </c>
      <c r="M67" s="2">
        <v>426973</v>
      </c>
      <c r="N67" t="s">
        <v>44</v>
      </c>
      <c r="O67">
        <f t="shared" ref="O67:O130" si="9">LEN(N67)-LEN(SUBSTITUTE(N67,",",""))+1</f>
        <v>2</v>
      </c>
      <c r="P67" s="12" t="e">
        <f>HYPERLINK(#REF!,"Link")</f>
        <v>#REF!</v>
      </c>
      <c r="Q67" s="12" t="e">
        <f>HYPERLINK(#REF!,"Link")</f>
        <v>#REF!</v>
      </c>
    </row>
    <row r="68" spans="1:17" x14ac:dyDescent="0.3">
      <c r="A68" t="s">
        <v>191</v>
      </c>
      <c r="B68" t="s">
        <v>192</v>
      </c>
      <c r="C68" s="10" t="s">
        <v>3797</v>
      </c>
      <c r="D68" s="10"/>
      <c r="E68" s="14">
        <v>699</v>
      </c>
      <c r="F68" s="3">
        <v>263</v>
      </c>
      <c r="G68" s="3">
        <f t="shared" si="6"/>
        <v>2796</v>
      </c>
      <c r="H68" s="3">
        <f t="shared" si="5"/>
        <v>1052</v>
      </c>
      <c r="I68" s="14">
        <f t="shared" si="7"/>
        <v>1733.52</v>
      </c>
      <c r="J68" s="14">
        <f t="shared" si="8"/>
        <v>-1744</v>
      </c>
      <c r="K68" s="1">
        <v>0.62</v>
      </c>
      <c r="L68">
        <v>4.0999999999999996</v>
      </c>
      <c r="M68">
        <v>450</v>
      </c>
      <c r="N68" t="s">
        <v>193</v>
      </c>
      <c r="O68">
        <f t="shared" si="9"/>
        <v>4</v>
      </c>
      <c r="P68" s="12" t="e">
        <f>HYPERLINK(#REF!,"Link")</f>
        <v>#REF!</v>
      </c>
      <c r="Q68" s="12" t="e">
        <f>HYPERLINK(#REF!,"Link")</f>
        <v>#REF!</v>
      </c>
    </row>
    <row r="69" spans="1:17" x14ac:dyDescent="0.3">
      <c r="A69" t="s">
        <v>194</v>
      </c>
      <c r="B69" t="s">
        <v>76</v>
      </c>
      <c r="C69" s="9" t="s">
        <v>3798</v>
      </c>
      <c r="D69" s="9" t="s">
        <v>3799</v>
      </c>
      <c r="E69" s="14">
        <v>14990</v>
      </c>
      <c r="F69" s="3">
        <v>7999</v>
      </c>
      <c r="G69" s="3">
        <f t="shared" si="6"/>
        <v>14990</v>
      </c>
      <c r="H69" s="3">
        <f t="shared" si="5"/>
        <v>7999</v>
      </c>
      <c r="I69" s="14">
        <f t="shared" si="7"/>
        <v>7045.2999999999993</v>
      </c>
      <c r="J69" s="14">
        <f t="shared" si="8"/>
        <v>-6991</v>
      </c>
      <c r="K69" s="1">
        <v>0.47</v>
      </c>
      <c r="L69">
        <v>4.3</v>
      </c>
      <c r="M69">
        <v>457</v>
      </c>
      <c r="N69" t="s">
        <v>195</v>
      </c>
      <c r="O69">
        <f t="shared" si="9"/>
        <v>1</v>
      </c>
      <c r="P69" s="12" t="e">
        <f>HYPERLINK(#REF!,"Link")</f>
        <v>#REF!</v>
      </c>
      <c r="Q69" s="12" t="e">
        <f>HYPERLINK(#REF!,"Link")</f>
        <v>#REF!</v>
      </c>
    </row>
    <row r="70" spans="1:17" x14ac:dyDescent="0.3">
      <c r="A70" t="s">
        <v>196</v>
      </c>
      <c r="B70" t="s">
        <v>197</v>
      </c>
      <c r="C70" s="10"/>
      <c r="D70" s="10"/>
      <c r="E70" s="14">
        <v>2999</v>
      </c>
      <c r="F70" s="3">
        <v>1599</v>
      </c>
      <c r="G70" s="3">
        <f t="shared" si="6"/>
        <v>5998</v>
      </c>
      <c r="H70" s="3">
        <f t="shared" si="5"/>
        <v>3198</v>
      </c>
      <c r="I70" s="14">
        <f t="shared" si="7"/>
        <v>2819.06</v>
      </c>
      <c r="J70" s="14">
        <f t="shared" si="8"/>
        <v>-2800</v>
      </c>
      <c r="K70" s="1">
        <v>0.47</v>
      </c>
      <c r="L70">
        <v>4.2</v>
      </c>
      <c r="M70" s="2">
        <v>2727</v>
      </c>
      <c r="N70" t="s">
        <v>198</v>
      </c>
      <c r="O70">
        <f t="shared" si="9"/>
        <v>2</v>
      </c>
      <c r="P70" s="12" t="e">
        <f>HYPERLINK(#REF!,"Link")</f>
        <v>#REF!</v>
      </c>
      <c r="Q70" s="12" t="e">
        <f>HYPERLINK(#REF!,"Link")</f>
        <v>#REF!</v>
      </c>
    </row>
    <row r="71" spans="1:17" x14ac:dyDescent="0.3">
      <c r="A71" t="s">
        <v>199</v>
      </c>
      <c r="B71" t="s">
        <v>200</v>
      </c>
      <c r="C71" s="9" t="s">
        <v>3800</v>
      </c>
      <c r="D71" s="9"/>
      <c r="E71" s="14">
        <v>700</v>
      </c>
      <c r="F71" s="3">
        <v>219</v>
      </c>
      <c r="G71" s="3">
        <f t="shared" si="6"/>
        <v>5600</v>
      </c>
      <c r="H71" s="3">
        <f t="shared" si="5"/>
        <v>1752</v>
      </c>
      <c r="I71" s="14">
        <f t="shared" si="7"/>
        <v>3863.9999999999995</v>
      </c>
      <c r="J71" s="14">
        <f t="shared" si="8"/>
        <v>-3848</v>
      </c>
      <c r="K71" s="1">
        <v>0.69</v>
      </c>
      <c r="L71">
        <v>4.3</v>
      </c>
      <c r="M71" s="2">
        <v>20053</v>
      </c>
      <c r="N71" t="s">
        <v>201</v>
      </c>
      <c r="O71">
        <f t="shared" si="9"/>
        <v>8</v>
      </c>
      <c r="P71" s="12" t="e">
        <f>HYPERLINK(#REF!,"Link")</f>
        <v>#REF!</v>
      </c>
      <c r="Q71" s="12" t="e">
        <f>HYPERLINK(#REF!,"Link")</f>
        <v>#REF!</v>
      </c>
    </row>
    <row r="72" spans="1:17" x14ac:dyDescent="0.3">
      <c r="A72" t="s">
        <v>202</v>
      </c>
      <c r="B72" t="s">
        <v>203</v>
      </c>
      <c r="C72" s="10" t="s">
        <v>3755</v>
      </c>
      <c r="D72" s="10" t="s">
        <v>3801</v>
      </c>
      <c r="E72" s="14">
        <v>899</v>
      </c>
      <c r="F72" s="3">
        <v>349</v>
      </c>
      <c r="G72" s="3">
        <f t="shared" si="6"/>
        <v>1798</v>
      </c>
      <c r="H72" s="3">
        <f t="shared" si="5"/>
        <v>698</v>
      </c>
      <c r="I72" s="14">
        <f t="shared" si="7"/>
        <v>1096.78</v>
      </c>
      <c r="J72" s="14">
        <f t="shared" si="8"/>
        <v>-1100</v>
      </c>
      <c r="K72" s="1">
        <v>0.61</v>
      </c>
      <c r="L72">
        <v>4.5</v>
      </c>
      <c r="M72">
        <v>149</v>
      </c>
      <c r="N72" t="s">
        <v>204</v>
      </c>
      <c r="O72">
        <f t="shared" si="9"/>
        <v>2</v>
      </c>
      <c r="P72" s="12" t="e">
        <f>HYPERLINK(#REF!,"Link")</f>
        <v>#REF!</v>
      </c>
      <c r="Q72" s="12" t="e">
        <f>HYPERLINK(#REF!,"Link")</f>
        <v>#REF!</v>
      </c>
    </row>
    <row r="73" spans="1:17" x14ac:dyDescent="0.3">
      <c r="A73" t="s">
        <v>205</v>
      </c>
      <c r="B73" t="s">
        <v>206</v>
      </c>
      <c r="C73" s="9" t="s">
        <v>3744</v>
      </c>
      <c r="D73" s="9" t="s">
        <v>3802</v>
      </c>
      <c r="E73" s="14">
        <v>599</v>
      </c>
      <c r="F73" s="3">
        <v>349</v>
      </c>
      <c r="G73" s="3">
        <f t="shared" si="6"/>
        <v>2396</v>
      </c>
      <c r="H73" s="3">
        <f t="shared" si="5"/>
        <v>1396</v>
      </c>
      <c r="I73" s="14">
        <f t="shared" si="7"/>
        <v>1006.3199999999999</v>
      </c>
      <c r="J73" s="14">
        <f t="shared" si="8"/>
        <v>-1000</v>
      </c>
      <c r="K73" s="1">
        <v>0.42</v>
      </c>
      <c r="L73">
        <v>4.0999999999999996</v>
      </c>
      <c r="M73">
        <v>210</v>
      </c>
      <c r="N73" t="s">
        <v>207</v>
      </c>
      <c r="O73">
        <f t="shared" si="9"/>
        <v>4</v>
      </c>
      <c r="P73" s="12" t="e">
        <f>HYPERLINK(#REF!,"Link")</f>
        <v>#REF!</v>
      </c>
      <c r="Q73" s="12" t="e">
        <f>HYPERLINK(#REF!,"Link")</f>
        <v>#REF!</v>
      </c>
    </row>
    <row r="74" spans="1:17" x14ac:dyDescent="0.3">
      <c r="A74" t="s">
        <v>208</v>
      </c>
      <c r="B74" t="s">
        <v>209</v>
      </c>
      <c r="C74" s="10"/>
      <c r="D74" s="10"/>
      <c r="E74" s="14">
        <v>42999</v>
      </c>
      <c r="F74" s="3">
        <v>26999</v>
      </c>
      <c r="G74" s="3">
        <f t="shared" si="6"/>
        <v>128997</v>
      </c>
      <c r="H74" s="3">
        <f t="shared" si="5"/>
        <v>80997</v>
      </c>
      <c r="I74" s="14">
        <f t="shared" si="7"/>
        <v>47728.89</v>
      </c>
      <c r="J74" s="14">
        <f t="shared" si="8"/>
        <v>-48000</v>
      </c>
      <c r="K74" s="1">
        <v>0.37</v>
      </c>
      <c r="L74">
        <v>4.2</v>
      </c>
      <c r="M74" s="2">
        <v>45238</v>
      </c>
      <c r="N74" t="s">
        <v>189</v>
      </c>
      <c r="O74">
        <f t="shared" si="9"/>
        <v>3</v>
      </c>
      <c r="P74" s="12" t="e">
        <f>HYPERLINK(#REF!,"Link")</f>
        <v>#REF!</v>
      </c>
      <c r="Q74" s="12" t="e">
        <f>HYPERLINK(#REF!,"Link")</f>
        <v>#REF!</v>
      </c>
    </row>
    <row r="75" spans="1:17" x14ac:dyDescent="0.3">
      <c r="A75" t="s">
        <v>210</v>
      </c>
      <c r="B75" t="s">
        <v>211</v>
      </c>
      <c r="C75" s="9" t="s">
        <v>3779</v>
      </c>
      <c r="D75" s="9" t="s">
        <v>3780</v>
      </c>
      <c r="E75" s="14">
        <v>499</v>
      </c>
      <c r="F75" s="3">
        <v>115</v>
      </c>
      <c r="G75" s="3">
        <f t="shared" si="6"/>
        <v>499</v>
      </c>
      <c r="H75" s="3">
        <f t="shared" si="5"/>
        <v>115</v>
      </c>
      <c r="I75" s="14">
        <f t="shared" si="7"/>
        <v>384.23</v>
      </c>
      <c r="J75" s="14">
        <f t="shared" si="8"/>
        <v>-384</v>
      </c>
      <c r="K75" s="1">
        <v>0.77</v>
      </c>
      <c r="L75">
        <v>4</v>
      </c>
      <c r="M75" s="2">
        <v>7732</v>
      </c>
      <c r="N75" t="s">
        <v>212</v>
      </c>
      <c r="O75">
        <f t="shared" si="9"/>
        <v>1</v>
      </c>
      <c r="P75" s="12" t="e">
        <f>HYPERLINK(#REF!,"Link")</f>
        <v>#REF!</v>
      </c>
      <c r="Q75" s="12" t="e">
        <f>HYPERLINK(#REF!,"Link")</f>
        <v>#REF!</v>
      </c>
    </row>
    <row r="76" spans="1:17" x14ac:dyDescent="0.3">
      <c r="A76" t="s">
        <v>213</v>
      </c>
      <c r="B76" t="s">
        <v>214</v>
      </c>
      <c r="C76" s="10" t="s">
        <v>3803</v>
      </c>
      <c r="D76" s="10"/>
      <c r="E76" s="14">
        <v>999</v>
      </c>
      <c r="F76" s="3">
        <v>399</v>
      </c>
      <c r="G76" s="3">
        <f t="shared" si="6"/>
        <v>1998</v>
      </c>
      <c r="H76" s="3">
        <f t="shared" si="5"/>
        <v>798</v>
      </c>
      <c r="I76" s="14">
        <f t="shared" si="7"/>
        <v>1198.8</v>
      </c>
      <c r="J76" s="14">
        <f t="shared" si="8"/>
        <v>-1200</v>
      </c>
      <c r="K76" s="1">
        <v>0.6</v>
      </c>
      <c r="L76">
        <v>4.0999999999999996</v>
      </c>
      <c r="M76" s="2">
        <v>1780</v>
      </c>
      <c r="N76" t="s">
        <v>215</v>
      </c>
      <c r="O76">
        <f t="shared" si="9"/>
        <v>2</v>
      </c>
      <c r="P76" s="12" t="e">
        <f>HYPERLINK(#REF!,"Link")</f>
        <v>#REF!</v>
      </c>
      <c r="Q76" s="12" t="e">
        <f>HYPERLINK(#REF!,"Link")</f>
        <v>#REF!</v>
      </c>
    </row>
    <row r="77" spans="1:17" x14ac:dyDescent="0.3">
      <c r="A77" t="s">
        <v>216</v>
      </c>
      <c r="B77" t="s">
        <v>217</v>
      </c>
      <c r="C77" s="9" t="s">
        <v>3727</v>
      </c>
      <c r="D77" s="9" t="s">
        <v>3804</v>
      </c>
      <c r="E77" s="14">
        <v>499</v>
      </c>
      <c r="F77" s="3">
        <v>199</v>
      </c>
      <c r="G77" s="3">
        <f t="shared" si="6"/>
        <v>499</v>
      </c>
      <c r="H77" s="3">
        <f t="shared" si="5"/>
        <v>199</v>
      </c>
      <c r="I77" s="14">
        <f t="shared" si="7"/>
        <v>299.39999999999998</v>
      </c>
      <c r="J77" s="14">
        <f t="shared" si="8"/>
        <v>-300</v>
      </c>
      <c r="K77" s="1">
        <v>0.6</v>
      </c>
      <c r="L77">
        <v>4.0999999999999996</v>
      </c>
      <c r="M77">
        <v>602</v>
      </c>
      <c r="N77" t="s">
        <v>218</v>
      </c>
      <c r="O77">
        <f t="shared" si="9"/>
        <v>1</v>
      </c>
      <c r="P77" s="12" t="e">
        <f>HYPERLINK(#REF!,"Link")</f>
        <v>#REF!</v>
      </c>
      <c r="Q77" s="12" t="e">
        <f>HYPERLINK(#REF!,"Link")</f>
        <v>#REF!</v>
      </c>
    </row>
    <row r="78" spans="1:17" x14ac:dyDescent="0.3">
      <c r="A78" t="s">
        <v>219</v>
      </c>
      <c r="B78" t="s">
        <v>97</v>
      </c>
      <c r="C78" s="10" t="s">
        <v>3738</v>
      </c>
      <c r="D78" s="10" t="s">
        <v>3805</v>
      </c>
      <c r="E78" s="14">
        <v>399</v>
      </c>
      <c r="F78" s="3">
        <v>179</v>
      </c>
      <c r="G78" s="3">
        <f t="shared" si="6"/>
        <v>798</v>
      </c>
      <c r="H78" s="3">
        <f t="shared" si="5"/>
        <v>358</v>
      </c>
      <c r="I78" s="14">
        <f t="shared" si="7"/>
        <v>438.90000000000003</v>
      </c>
      <c r="J78" s="14">
        <f t="shared" si="8"/>
        <v>-440</v>
      </c>
      <c r="K78" s="1">
        <v>0.55000000000000004</v>
      </c>
      <c r="L78">
        <v>4</v>
      </c>
      <c r="M78" s="2">
        <v>1423</v>
      </c>
      <c r="N78" t="s">
        <v>220</v>
      </c>
      <c r="O78">
        <f t="shared" si="9"/>
        <v>2</v>
      </c>
      <c r="P78" s="12" t="e">
        <f>HYPERLINK(#REF!,"Link")</f>
        <v>#REF!</v>
      </c>
      <c r="Q78" s="12" t="e">
        <f>HYPERLINK(#REF!,"Link")</f>
        <v>#REF!</v>
      </c>
    </row>
    <row r="79" spans="1:17" x14ac:dyDescent="0.3">
      <c r="A79" t="s">
        <v>221</v>
      </c>
      <c r="B79" t="s">
        <v>222</v>
      </c>
      <c r="C79" s="9" t="s">
        <v>3729</v>
      </c>
      <c r="D79" s="9" t="s">
        <v>3786</v>
      </c>
      <c r="E79" s="14">
        <v>30990</v>
      </c>
      <c r="F79" s="3">
        <v>10901</v>
      </c>
      <c r="G79" s="3">
        <f t="shared" si="6"/>
        <v>30990</v>
      </c>
      <c r="H79" s="3">
        <f t="shared" si="5"/>
        <v>10901</v>
      </c>
      <c r="I79" s="14">
        <f t="shared" si="7"/>
        <v>20143.5</v>
      </c>
      <c r="J79" s="14">
        <f t="shared" si="8"/>
        <v>-20089</v>
      </c>
      <c r="K79" s="1">
        <v>0.65</v>
      </c>
      <c r="L79">
        <v>4.0999999999999996</v>
      </c>
      <c r="M79">
        <v>398</v>
      </c>
      <c r="N79" t="s">
        <v>223</v>
      </c>
      <c r="O79">
        <f t="shared" si="9"/>
        <v>1</v>
      </c>
      <c r="P79" s="12" t="e">
        <f>HYPERLINK(#REF!,"Link")</f>
        <v>#REF!</v>
      </c>
      <c r="Q79" s="12" t="e">
        <f>HYPERLINK(#REF!,"Link")</f>
        <v>#REF!</v>
      </c>
    </row>
    <row r="80" spans="1:17" x14ac:dyDescent="0.3">
      <c r="A80" t="s">
        <v>224</v>
      </c>
      <c r="B80" t="s">
        <v>225</v>
      </c>
      <c r="C80" s="10" t="s">
        <v>3729</v>
      </c>
      <c r="D80" s="10" t="s">
        <v>3806</v>
      </c>
      <c r="E80" s="14">
        <v>499</v>
      </c>
      <c r="F80" s="3">
        <v>209</v>
      </c>
      <c r="G80" s="3">
        <f t="shared" si="6"/>
        <v>1497</v>
      </c>
      <c r="H80" s="3">
        <f t="shared" si="5"/>
        <v>627</v>
      </c>
      <c r="I80" s="14">
        <f t="shared" si="7"/>
        <v>868.25999999999988</v>
      </c>
      <c r="J80" s="14">
        <f t="shared" si="8"/>
        <v>-870</v>
      </c>
      <c r="K80" s="1">
        <v>0.57999999999999996</v>
      </c>
      <c r="L80">
        <v>3.9</v>
      </c>
      <c r="M80">
        <v>536</v>
      </c>
      <c r="N80" t="s">
        <v>226</v>
      </c>
      <c r="O80">
        <f t="shared" si="9"/>
        <v>3</v>
      </c>
      <c r="P80" s="12" t="e">
        <f>HYPERLINK(#REF!,"Link")</f>
        <v>#REF!</v>
      </c>
      <c r="Q80" s="12" t="e">
        <f>HYPERLINK(#REF!,"Link")</f>
        <v>#REF!</v>
      </c>
    </row>
    <row r="81" spans="1:17" x14ac:dyDescent="0.3">
      <c r="A81" t="s">
        <v>227</v>
      </c>
      <c r="B81" t="s">
        <v>228</v>
      </c>
      <c r="C81" s="9"/>
      <c r="D81" s="9"/>
      <c r="E81" s="14">
        <v>3999</v>
      </c>
      <c r="F81" s="3">
        <v>1434</v>
      </c>
      <c r="G81" s="3">
        <f t="shared" si="6"/>
        <v>3999</v>
      </c>
      <c r="H81" s="3">
        <f t="shared" si="5"/>
        <v>1434</v>
      </c>
      <c r="I81" s="14">
        <f t="shared" si="7"/>
        <v>2559.36</v>
      </c>
      <c r="J81" s="14">
        <f t="shared" si="8"/>
        <v>-2565</v>
      </c>
      <c r="K81" s="1">
        <v>0.64</v>
      </c>
      <c r="L81">
        <v>4</v>
      </c>
      <c r="M81">
        <v>32</v>
      </c>
      <c r="N81" t="s">
        <v>229</v>
      </c>
      <c r="O81">
        <f t="shared" si="9"/>
        <v>1</v>
      </c>
      <c r="P81" s="12" t="e">
        <f>HYPERLINK(#REF!,"Link")</f>
        <v>#REF!</v>
      </c>
      <c r="Q81" s="12" t="e">
        <f>HYPERLINK(#REF!,"Link")</f>
        <v>#REF!</v>
      </c>
    </row>
    <row r="82" spans="1:17" x14ac:dyDescent="0.3">
      <c r="A82" t="s">
        <v>230</v>
      </c>
      <c r="B82" t="s">
        <v>231</v>
      </c>
      <c r="C82" s="10" t="s">
        <v>3807</v>
      </c>
      <c r="D82" s="10" t="s">
        <v>3808</v>
      </c>
      <c r="E82" s="14">
        <v>1099</v>
      </c>
      <c r="F82" s="3">
        <v>399</v>
      </c>
      <c r="G82" s="3">
        <f t="shared" si="6"/>
        <v>4396</v>
      </c>
      <c r="H82" s="3">
        <f t="shared" si="5"/>
        <v>1596</v>
      </c>
      <c r="I82" s="14">
        <f t="shared" si="7"/>
        <v>2813.44</v>
      </c>
      <c r="J82" s="14">
        <f t="shared" si="8"/>
        <v>-2800</v>
      </c>
      <c r="K82" s="1">
        <v>0.64</v>
      </c>
      <c r="L82">
        <v>4.2</v>
      </c>
      <c r="M82" s="2">
        <v>24269</v>
      </c>
      <c r="N82" t="s">
        <v>11</v>
      </c>
      <c r="O82">
        <f t="shared" si="9"/>
        <v>4</v>
      </c>
      <c r="P82" s="12" t="e">
        <f>HYPERLINK(#REF!,"Link")</f>
        <v>#REF!</v>
      </c>
      <c r="Q82" s="12" t="e">
        <f>HYPERLINK(#REF!,"Link")</f>
        <v>#REF!</v>
      </c>
    </row>
    <row r="83" spans="1:17" x14ac:dyDescent="0.3">
      <c r="A83" t="s">
        <v>232</v>
      </c>
      <c r="B83" t="s">
        <v>233</v>
      </c>
      <c r="C83" s="9" t="s">
        <v>3729</v>
      </c>
      <c r="D83" s="9" t="s">
        <v>3809</v>
      </c>
      <c r="E83" s="14">
        <v>249</v>
      </c>
      <c r="F83" s="3">
        <v>139</v>
      </c>
      <c r="G83" s="3">
        <f t="shared" si="6"/>
        <v>747</v>
      </c>
      <c r="H83" s="3">
        <f t="shared" si="5"/>
        <v>417</v>
      </c>
      <c r="I83" s="14">
        <f t="shared" si="7"/>
        <v>328.68</v>
      </c>
      <c r="J83" s="14">
        <f t="shared" si="8"/>
        <v>-330</v>
      </c>
      <c r="K83" s="1">
        <v>0.44</v>
      </c>
      <c r="L83">
        <v>4</v>
      </c>
      <c r="M83" s="2">
        <v>9378</v>
      </c>
      <c r="N83" t="s">
        <v>74</v>
      </c>
      <c r="O83">
        <f t="shared" si="9"/>
        <v>3</v>
      </c>
      <c r="P83" s="12" t="e">
        <f>HYPERLINK(#REF!,"Link")</f>
        <v>#REF!</v>
      </c>
      <c r="Q83" s="12" t="e">
        <f>HYPERLINK(#REF!,"Link")</f>
        <v>#REF!</v>
      </c>
    </row>
    <row r="84" spans="1:17" x14ac:dyDescent="0.3">
      <c r="A84" t="s">
        <v>234</v>
      </c>
      <c r="B84" t="s">
        <v>235</v>
      </c>
      <c r="C84" s="10" t="s">
        <v>3810</v>
      </c>
      <c r="D84" s="10" t="s">
        <v>3811</v>
      </c>
      <c r="E84" s="14">
        <v>19125</v>
      </c>
      <c r="F84" s="3">
        <v>7299</v>
      </c>
      <c r="G84" s="3">
        <f t="shared" si="6"/>
        <v>38250</v>
      </c>
      <c r="H84" s="3">
        <f t="shared" si="5"/>
        <v>14598</v>
      </c>
      <c r="I84" s="14">
        <f t="shared" si="7"/>
        <v>23715</v>
      </c>
      <c r="J84" s="14">
        <f t="shared" si="8"/>
        <v>-23652</v>
      </c>
      <c r="K84" s="1">
        <v>0.62</v>
      </c>
      <c r="L84">
        <v>3.4</v>
      </c>
      <c r="M84">
        <v>902</v>
      </c>
      <c r="N84" t="s">
        <v>236</v>
      </c>
      <c r="O84">
        <f t="shared" si="9"/>
        <v>2</v>
      </c>
      <c r="P84" s="12" t="e">
        <f>HYPERLINK(#REF!,"Link")</f>
        <v>#REF!</v>
      </c>
      <c r="Q84" s="12" t="e">
        <f>HYPERLINK(#REF!,"Link")</f>
        <v>#REF!</v>
      </c>
    </row>
    <row r="85" spans="1:17" x14ac:dyDescent="0.3">
      <c r="A85" t="s">
        <v>237</v>
      </c>
      <c r="B85" t="s">
        <v>238</v>
      </c>
      <c r="C85" s="9" t="s">
        <v>3812</v>
      </c>
      <c r="D85" s="9" t="s">
        <v>3764</v>
      </c>
      <c r="E85" s="14">
        <v>799</v>
      </c>
      <c r="F85" s="3">
        <v>299</v>
      </c>
      <c r="G85" s="3">
        <f t="shared" si="6"/>
        <v>5593</v>
      </c>
      <c r="H85" s="3">
        <f t="shared" si="5"/>
        <v>2093</v>
      </c>
      <c r="I85" s="14">
        <f t="shared" si="7"/>
        <v>3523.59</v>
      </c>
      <c r="J85" s="14">
        <f t="shared" si="8"/>
        <v>-3500</v>
      </c>
      <c r="K85" s="1">
        <v>0.63</v>
      </c>
      <c r="L85">
        <v>4.4000000000000004</v>
      </c>
      <c r="M85" s="2">
        <v>28791</v>
      </c>
      <c r="N85" t="s">
        <v>239</v>
      </c>
      <c r="O85">
        <f t="shared" si="9"/>
        <v>7</v>
      </c>
      <c r="P85" s="12" t="e">
        <f>HYPERLINK(#REF!,"Link")</f>
        <v>#REF!</v>
      </c>
      <c r="Q85" s="12" t="e">
        <f>HYPERLINK(#REF!,"Link")</f>
        <v>#REF!</v>
      </c>
    </row>
    <row r="86" spans="1:17" x14ac:dyDescent="0.3">
      <c r="A86" t="s">
        <v>240</v>
      </c>
      <c r="B86" t="s">
        <v>241</v>
      </c>
      <c r="C86" s="10" t="s">
        <v>3793</v>
      </c>
      <c r="D86" s="10" t="s">
        <v>3813</v>
      </c>
      <c r="E86" s="14">
        <v>1299</v>
      </c>
      <c r="F86" s="3">
        <v>325</v>
      </c>
      <c r="G86" s="3">
        <f t="shared" si="6"/>
        <v>2598</v>
      </c>
      <c r="H86" s="3">
        <f t="shared" si="5"/>
        <v>650</v>
      </c>
      <c r="I86" s="14">
        <f t="shared" si="7"/>
        <v>1948.5</v>
      </c>
      <c r="J86" s="14">
        <f t="shared" si="8"/>
        <v>-1948</v>
      </c>
      <c r="K86" s="1">
        <v>0.75</v>
      </c>
      <c r="L86">
        <v>4.2</v>
      </c>
      <c r="M86" s="2">
        <v>10576</v>
      </c>
      <c r="N86" t="s">
        <v>242</v>
      </c>
      <c r="O86">
        <f t="shared" si="9"/>
        <v>2</v>
      </c>
      <c r="P86" s="12" t="e">
        <f>HYPERLINK(#REF!,"Link")</f>
        <v>#REF!</v>
      </c>
      <c r="Q86" s="12" t="e">
        <f>HYPERLINK(#REF!,"Link")</f>
        <v>#REF!</v>
      </c>
    </row>
    <row r="87" spans="1:17" x14ac:dyDescent="0.3">
      <c r="A87" t="s">
        <v>243</v>
      </c>
      <c r="B87" t="s">
        <v>244</v>
      </c>
      <c r="C87" s="9" t="s">
        <v>3787</v>
      </c>
      <c r="D87" s="9" t="s">
        <v>3814</v>
      </c>
      <c r="E87" s="14">
        <v>39999</v>
      </c>
      <c r="F87" s="3">
        <v>29999</v>
      </c>
      <c r="G87" s="3">
        <f t="shared" si="6"/>
        <v>79998</v>
      </c>
      <c r="H87" s="3">
        <f t="shared" si="5"/>
        <v>59998</v>
      </c>
      <c r="I87" s="14">
        <f t="shared" si="7"/>
        <v>19999.5</v>
      </c>
      <c r="J87" s="14">
        <f t="shared" si="8"/>
        <v>-20000</v>
      </c>
      <c r="K87" s="1">
        <v>0.25</v>
      </c>
      <c r="L87">
        <v>4.2</v>
      </c>
      <c r="M87" s="2">
        <v>7298</v>
      </c>
      <c r="N87" t="s">
        <v>118</v>
      </c>
      <c r="O87">
        <f t="shared" si="9"/>
        <v>2</v>
      </c>
      <c r="P87" s="12" t="e">
        <f>HYPERLINK(#REF!,"Link")</f>
        <v>#REF!</v>
      </c>
      <c r="Q87" s="12" t="e">
        <f>HYPERLINK(#REF!,"Link")</f>
        <v>#REF!</v>
      </c>
    </row>
    <row r="88" spans="1:17" x14ac:dyDescent="0.3">
      <c r="A88" t="s">
        <v>245</v>
      </c>
      <c r="B88" t="s">
        <v>246</v>
      </c>
      <c r="C88" s="10" t="s">
        <v>3815</v>
      </c>
      <c r="D88" s="10"/>
      <c r="E88" s="14">
        <v>40990</v>
      </c>
      <c r="F88" s="3">
        <v>27999</v>
      </c>
      <c r="G88" s="3">
        <f t="shared" si="6"/>
        <v>204950</v>
      </c>
      <c r="H88" s="3">
        <f t="shared" si="5"/>
        <v>139995</v>
      </c>
      <c r="I88" s="14">
        <f t="shared" si="7"/>
        <v>65584</v>
      </c>
      <c r="J88" s="14">
        <f t="shared" si="8"/>
        <v>-64955</v>
      </c>
      <c r="K88" s="1">
        <v>0.32</v>
      </c>
      <c r="L88">
        <v>4.3</v>
      </c>
      <c r="M88" s="2">
        <v>4703</v>
      </c>
      <c r="N88" t="s">
        <v>77</v>
      </c>
      <c r="O88">
        <f t="shared" si="9"/>
        <v>5</v>
      </c>
      <c r="P88" s="12" t="e">
        <f>HYPERLINK(#REF!,"Link")</f>
        <v>#REF!</v>
      </c>
      <c r="Q88" s="12" t="e">
        <f>HYPERLINK(#REF!,"Link")</f>
        <v>#REF!</v>
      </c>
    </row>
    <row r="89" spans="1:17" x14ac:dyDescent="0.3">
      <c r="A89" t="s">
        <v>247</v>
      </c>
      <c r="B89" t="s">
        <v>179</v>
      </c>
      <c r="C89" s="9" t="s">
        <v>3816</v>
      </c>
      <c r="D89" s="9" t="s">
        <v>3817</v>
      </c>
      <c r="E89" s="14">
        <v>52900</v>
      </c>
      <c r="F89" s="3">
        <v>30990</v>
      </c>
      <c r="G89" s="3">
        <f t="shared" si="6"/>
        <v>370300</v>
      </c>
      <c r="H89" s="3">
        <f t="shared" si="5"/>
        <v>216930</v>
      </c>
      <c r="I89" s="14">
        <f t="shared" si="7"/>
        <v>151823</v>
      </c>
      <c r="J89" s="14">
        <f t="shared" si="8"/>
        <v>-153370</v>
      </c>
      <c r="K89" s="1">
        <v>0.41</v>
      </c>
      <c r="L89">
        <v>4.3</v>
      </c>
      <c r="M89" s="2">
        <v>7109</v>
      </c>
      <c r="N89" t="s">
        <v>180</v>
      </c>
      <c r="O89">
        <f t="shared" si="9"/>
        <v>7</v>
      </c>
      <c r="P89" s="12" t="e">
        <f>HYPERLINK(#REF!,"Link")</f>
        <v>#REF!</v>
      </c>
      <c r="Q89" s="12" t="e">
        <f>HYPERLINK(#REF!,"Link")</f>
        <v>#REF!</v>
      </c>
    </row>
    <row r="90" spans="1:17" x14ac:dyDescent="0.3">
      <c r="A90" t="s">
        <v>248</v>
      </c>
      <c r="B90" t="s">
        <v>249</v>
      </c>
      <c r="C90" s="10" t="s">
        <v>3744</v>
      </c>
      <c r="D90" s="10" t="s">
        <v>3818</v>
      </c>
      <c r="E90" s="14">
        <v>999</v>
      </c>
      <c r="F90" s="3">
        <v>199</v>
      </c>
      <c r="G90" s="3">
        <f t="shared" si="6"/>
        <v>3996</v>
      </c>
      <c r="H90" s="3">
        <f t="shared" si="5"/>
        <v>796</v>
      </c>
      <c r="I90" s="14">
        <f t="shared" si="7"/>
        <v>3196.8</v>
      </c>
      <c r="J90" s="14">
        <f t="shared" si="8"/>
        <v>-3200</v>
      </c>
      <c r="K90" s="1">
        <v>0.8</v>
      </c>
      <c r="L90">
        <v>4.5</v>
      </c>
      <c r="M90">
        <v>127</v>
      </c>
      <c r="N90" t="s">
        <v>250</v>
      </c>
      <c r="O90">
        <f t="shared" si="9"/>
        <v>4</v>
      </c>
      <c r="P90" s="12" t="e">
        <f>HYPERLINK(#REF!,"Link")</f>
        <v>#REF!</v>
      </c>
      <c r="Q90" s="12" t="e">
        <f>HYPERLINK(#REF!,"Link")</f>
        <v>#REF!</v>
      </c>
    </row>
    <row r="91" spans="1:17" x14ac:dyDescent="0.3">
      <c r="A91" t="s">
        <v>251</v>
      </c>
      <c r="B91" t="s">
        <v>252</v>
      </c>
      <c r="C91" s="9" t="s">
        <v>3768</v>
      </c>
      <c r="D91" s="9" t="s">
        <v>3819</v>
      </c>
      <c r="E91" s="14">
        <v>1999</v>
      </c>
      <c r="F91" s="3">
        <v>649</v>
      </c>
      <c r="G91" s="3">
        <f t="shared" si="6"/>
        <v>7996</v>
      </c>
      <c r="H91" s="3">
        <f t="shared" si="5"/>
        <v>2596</v>
      </c>
      <c r="I91" s="14">
        <f t="shared" si="7"/>
        <v>5437.2800000000007</v>
      </c>
      <c r="J91" s="14">
        <f t="shared" si="8"/>
        <v>-5400</v>
      </c>
      <c r="K91" s="1">
        <v>0.68</v>
      </c>
      <c r="L91">
        <v>4.2</v>
      </c>
      <c r="M91" s="2">
        <v>24269</v>
      </c>
      <c r="N91" t="s">
        <v>11</v>
      </c>
      <c r="O91">
        <f t="shared" si="9"/>
        <v>4</v>
      </c>
      <c r="P91" s="12" t="e">
        <f>HYPERLINK(#REF!,"Link")</f>
        <v>#REF!</v>
      </c>
      <c r="Q91" s="12" t="e">
        <f>HYPERLINK(#REF!,"Link")</f>
        <v>#REF!</v>
      </c>
    </row>
    <row r="92" spans="1:17" x14ac:dyDescent="0.3">
      <c r="A92" t="s">
        <v>253</v>
      </c>
      <c r="B92" t="s">
        <v>254</v>
      </c>
      <c r="C92" s="10" t="s">
        <v>3820</v>
      </c>
      <c r="D92" s="10"/>
      <c r="E92" s="14">
        <v>800</v>
      </c>
      <c r="F92" s="3">
        <v>269</v>
      </c>
      <c r="G92" s="3">
        <f t="shared" si="6"/>
        <v>3200</v>
      </c>
      <c r="H92" s="3">
        <f t="shared" si="5"/>
        <v>1076</v>
      </c>
      <c r="I92" s="14">
        <f t="shared" si="7"/>
        <v>2112</v>
      </c>
      <c r="J92" s="14">
        <f t="shared" si="8"/>
        <v>-2124</v>
      </c>
      <c r="K92" s="1">
        <v>0.66</v>
      </c>
      <c r="L92">
        <v>3.6</v>
      </c>
      <c r="M92" s="2">
        <v>10134</v>
      </c>
      <c r="N92" t="s">
        <v>255</v>
      </c>
      <c r="O92">
        <f t="shared" si="9"/>
        <v>4</v>
      </c>
      <c r="P92" s="12" t="e">
        <f>HYPERLINK(#REF!,"Link")</f>
        <v>#REF!</v>
      </c>
      <c r="Q92" s="12" t="e">
        <f>HYPERLINK(#REF!,"Link")</f>
        <v>#REF!</v>
      </c>
    </row>
    <row r="93" spans="1:17" x14ac:dyDescent="0.3">
      <c r="A93" t="s">
        <v>256</v>
      </c>
      <c r="B93" t="s">
        <v>244</v>
      </c>
      <c r="C93" s="9" t="s">
        <v>3725</v>
      </c>
      <c r="D93" s="9" t="s">
        <v>3726</v>
      </c>
      <c r="E93" s="14">
        <v>31999</v>
      </c>
      <c r="F93" s="3">
        <v>24999</v>
      </c>
      <c r="G93" s="3">
        <f t="shared" si="6"/>
        <v>63998</v>
      </c>
      <c r="H93" s="3">
        <f t="shared" si="5"/>
        <v>49998</v>
      </c>
      <c r="I93" s="14">
        <f t="shared" si="7"/>
        <v>14079.56</v>
      </c>
      <c r="J93" s="14">
        <f t="shared" si="8"/>
        <v>-14000</v>
      </c>
      <c r="K93" s="1">
        <v>0.22</v>
      </c>
      <c r="L93">
        <v>4.2</v>
      </c>
      <c r="M93" s="2">
        <v>34899</v>
      </c>
      <c r="N93" t="s">
        <v>83</v>
      </c>
      <c r="O93">
        <f t="shared" si="9"/>
        <v>2</v>
      </c>
      <c r="P93" s="12" t="e">
        <f>HYPERLINK(#REF!,"Link")</f>
        <v>#REF!</v>
      </c>
      <c r="Q93" s="12" t="e">
        <f>HYPERLINK(#REF!,"Link")</f>
        <v>#REF!</v>
      </c>
    </row>
    <row r="94" spans="1:17" x14ac:dyDescent="0.3">
      <c r="A94" t="s">
        <v>257</v>
      </c>
      <c r="B94" t="s">
        <v>19</v>
      </c>
      <c r="C94" s="10" t="s">
        <v>3821</v>
      </c>
      <c r="D94" s="10"/>
      <c r="E94" s="14">
        <v>699</v>
      </c>
      <c r="F94" s="3">
        <v>299</v>
      </c>
      <c r="G94" s="3">
        <f t="shared" si="6"/>
        <v>2796</v>
      </c>
      <c r="H94" s="3">
        <f t="shared" si="5"/>
        <v>1196</v>
      </c>
      <c r="I94" s="14">
        <f t="shared" si="7"/>
        <v>1593.7199999999998</v>
      </c>
      <c r="J94" s="14">
        <f t="shared" si="8"/>
        <v>-1600</v>
      </c>
      <c r="K94" s="1">
        <v>0.56999999999999995</v>
      </c>
      <c r="L94">
        <v>4.2</v>
      </c>
      <c r="M94" s="2">
        <v>94363</v>
      </c>
      <c r="N94" t="s">
        <v>20</v>
      </c>
      <c r="O94">
        <f t="shared" si="9"/>
        <v>4</v>
      </c>
      <c r="P94" s="12" t="e">
        <f>HYPERLINK(#REF!,"Link")</f>
        <v>#REF!</v>
      </c>
      <c r="Q94" s="12" t="e">
        <f>HYPERLINK(#REF!,"Link")</f>
        <v>#REF!</v>
      </c>
    </row>
    <row r="95" spans="1:17" x14ac:dyDescent="0.3">
      <c r="A95" t="s">
        <v>258</v>
      </c>
      <c r="B95" t="s">
        <v>259</v>
      </c>
      <c r="C95" s="9" t="s">
        <v>3822</v>
      </c>
      <c r="D95" s="9"/>
      <c r="E95" s="14">
        <v>999</v>
      </c>
      <c r="F95" s="3">
        <v>199</v>
      </c>
      <c r="G95" s="3">
        <f t="shared" si="6"/>
        <v>4995</v>
      </c>
      <c r="H95" s="3">
        <f t="shared" si="5"/>
        <v>995</v>
      </c>
      <c r="I95" s="14">
        <f t="shared" si="7"/>
        <v>3996</v>
      </c>
      <c r="J95" s="14">
        <f t="shared" si="8"/>
        <v>-4000</v>
      </c>
      <c r="K95" s="1">
        <v>0.8</v>
      </c>
      <c r="L95">
        <v>4.0999999999999996</v>
      </c>
      <c r="M95">
        <v>425</v>
      </c>
      <c r="N95" t="s">
        <v>260</v>
      </c>
      <c r="O95">
        <f t="shared" si="9"/>
        <v>5</v>
      </c>
      <c r="P95" s="12" t="e">
        <f>HYPERLINK(#REF!,"Link")</f>
        <v>#REF!</v>
      </c>
      <c r="Q95" s="12" t="e">
        <f>HYPERLINK(#REF!,"Link")</f>
        <v>#REF!</v>
      </c>
    </row>
    <row r="96" spans="1:17" x14ac:dyDescent="0.3">
      <c r="A96" t="s">
        <v>261</v>
      </c>
      <c r="B96" t="s">
        <v>262</v>
      </c>
      <c r="C96" s="10" t="s">
        <v>3823</v>
      </c>
      <c r="D96" s="10"/>
      <c r="E96" s="14">
        <v>40990</v>
      </c>
      <c r="F96" s="3">
        <v>18990</v>
      </c>
      <c r="G96" s="3">
        <f t="shared" si="6"/>
        <v>40990</v>
      </c>
      <c r="H96" s="3">
        <f t="shared" si="5"/>
        <v>18990</v>
      </c>
      <c r="I96" s="14">
        <f t="shared" si="7"/>
        <v>22134.600000000002</v>
      </c>
      <c r="J96" s="14">
        <f t="shared" si="8"/>
        <v>-22000</v>
      </c>
      <c r="K96" s="1">
        <v>0.54</v>
      </c>
      <c r="L96">
        <v>4.2</v>
      </c>
      <c r="M96" s="2">
        <v>6659</v>
      </c>
      <c r="N96" t="s">
        <v>263</v>
      </c>
      <c r="O96">
        <f t="shared" si="9"/>
        <v>1</v>
      </c>
      <c r="P96" s="12" t="e">
        <f>HYPERLINK(#REF!,"Link")</f>
        <v>#REF!</v>
      </c>
      <c r="Q96" s="12" t="e">
        <f>HYPERLINK(#REF!,"Link")</f>
        <v>#REF!</v>
      </c>
    </row>
    <row r="97" spans="1:17" x14ac:dyDescent="0.3">
      <c r="A97" t="s">
        <v>264</v>
      </c>
      <c r="B97" t="s">
        <v>265</v>
      </c>
      <c r="C97" s="9" t="s">
        <v>3752</v>
      </c>
      <c r="D97" s="9" t="s">
        <v>3824</v>
      </c>
      <c r="E97" s="14">
        <v>349</v>
      </c>
      <c r="F97" s="3">
        <v>290</v>
      </c>
      <c r="G97" s="3">
        <f t="shared" si="6"/>
        <v>1047</v>
      </c>
      <c r="H97" s="3">
        <f t="shared" si="5"/>
        <v>870</v>
      </c>
      <c r="I97" s="14">
        <f t="shared" si="7"/>
        <v>177.99</v>
      </c>
      <c r="J97" s="14">
        <f t="shared" si="8"/>
        <v>-177</v>
      </c>
      <c r="K97" s="1">
        <v>0.17</v>
      </c>
      <c r="L97">
        <v>3.7</v>
      </c>
      <c r="M97" s="2">
        <v>1977</v>
      </c>
      <c r="N97" t="s">
        <v>266</v>
      </c>
      <c r="O97">
        <f t="shared" si="9"/>
        <v>3</v>
      </c>
      <c r="P97" s="12" t="e">
        <f>HYPERLINK(#REF!,"Link")</f>
        <v>#REF!</v>
      </c>
      <c r="Q97" s="12" t="e">
        <f>HYPERLINK(#REF!,"Link")</f>
        <v>#REF!</v>
      </c>
    </row>
    <row r="98" spans="1:17" x14ac:dyDescent="0.3">
      <c r="A98" t="s">
        <v>267</v>
      </c>
      <c r="B98" t="s">
        <v>268</v>
      </c>
      <c r="C98" s="10" t="s">
        <v>3748</v>
      </c>
      <c r="D98" s="10" t="s">
        <v>3759</v>
      </c>
      <c r="E98" s="14">
        <v>799</v>
      </c>
      <c r="F98" s="3">
        <v>249</v>
      </c>
      <c r="G98" s="3">
        <f t="shared" si="6"/>
        <v>2397</v>
      </c>
      <c r="H98" s="3">
        <f t="shared" si="5"/>
        <v>747</v>
      </c>
      <c r="I98" s="14">
        <f t="shared" si="7"/>
        <v>1653.9299999999998</v>
      </c>
      <c r="J98" s="14">
        <f t="shared" si="8"/>
        <v>-1650</v>
      </c>
      <c r="K98" s="1">
        <v>0.69</v>
      </c>
      <c r="L98">
        <v>3.8</v>
      </c>
      <c r="M98" s="2">
        <v>1079</v>
      </c>
      <c r="N98" t="s">
        <v>269</v>
      </c>
      <c r="O98">
        <f t="shared" si="9"/>
        <v>3</v>
      </c>
      <c r="P98" s="12" t="e">
        <f>HYPERLINK(#REF!,"Link")</f>
        <v>#REF!</v>
      </c>
      <c r="Q98" s="12" t="e">
        <f>HYPERLINK(#REF!,"Link")</f>
        <v>#REF!</v>
      </c>
    </row>
    <row r="99" spans="1:17" x14ac:dyDescent="0.3">
      <c r="A99" t="s">
        <v>270</v>
      </c>
      <c r="B99" t="s">
        <v>271</v>
      </c>
      <c r="C99" s="9" t="s">
        <v>3816</v>
      </c>
      <c r="D99" s="9" t="s">
        <v>3825</v>
      </c>
      <c r="E99" s="14">
        <v>999</v>
      </c>
      <c r="F99" s="3">
        <v>345</v>
      </c>
      <c r="G99" s="3">
        <f t="shared" si="6"/>
        <v>2997</v>
      </c>
      <c r="H99" s="3">
        <f t="shared" si="5"/>
        <v>1035</v>
      </c>
      <c r="I99" s="14">
        <f t="shared" si="7"/>
        <v>1948.0500000000002</v>
      </c>
      <c r="J99" s="14">
        <f t="shared" si="8"/>
        <v>-1962</v>
      </c>
      <c r="K99" s="1">
        <v>0.65</v>
      </c>
      <c r="L99">
        <v>3.7</v>
      </c>
      <c r="M99" s="2">
        <v>1097</v>
      </c>
      <c r="N99" t="s">
        <v>272</v>
      </c>
      <c r="O99">
        <f t="shared" si="9"/>
        <v>3</v>
      </c>
      <c r="P99" s="12" t="e">
        <f>HYPERLINK(#REF!,"Link")</f>
        <v>#REF!</v>
      </c>
      <c r="Q99" s="12" t="e">
        <f>HYPERLINK(#REF!,"Link")</f>
        <v>#REF!</v>
      </c>
    </row>
    <row r="100" spans="1:17" x14ac:dyDescent="0.3">
      <c r="A100" t="s">
        <v>273</v>
      </c>
      <c r="B100" t="s">
        <v>274</v>
      </c>
      <c r="C100" s="10" t="s">
        <v>3768</v>
      </c>
      <c r="D100" s="10" t="s">
        <v>3826</v>
      </c>
      <c r="E100" s="14">
        <v>1899</v>
      </c>
      <c r="F100" s="3">
        <v>1099</v>
      </c>
      <c r="G100" s="3">
        <f t="shared" si="6"/>
        <v>3798</v>
      </c>
      <c r="H100" s="3">
        <f t="shared" si="5"/>
        <v>2198</v>
      </c>
      <c r="I100" s="14">
        <f t="shared" si="7"/>
        <v>1595.1599999999999</v>
      </c>
      <c r="J100" s="14">
        <f t="shared" si="8"/>
        <v>-1600</v>
      </c>
      <c r="K100" s="1">
        <v>0.42</v>
      </c>
      <c r="L100">
        <v>4.5</v>
      </c>
      <c r="M100" s="2">
        <v>22420</v>
      </c>
      <c r="N100" t="s">
        <v>275</v>
      </c>
      <c r="O100">
        <f t="shared" si="9"/>
        <v>2</v>
      </c>
      <c r="P100" s="12" t="e">
        <f>HYPERLINK(#REF!,"Link")</f>
        <v>#REF!</v>
      </c>
      <c r="Q100" s="12" t="e">
        <f>HYPERLINK(#REF!,"Link")</f>
        <v>#REF!</v>
      </c>
    </row>
    <row r="101" spans="1:17" x14ac:dyDescent="0.3">
      <c r="A101" t="s">
        <v>276</v>
      </c>
      <c r="B101" t="s">
        <v>277</v>
      </c>
      <c r="C101" s="9" t="s">
        <v>3768</v>
      </c>
      <c r="D101" s="9"/>
      <c r="E101" s="14">
        <v>1499</v>
      </c>
      <c r="F101" s="3">
        <v>719</v>
      </c>
      <c r="G101" s="3">
        <f t="shared" si="6"/>
        <v>2998</v>
      </c>
      <c r="H101" s="3">
        <f t="shared" si="5"/>
        <v>1438</v>
      </c>
      <c r="I101" s="14">
        <f t="shared" si="7"/>
        <v>1558.96</v>
      </c>
      <c r="J101" s="14">
        <f t="shared" si="8"/>
        <v>-1560</v>
      </c>
      <c r="K101" s="1">
        <v>0.52</v>
      </c>
      <c r="L101">
        <v>4.0999999999999996</v>
      </c>
      <c r="M101" s="2">
        <v>1045</v>
      </c>
      <c r="N101" t="s">
        <v>278</v>
      </c>
      <c r="O101">
        <f t="shared" si="9"/>
        <v>2</v>
      </c>
      <c r="P101" s="12" t="e">
        <f>HYPERLINK(#REF!,"Link")</f>
        <v>#REF!</v>
      </c>
      <c r="Q101" s="12" t="e">
        <f>HYPERLINK(#REF!,"Link")</f>
        <v>#REF!</v>
      </c>
    </row>
    <row r="102" spans="1:17" x14ac:dyDescent="0.3">
      <c r="A102" t="s">
        <v>279</v>
      </c>
      <c r="B102" t="s">
        <v>280</v>
      </c>
      <c r="C102" s="10" t="s">
        <v>3812</v>
      </c>
      <c r="D102" s="10" t="s">
        <v>3760</v>
      </c>
      <c r="E102" s="14">
        <v>1499</v>
      </c>
      <c r="F102" s="3">
        <v>349</v>
      </c>
      <c r="G102" s="3">
        <f t="shared" si="6"/>
        <v>2998</v>
      </c>
      <c r="H102" s="3">
        <f t="shared" si="5"/>
        <v>698</v>
      </c>
      <c r="I102" s="14">
        <f t="shared" si="7"/>
        <v>2308.46</v>
      </c>
      <c r="J102" s="14">
        <f t="shared" si="8"/>
        <v>-2300</v>
      </c>
      <c r="K102" s="1">
        <v>0.77</v>
      </c>
      <c r="L102">
        <v>4.3</v>
      </c>
      <c r="M102" s="2">
        <v>4145</v>
      </c>
      <c r="N102" t="s">
        <v>281</v>
      </c>
      <c r="O102">
        <f t="shared" si="9"/>
        <v>2</v>
      </c>
      <c r="P102" s="12" t="e">
        <f>HYPERLINK(#REF!,"Link")</f>
        <v>#REF!</v>
      </c>
      <c r="Q102" s="12" t="e">
        <f>HYPERLINK(#REF!,"Link")</f>
        <v>#REF!</v>
      </c>
    </row>
    <row r="103" spans="1:17" x14ac:dyDescent="0.3">
      <c r="A103" t="s">
        <v>282</v>
      </c>
      <c r="B103" t="s">
        <v>283</v>
      </c>
      <c r="C103" s="9" t="s">
        <v>3827</v>
      </c>
      <c r="D103" s="9"/>
      <c r="E103" s="14">
        <v>1809</v>
      </c>
      <c r="F103" s="3">
        <v>849</v>
      </c>
      <c r="G103" s="3">
        <f t="shared" si="6"/>
        <v>3618</v>
      </c>
      <c r="H103" s="3">
        <f t="shared" si="5"/>
        <v>1698</v>
      </c>
      <c r="I103" s="14">
        <f t="shared" si="7"/>
        <v>1917.5400000000002</v>
      </c>
      <c r="J103" s="14">
        <f t="shared" si="8"/>
        <v>-1920</v>
      </c>
      <c r="K103" s="1">
        <v>0.53</v>
      </c>
      <c r="L103">
        <v>4.3</v>
      </c>
      <c r="M103" s="2">
        <v>6547</v>
      </c>
      <c r="N103" t="s">
        <v>284</v>
      </c>
      <c r="O103">
        <f t="shared" si="9"/>
        <v>2</v>
      </c>
      <c r="P103" s="12" t="e">
        <f>HYPERLINK(#REF!,"Link")</f>
        <v>#REF!</v>
      </c>
      <c r="Q103" s="12" t="e">
        <f>HYPERLINK(#REF!,"Link")</f>
        <v>#REF!</v>
      </c>
    </row>
    <row r="104" spans="1:17" x14ac:dyDescent="0.3">
      <c r="A104" t="s">
        <v>285</v>
      </c>
      <c r="B104" t="s">
        <v>286</v>
      </c>
      <c r="C104" s="10" t="s">
        <v>3779</v>
      </c>
      <c r="D104" s="10" t="s">
        <v>3828</v>
      </c>
      <c r="E104" s="14">
        <v>899</v>
      </c>
      <c r="F104" s="3">
        <v>299</v>
      </c>
      <c r="G104" s="3">
        <f t="shared" si="6"/>
        <v>3596</v>
      </c>
      <c r="H104" s="3">
        <f t="shared" si="5"/>
        <v>1196</v>
      </c>
      <c r="I104" s="14">
        <f t="shared" si="7"/>
        <v>2409.3200000000002</v>
      </c>
      <c r="J104" s="14">
        <f t="shared" si="8"/>
        <v>-2400</v>
      </c>
      <c r="K104" s="1">
        <v>0.67</v>
      </c>
      <c r="L104">
        <v>4</v>
      </c>
      <c r="M104" s="2">
        <v>1588</v>
      </c>
      <c r="N104" t="s">
        <v>287</v>
      </c>
      <c r="O104">
        <f t="shared" si="9"/>
        <v>4</v>
      </c>
      <c r="P104" s="12" t="e">
        <f>HYPERLINK(#REF!,"Link")</f>
        <v>#REF!</v>
      </c>
      <c r="Q104" s="12" t="e">
        <f>HYPERLINK(#REF!,"Link")</f>
        <v>#REF!</v>
      </c>
    </row>
    <row r="105" spans="1:17" x14ac:dyDescent="0.3">
      <c r="A105" t="s">
        <v>288</v>
      </c>
      <c r="B105" t="s">
        <v>289</v>
      </c>
      <c r="C105" s="9" t="s">
        <v>3829</v>
      </c>
      <c r="D105" s="9"/>
      <c r="E105" s="14">
        <v>29999</v>
      </c>
      <c r="F105" s="3">
        <v>21999</v>
      </c>
      <c r="G105" s="3">
        <f t="shared" si="6"/>
        <v>59998</v>
      </c>
      <c r="H105" s="3">
        <f t="shared" si="5"/>
        <v>43998</v>
      </c>
      <c r="I105" s="14">
        <f t="shared" si="7"/>
        <v>16199.460000000001</v>
      </c>
      <c r="J105" s="14">
        <f t="shared" si="8"/>
        <v>-16000</v>
      </c>
      <c r="K105" s="1">
        <v>0.27</v>
      </c>
      <c r="L105">
        <v>4.2</v>
      </c>
      <c r="M105" s="2">
        <v>32840</v>
      </c>
      <c r="N105" t="s">
        <v>55</v>
      </c>
      <c r="O105">
        <f t="shared" si="9"/>
        <v>2</v>
      </c>
      <c r="P105" s="12" t="e">
        <f>HYPERLINK(#REF!,"Link")</f>
        <v>#REF!</v>
      </c>
      <c r="Q105" s="12" t="e">
        <f>HYPERLINK(#REF!,"Link")</f>
        <v>#REF!</v>
      </c>
    </row>
    <row r="106" spans="1:17" x14ac:dyDescent="0.3">
      <c r="A106" t="s">
        <v>290</v>
      </c>
      <c r="B106" t="s">
        <v>10</v>
      </c>
      <c r="C106" s="10" t="s">
        <v>3744</v>
      </c>
      <c r="D106" s="10" t="s">
        <v>3830</v>
      </c>
      <c r="E106" s="14">
        <v>999</v>
      </c>
      <c r="F106" s="3">
        <v>349</v>
      </c>
      <c r="G106" s="3">
        <f t="shared" si="6"/>
        <v>3996</v>
      </c>
      <c r="H106" s="3">
        <f t="shared" si="5"/>
        <v>1396</v>
      </c>
      <c r="I106" s="14">
        <f t="shared" si="7"/>
        <v>2597.4</v>
      </c>
      <c r="J106" s="14">
        <f t="shared" si="8"/>
        <v>-2600</v>
      </c>
      <c r="K106" s="1">
        <v>0.65</v>
      </c>
      <c r="L106">
        <v>4.2</v>
      </c>
      <c r="M106" s="2">
        <v>13120</v>
      </c>
      <c r="N106" t="s">
        <v>291</v>
      </c>
      <c r="O106">
        <f t="shared" si="9"/>
        <v>4</v>
      </c>
      <c r="P106" s="12" t="e">
        <f>HYPERLINK(#REF!,"Link")</f>
        <v>#REF!</v>
      </c>
      <c r="Q106" s="12" t="e">
        <f>HYPERLINK(#REF!,"Link")</f>
        <v>#REF!</v>
      </c>
    </row>
    <row r="107" spans="1:17" x14ac:dyDescent="0.3">
      <c r="A107" t="s">
        <v>292</v>
      </c>
      <c r="B107" t="s">
        <v>293</v>
      </c>
      <c r="C107" s="9" t="s">
        <v>3831</v>
      </c>
      <c r="D107" s="9"/>
      <c r="E107" s="14">
        <v>999</v>
      </c>
      <c r="F107" s="3">
        <v>399</v>
      </c>
      <c r="G107" s="3">
        <f t="shared" si="6"/>
        <v>2997</v>
      </c>
      <c r="H107" s="3">
        <f t="shared" si="5"/>
        <v>1197</v>
      </c>
      <c r="I107" s="14">
        <f t="shared" si="7"/>
        <v>1798.1999999999998</v>
      </c>
      <c r="J107" s="14">
        <f t="shared" si="8"/>
        <v>-1800</v>
      </c>
      <c r="K107" s="1">
        <v>0.6</v>
      </c>
      <c r="L107">
        <v>4.3</v>
      </c>
      <c r="M107" s="2">
        <v>2806</v>
      </c>
      <c r="N107" t="s">
        <v>294</v>
      </c>
      <c r="O107">
        <f t="shared" si="9"/>
        <v>3</v>
      </c>
      <c r="P107" s="12" t="e">
        <f>HYPERLINK(#REF!,"Link")</f>
        <v>#REF!</v>
      </c>
      <c r="Q107" s="12" t="e">
        <f>HYPERLINK(#REF!,"Link")</f>
        <v>#REF!</v>
      </c>
    </row>
    <row r="108" spans="1:17" x14ac:dyDescent="0.3">
      <c r="A108" t="s">
        <v>295</v>
      </c>
      <c r="B108" t="s">
        <v>296</v>
      </c>
      <c r="C108" s="10" t="s">
        <v>3768</v>
      </c>
      <c r="D108" s="10" t="s">
        <v>3832</v>
      </c>
      <c r="E108" s="14">
        <v>1299</v>
      </c>
      <c r="F108" s="3">
        <v>449</v>
      </c>
      <c r="G108" s="3">
        <f t="shared" si="6"/>
        <v>5196</v>
      </c>
      <c r="H108" s="3">
        <f t="shared" si="5"/>
        <v>1796</v>
      </c>
      <c r="I108" s="14">
        <f t="shared" si="7"/>
        <v>3377.4</v>
      </c>
      <c r="J108" s="14">
        <f t="shared" si="8"/>
        <v>-3400</v>
      </c>
      <c r="K108" s="1">
        <v>0.65</v>
      </c>
      <c r="L108">
        <v>4.2</v>
      </c>
      <c r="M108" s="2">
        <v>24269</v>
      </c>
      <c r="N108" t="s">
        <v>11</v>
      </c>
      <c r="O108">
        <f t="shared" si="9"/>
        <v>4</v>
      </c>
      <c r="P108" s="12" t="e">
        <f>HYPERLINK(#REF!,"Link")</f>
        <v>#REF!</v>
      </c>
      <c r="Q108" s="12" t="e">
        <f>HYPERLINK(#REF!,"Link")</f>
        <v>#REF!</v>
      </c>
    </row>
    <row r="109" spans="1:17" x14ac:dyDescent="0.3">
      <c r="A109" t="s">
        <v>297</v>
      </c>
      <c r="B109" t="s">
        <v>298</v>
      </c>
      <c r="C109" s="9" t="s">
        <v>3816</v>
      </c>
      <c r="D109" s="9" t="s">
        <v>3833</v>
      </c>
      <c r="E109" s="14">
        <v>999</v>
      </c>
      <c r="F109" s="3">
        <v>299</v>
      </c>
      <c r="G109" s="3">
        <f t="shared" si="6"/>
        <v>3996</v>
      </c>
      <c r="H109" s="3">
        <f t="shared" si="5"/>
        <v>1196</v>
      </c>
      <c r="I109" s="14">
        <f t="shared" si="7"/>
        <v>2797.2</v>
      </c>
      <c r="J109" s="14">
        <f t="shared" si="8"/>
        <v>-2800</v>
      </c>
      <c r="K109" s="1">
        <v>0.7</v>
      </c>
      <c r="L109">
        <v>4.3</v>
      </c>
      <c r="M109">
        <v>766</v>
      </c>
      <c r="N109" t="s">
        <v>299</v>
      </c>
      <c r="O109">
        <f t="shared" si="9"/>
        <v>4</v>
      </c>
      <c r="P109" s="12" t="e">
        <f>HYPERLINK(#REF!,"Link")</f>
        <v>#REF!</v>
      </c>
      <c r="Q109" s="12" t="e">
        <f>HYPERLINK(#REF!,"Link")</f>
        <v>#REF!</v>
      </c>
    </row>
    <row r="110" spans="1:17" x14ac:dyDescent="0.3">
      <c r="A110" t="s">
        <v>300</v>
      </c>
      <c r="B110" t="s">
        <v>301</v>
      </c>
      <c r="C110" s="10" t="s">
        <v>3729</v>
      </c>
      <c r="D110" s="10" t="s">
        <v>3834</v>
      </c>
      <c r="E110" s="14">
        <v>65000</v>
      </c>
      <c r="F110" s="3">
        <v>37999</v>
      </c>
      <c r="G110" s="3">
        <f t="shared" si="6"/>
        <v>195000</v>
      </c>
      <c r="H110" s="3">
        <f t="shared" si="5"/>
        <v>113997</v>
      </c>
      <c r="I110" s="14">
        <f t="shared" si="7"/>
        <v>81900</v>
      </c>
      <c r="J110" s="14">
        <f t="shared" si="8"/>
        <v>-81003</v>
      </c>
      <c r="K110" s="1">
        <v>0.42</v>
      </c>
      <c r="L110">
        <v>4.3</v>
      </c>
      <c r="M110" s="2">
        <v>3587</v>
      </c>
      <c r="N110" t="s">
        <v>302</v>
      </c>
      <c r="O110">
        <f t="shared" si="9"/>
        <v>3</v>
      </c>
      <c r="P110" s="12" t="e">
        <f>HYPERLINK(#REF!,"Link")</f>
        <v>#REF!</v>
      </c>
      <c r="Q110" s="12" t="e">
        <f>HYPERLINK(#REF!,"Link")</f>
        <v>#REF!</v>
      </c>
    </row>
    <row r="111" spans="1:17" x14ac:dyDescent="0.3">
      <c r="A111" t="s">
        <v>303</v>
      </c>
      <c r="B111" t="s">
        <v>304</v>
      </c>
      <c r="C111" s="9" t="s">
        <v>3812</v>
      </c>
      <c r="D111" s="9" t="s">
        <v>3835</v>
      </c>
      <c r="E111" s="14">
        <v>800</v>
      </c>
      <c r="F111" s="3">
        <v>99</v>
      </c>
      <c r="G111" s="3">
        <f t="shared" si="6"/>
        <v>3200</v>
      </c>
      <c r="H111" s="3">
        <f t="shared" si="5"/>
        <v>396</v>
      </c>
      <c r="I111" s="14">
        <f t="shared" si="7"/>
        <v>2816</v>
      </c>
      <c r="J111" s="14">
        <f t="shared" si="8"/>
        <v>-2804</v>
      </c>
      <c r="K111" s="1">
        <v>0.88</v>
      </c>
      <c r="L111">
        <v>3.9</v>
      </c>
      <c r="M111" s="2">
        <v>24871</v>
      </c>
      <c r="N111" t="s">
        <v>26</v>
      </c>
      <c r="O111">
        <f t="shared" si="9"/>
        <v>4</v>
      </c>
      <c r="P111" s="12" t="e">
        <f>HYPERLINK(#REF!,"Link")</f>
        <v>#REF!</v>
      </c>
      <c r="Q111" s="12" t="e">
        <f>HYPERLINK(#REF!,"Link")</f>
        <v>#REF!</v>
      </c>
    </row>
    <row r="112" spans="1:17" x14ac:dyDescent="0.3">
      <c r="A112" t="s">
        <v>305</v>
      </c>
      <c r="B112" t="s">
        <v>306</v>
      </c>
      <c r="C112" s="10" t="s">
        <v>3836</v>
      </c>
      <c r="D112" s="10" t="s">
        <v>3837</v>
      </c>
      <c r="E112" s="14">
        <v>20000</v>
      </c>
      <c r="F112" s="3">
        <v>7390</v>
      </c>
      <c r="G112" s="3">
        <f t="shared" si="6"/>
        <v>60000</v>
      </c>
      <c r="H112" s="3">
        <f t="shared" si="5"/>
        <v>22170</v>
      </c>
      <c r="I112" s="14">
        <f t="shared" si="7"/>
        <v>37800</v>
      </c>
      <c r="J112" s="14">
        <f t="shared" si="8"/>
        <v>-37830</v>
      </c>
      <c r="K112" s="1">
        <v>0.63</v>
      </c>
      <c r="L112">
        <v>4.0999999999999996</v>
      </c>
      <c r="M112" s="2">
        <v>2581</v>
      </c>
      <c r="N112" t="s">
        <v>307</v>
      </c>
      <c r="O112">
        <f t="shared" si="9"/>
        <v>3</v>
      </c>
      <c r="P112" s="12" t="e">
        <f>HYPERLINK(#REF!,"Link")</f>
        <v>#REF!</v>
      </c>
      <c r="Q112" s="12" t="e">
        <f>HYPERLINK(#REF!,"Link")</f>
        <v>#REF!</v>
      </c>
    </row>
    <row r="113" spans="1:17" x14ac:dyDescent="0.3">
      <c r="A113" t="s">
        <v>308</v>
      </c>
      <c r="B113" t="s">
        <v>309</v>
      </c>
      <c r="C113" s="9" t="s">
        <v>3838</v>
      </c>
      <c r="D113" s="9"/>
      <c r="E113" s="14">
        <v>999</v>
      </c>
      <c r="F113" s="3">
        <v>273.10000000000002</v>
      </c>
      <c r="G113" s="3">
        <f t="shared" si="6"/>
        <v>2997</v>
      </c>
      <c r="H113" s="3">
        <f t="shared" si="5"/>
        <v>819.30000000000007</v>
      </c>
      <c r="I113" s="14">
        <f t="shared" si="7"/>
        <v>2187.81</v>
      </c>
      <c r="J113" s="14">
        <f t="shared" si="8"/>
        <v>-2177.6999999999998</v>
      </c>
      <c r="K113" s="1">
        <v>0.73</v>
      </c>
      <c r="L113">
        <v>4.3</v>
      </c>
      <c r="M113" s="2">
        <v>20850</v>
      </c>
      <c r="N113" t="s">
        <v>92</v>
      </c>
      <c r="O113">
        <f t="shared" si="9"/>
        <v>3</v>
      </c>
      <c r="P113" s="12" t="e">
        <f>HYPERLINK(#REF!,"Link")</f>
        <v>#REF!</v>
      </c>
      <c r="Q113" s="12" t="e">
        <f>HYPERLINK(#REF!,"Link")</f>
        <v>#REF!</v>
      </c>
    </row>
    <row r="114" spans="1:17" x14ac:dyDescent="0.3">
      <c r="A114" t="s">
        <v>310</v>
      </c>
      <c r="B114" t="s">
        <v>61</v>
      </c>
      <c r="C114" s="10" t="s">
        <v>3839</v>
      </c>
      <c r="D114" s="10"/>
      <c r="E114" s="14">
        <v>23990</v>
      </c>
      <c r="F114" s="3">
        <v>15990</v>
      </c>
      <c r="G114" s="3">
        <f t="shared" si="6"/>
        <v>71970</v>
      </c>
      <c r="H114" s="3">
        <f t="shared" si="5"/>
        <v>47970</v>
      </c>
      <c r="I114" s="14">
        <f t="shared" si="7"/>
        <v>23750.100000000002</v>
      </c>
      <c r="J114" s="14">
        <f t="shared" si="8"/>
        <v>-24000</v>
      </c>
      <c r="K114" s="1">
        <v>0.33</v>
      </c>
      <c r="L114">
        <v>4.3</v>
      </c>
      <c r="M114" s="2">
        <v>1035</v>
      </c>
      <c r="N114" t="s">
        <v>311</v>
      </c>
      <c r="O114">
        <f t="shared" si="9"/>
        <v>3</v>
      </c>
      <c r="P114" s="12" t="e">
        <f>HYPERLINK(#REF!,"Link")</f>
        <v>#REF!</v>
      </c>
      <c r="Q114" s="12" t="e">
        <f>HYPERLINK(#REF!,"Link")</f>
        <v>#REF!</v>
      </c>
    </row>
    <row r="115" spans="1:17" x14ac:dyDescent="0.3">
      <c r="A115" t="s">
        <v>312</v>
      </c>
      <c r="B115" t="s">
        <v>214</v>
      </c>
      <c r="C115" s="9" t="s">
        <v>3836</v>
      </c>
      <c r="D115" s="9" t="s">
        <v>3837</v>
      </c>
      <c r="E115" s="14">
        <v>999</v>
      </c>
      <c r="F115" s="3">
        <v>399</v>
      </c>
      <c r="G115" s="3">
        <f t="shared" si="6"/>
        <v>1998</v>
      </c>
      <c r="H115" s="3">
        <f t="shared" si="5"/>
        <v>798</v>
      </c>
      <c r="I115" s="14">
        <f t="shared" si="7"/>
        <v>1198.8</v>
      </c>
      <c r="J115" s="14">
        <f t="shared" si="8"/>
        <v>-1200</v>
      </c>
      <c r="K115" s="1">
        <v>0.6</v>
      </c>
      <c r="L115">
        <v>4.0999999999999996</v>
      </c>
      <c r="M115" s="2">
        <v>1780</v>
      </c>
      <c r="N115" t="s">
        <v>215</v>
      </c>
      <c r="O115">
        <f t="shared" si="9"/>
        <v>2</v>
      </c>
      <c r="P115" s="12" t="e">
        <f>HYPERLINK(#REF!,"Link")</f>
        <v>#REF!</v>
      </c>
      <c r="Q115" s="12" t="e">
        <f>HYPERLINK(#REF!,"Link")</f>
        <v>#REF!</v>
      </c>
    </row>
    <row r="116" spans="1:17" x14ac:dyDescent="0.3">
      <c r="A116" t="s">
        <v>313</v>
      </c>
      <c r="B116" t="s">
        <v>314</v>
      </c>
      <c r="C116" s="10" t="s">
        <v>3725</v>
      </c>
      <c r="D116" s="10" t="s">
        <v>3726</v>
      </c>
      <c r="E116" s="14">
        <v>1999</v>
      </c>
      <c r="F116" s="3">
        <v>399</v>
      </c>
      <c r="G116" s="3">
        <f t="shared" si="6"/>
        <v>9995</v>
      </c>
      <c r="H116" s="3">
        <f t="shared" si="5"/>
        <v>1995</v>
      </c>
      <c r="I116" s="14">
        <f t="shared" si="7"/>
        <v>7996</v>
      </c>
      <c r="J116" s="14">
        <f t="shared" si="8"/>
        <v>-8000</v>
      </c>
      <c r="K116" s="1">
        <v>0.8</v>
      </c>
      <c r="L116">
        <v>4.5</v>
      </c>
      <c r="M116">
        <v>505</v>
      </c>
      <c r="N116" t="s">
        <v>315</v>
      </c>
      <c r="O116">
        <f t="shared" si="9"/>
        <v>5</v>
      </c>
      <c r="P116" s="12" t="e">
        <f>HYPERLINK(#REF!,"Link")</f>
        <v>#REF!</v>
      </c>
      <c r="Q116" s="12" t="e">
        <f>HYPERLINK(#REF!,"Link")</f>
        <v>#REF!</v>
      </c>
    </row>
    <row r="117" spans="1:17" x14ac:dyDescent="0.3">
      <c r="A117" t="s">
        <v>316</v>
      </c>
      <c r="B117" t="s">
        <v>317</v>
      </c>
      <c r="C117" s="9" t="s">
        <v>3816</v>
      </c>
      <c r="D117" s="9" t="s">
        <v>3840</v>
      </c>
      <c r="E117" s="14">
        <v>399</v>
      </c>
      <c r="F117" s="3">
        <v>210</v>
      </c>
      <c r="G117" s="3">
        <f t="shared" si="6"/>
        <v>798</v>
      </c>
      <c r="H117" s="3">
        <f t="shared" si="5"/>
        <v>420</v>
      </c>
      <c r="I117" s="14">
        <f t="shared" si="7"/>
        <v>375.06</v>
      </c>
      <c r="J117" s="14">
        <f t="shared" si="8"/>
        <v>-378</v>
      </c>
      <c r="K117" s="1">
        <v>0.47</v>
      </c>
      <c r="L117">
        <v>4.0999999999999996</v>
      </c>
      <c r="M117" s="2">
        <v>1717</v>
      </c>
      <c r="N117" t="s">
        <v>318</v>
      </c>
      <c r="O117">
        <f t="shared" si="9"/>
        <v>2</v>
      </c>
      <c r="P117" s="12" t="e">
        <f>HYPERLINK(#REF!,"Link")</f>
        <v>#REF!</v>
      </c>
      <c r="Q117" s="12" t="e">
        <f>HYPERLINK(#REF!,"Link")</f>
        <v>#REF!</v>
      </c>
    </row>
    <row r="118" spans="1:17" x14ac:dyDescent="0.3">
      <c r="A118" t="s">
        <v>319</v>
      </c>
      <c r="B118" t="s">
        <v>320</v>
      </c>
      <c r="C118" s="10" t="s">
        <v>3793</v>
      </c>
      <c r="D118" s="10" t="s">
        <v>3841</v>
      </c>
      <c r="E118" s="14">
        <v>1999</v>
      </c>
      <c r="F118" s="3">
        <v>1299</v>
      </c>
      <c r="G118" s="3">
        <f t="shared" si="6"/>
        <v>3998</v>
      </c>
      <c r="H118" s="3">
        <f t="shared" si="5"/>
        <v>2598</v>
      </c>
      <c r="I118" s="14">
        <f t="shared" si="7"/>
        <v>1399.3</v>
      </c>
      <c r="J118" s="14">
        <f t="shared" si="8"/>
        <v>-1400</v>
      </c>
      <c r="K118" s="1">
        <v>0.35</v>
      </c>
      <c r="L118">
        <v>3.6</v>
      </c>
      <c r="M118">
        <v>590</v>
      </c>
      <c r="N118" t="s">
        <v>321</v>
      </c>
      <c r="O118">
        <f t="shared" si="9"/>
        <v>2</v>
      </c>
      <c r="P118" s="12" t="e">
        <f>HYPERLINK(#REF!,"Link")</f>
        <v>#REF!</v>
      </c>
      <c r="Q118" s="12" t="e">
        <f>HYPERLINK(#REF!,"Link")</f>
        <v>#REF!</v>
      </c>
    </row>
    <row r="119" spans="1:17" x14ac:dyDescent="0.3">
      <c r="A119" t="s">
        <v>322</v>
      </c>
      <c r="B119" t="s">
        <v>323</v>
      </c>
      <c r="C119" s="9" t="s">
        <v>3744</v>
      </c>
      <c r="D119" s="9" t="s">
        <v>3842</v>
      </c>
      <c r="E119" s="14">
        <v>999</v>
      </c>
      <c r="F119" s="3">
        <v>347</v>
      </c>
      <c r="G119" s="3">
        <f t="shared" si="6"/>
        <v>1998</v>
      </c>
      <c r="H119" s="3">
        <f t="shared" si="5"/>
        <v>694</v>
      </c>
      <c r="I119" s="14">
        <f t="shared" si="7"/>
        <v>1298.7</v>
      </c>
      <c r="J119" s="14">
        <f t="shared" si="8"/>
        <v>-1304</v>
      </c>
      <c r="K119" s="1">
        <v>0.65</v>
      </c>
      <c r="L119">
        <v>3.5</v>
      </c>
      <c r="M119" s="2">
        <v>1121</v>
      </c>
      <c r="N119" t="s">
        <v>324</v>
      </c>
      <c r="O119">
        <f t="shared" si="9"/>
        <v>2</v>
      </c>
      <c r="P119" s="12" t="e">
        <f>HYPERLINK(#REF!,"Link")</f>
        <v>#REF!</v>
      </c>
      <c r="Q119" s="12" t="e">
        <f>HYPERLINK(#REF!,"Link")</f>
        <v>#REF!</v>
      </c>
    </row>
    <row r="120" spans="1:17" x14ac:dyDescent="0.3">
      <c r="A120" t="s">
        <v>325</v>
      </c>
      <c r="B120" t="s">
        <v>326</v>
      </c>
      <c r="C120" s="10" t="s">
        <v>3843</v>
      </c>
      <c r="D120" s="10"/>
      <c r="E120" s="14">
        <v>999</v>
      </c>
      <c r="F120" s="3">
        <v>149</v>
      </c>
      <c r="G120" s="3">
        <f t="shared" si="6"/>
        <v>2997</v>
      </c>
      <c r="H120" s="3">
        <f t="shared" si="5"/>
        <v>447</v>
      </c>
      <c r="I120" s="14">
        <f t="shared" si="7"/>
        <v>2547.4499999999998</v>
      </c>
      <c r="J120" s="14">
        <f t="shared" si="8"/>
        <v>-2550</v>
      </c>
      <c r="K120" s="1">
        <v>0.85</v>
      </c>
      <c r="L120">
        <v>4</v>
      </c>
      <c r="M120" s="2">
        <v>1313</v>
      </c>
      <c r="N120" t="s">
        <v>183</v>
      </c>
      <c r="O120">
        <f t="shared" si="9"/>
        <v>3</v>
      </c>
      <c r="P120" s="12" t="e">
        <f>HYPERLINK(#REF!,"Link")</f>
        <v>#REF!</v>
      </c>
      <c r="Q120" s="12" t="e">
        <f>HYPERLINK(#REF!,"Link")</f>
        <v>#REF!</v>
      </c>
    </row>
    <row r="121" spans="1:17" x14ac:dyDescent="0.3">
      <c r="A121" t="s">
        <v>327</v>
      </c>
      <c r="B121" t="s">
        <v>328</v>
      </c>
      <c r="C121" s="9" t="s">
        <v>3839</v>
      </c>
      <c r="D121" s="9" t="s">
        <v>3844</v>
      </c>
      <c r="E121" s="14">
        <v>899</v>
      </c>
      <c r="F121" s="3">
        <v>228</v>
      </c>
      <c r="G121" s="3">
        <f t="shared" si="6"/>
        <v>1798</v>
      </c>
      <c r="H121" s="3">
        <f t="shared" si="5"/>
        <v>456</v>
      </c>
      <c r="I121" s="14">
        <f t="shared" si="7"/>
        <v>1348.5</v>
      </c>
      <c r="J121" s="14">
        <f t="shared" si="8"/>
        <v>-1342</v>
      </c>
      <c r="K121" s="1">
        <v>0.75</v>
      </c>
      <c r="L121">
        <v>3.8</v>
      </c>
      <c r="M121">
        <v>132</v>
      </c>
      <c r="N121" t="s">
        <v>329</v>
      </c>
      <c r="O121">
        <f t="shared" si="9"/>
        <v>2</v>
      </c>
      <c r="P121" s="12" t="e">
        <f>HYPERLINK(#REF!,"Link")</f>
        <v>#REF!</v>
      </c>
      <c r="Q121" s="12" t="e">
        <f>HYPERLINK(#REF!,"Link")</f>
        <v>#REF!</v>
      </c>
    </row>
    <row r="122" spans="1:17" x14ac:dyDescent="0.3">
      <c r="A122" t="s">
        <v>330</v>
      </c>
      <c r="B122" t="s">
        <v>331</v>
      </c>
      <c r="C122" s="10" t="s">
        <v>3845</v>
      </c>
      <c r="D122" s="10" t="s">
        <v>3846</v>
      </c>
      <c r="E122" s="14">
        <v>1999</v>
      </c>
      <c r="F122" s="3">
        <v>1599</v>
      </c>
      <c r="G122" s="3">
        <f t="shared" si="6"/>
        <v>7996</v>
      </c>
      <c r="H122" s="3">
        <f t="shared" si="5"/>
        <v>6396</v>
      </c>
      <c r="I122" s="14">
        <f t="shared" si="7"/>
        <v>1599.2</v>
      </c>
      <c r="J122" s="14">
        <f t="shared" si="8"/>
        <v>-1600</v>
      </c>
      <c r="K122" s="1">
        <v>0.2</v>
      </c>
      <c r="L122">
        <v>4.4000000000000004</v>
      </c>
      <c r="M122" s="2">
        <v>1951</v>
      </c>
      <c r="N122" t="s">
        <v>332</v>
      </c>
      <c r="O122">
        <f t="shared" si="9"/>
        <v>4</v>
      </c>
      <c r="P122" s="12" t="e">
        <f>HYPERLINK(#REF!,"Link")</f>
        <v>#REF!</v>
      </c>
      <c r="Q122" s="12" t="e">
        <f>HYPERLINK(#REF!,"Link")</f>
        <v>#REF!</v>
      </c>
    </row>
    <row r="123" spans="1:17" x14ac:dyDescent="0.3">
      <c r="A123" t="s">
        <v>333</v>
      </c>
      <c r="B123" t="s">
        <v>334</v>
      </c>
      <c r="C123" s="9" t="s">
        <v>3793</v>
      </c>
      <c r="D123" s="9" t="s">
        <v>3847</v>
      </c>
      <c r="E123" s="14">
        <v>3999</v>
      </c>
      <c r="F123" s="3">
        <v>1499</v>
      </c>
      <c r="G123" s="3">
        <f t="shared" si="6"/>
        <v>11997</v>
      </c>
      <c r="H123" s="3">
        <f t="shared" si="5"/>
        <v>4497</v>
      </c>
      <c r="I123" s="14">
        <f t="shared" si="7"/>
        <v>7558.11</v>
      </c>
      <c r="J123" s="14">
        <f t="shared" si="8"/>
        <v>-7500</v>
      </c>
      <c r="K123" s="1">
        <v>0.63</v>
      </c>
      <c r="L123">
        <v>3.7</v>
      </c>
      <c r="M123">
        <v>37</v>
      </c>
      <c r="N123" t="s">
        <v>335</v>
      </c>
      <c r="O123">
        <f t="shared" si="9"/>
        <v>3</v>
      </c>
      <c r="P123" s="12" t="e">
        <f>HYPERLINK(#REF!,"Link")</f>
        <v>#REF!</v>
      </c>
      <c r="Q123" s="12" t="e">
        <f>HYPERLINK(#REF!,"Link")</f>
        <v>#REF!</v>
      </c>
    </row>
    <row r="124" spans="1:17" x14ac:dyDescent="0.3">
      <c r="A124" t="s">
        <v>336</v>
      </c>
      <c r="B124" t="s">
        <v>158</v>
      </c>
      <c r="C124" s="10" t="s">
        <v>3848</v>
      </c>
      <c r="D124" s="10"/>
      <c r="E124" s="14">
        <v>15999</v>
      </c>
      <c r="F124" s="3">
        <v>8499</v>
      </c>
      <c r="G124" s="3">
        <f t="shared" si="6"/>
        <v>31998</v>
      </c>
      <c r="H124" s="3">
        <f t="shared" si="5"/>
        <v>16998</v>
      </c>
      <c r="I124" s="14">
        <f t="shared" si="7"/>
        <v>15039.06</v>
      </c>
      <c r="J124" s="14">
        <f t="shared" si="8"/>
        <v>-15000</v>
      </c>
      <c r="K124" s="1">
        <v>0.47</v>
      </c>
      <c r="L124">
        <v>4.3</v>
      </c>
      <c r="M124">
        <v>592</v>
      </c>
      <c r="N124" t="s">
        <v>337</v>
      </c>
      <c r="O124">
        <f t="shared" si="9"/>
        <v>2</v>
      </c>
      <c r="P124" s="12" t="e">
        <f>HYPERLINK(#REF!,"Link")</f>
        <v>#REF!</v>
      </c>
      <c r="Q124" s="12" t="e">
        <f>HYPERLINK(#REF!,"Link")</f>
        <v>#REF!</v>
      </c>
    </row>
    <row r="125" spans="1:17" x14ac:dyDescent="0.3">
      <c r="A125" t="s">
        <v>338</v>
      </c>
      <c r="B125" t="s">
        <v>339</v>
      </c>
      <c r="C125" s="9" t="s">
        <v>3727</v>
      </c>
      <c r="D125" s="9" t="s">
        <v>3849</v>
      </c>
      <c r="E125" s="14">
        <v>44990</v>
      </c>
      <c r="F125" s="3">
        <v>20990</v>
      </c>
      <c r="G125" s="3">
        <f t="shared" si="6"/>
        <v>134970</v>
      </c>
      <c r="H125" s="3">
        <f t="shared" si="5"/>
        <v>62970</v>
      </c>
      <c r="I125" s="14">
        <f t="shared" si="7"/>
        <v>71534.100000000006</v>
      </c>
      <c r="J125" s="14">
        <f t="shared" si="8"/>
        <v>-72000</v>
      </c>
      <c r="K125" s="1">
        <v>0.53</v>
      </c>
      <c r="L125">
        <v>4.0999999999999996</v>
      </c>
      <c r="M125" s="2">
        <v>1259</v>
      </c>
      <c r="N125" t="s">
        <v>340</v>
      </c>
      <c r="O125">
        <f t="shared" si="9"/>
        <v>3</v>
      </c>
      <c r="P125" s="12" t="e">
        <f>HYPERLINK(#REF!,"Link")</f>
        <v>#REF!</v>
      </c>
      <c r="Q125" s="12" t="e">
        <f>HYPERLINK(#REF!,"Link")</f>
        <v>#REF!</v>
      </c>
    </row>
    <row r="126" spans="1:17" x14ac:dyDescent="0.3">
      <c r="A126" t="s">
        <v>341</v>
      </c>
      <c r="B126" t="s">
        <v>342</v>
      </c>
      <c r="C126" s="10" t="s">
        <v>3790</v>
      </c>
      <c r="D126" s="10" t="s">
        <v>3850</v>
      </c>
      <c r="E126" s="14">
        <v>44999</v>
      </c>
      <c r="F126" s="3">
        <v>32999</v>
      </c>
      <c r="G126" s="3">
        <f t="shared" si="6"/>
        <v>134997</v>
      </c>
      <c r="H126" s="3">
        <f t="shared" si="5"/>
        <v>98997</v>
      </c>
      <c r="I126" s="14">
        <f t="shared" si="7"/>
        <v>36449.19</v>
      </c>
      <c r="J126" s="14">
        <f t="shared" si="8"/>
        <v>-36000</v>
      </c>
      <c r="K126" s="1">
        <v>0.27</v>
      </c>
      <c r="L126">
        <v>4.2</v>
      </c>
      <c r="M126" s="2">
        <v>45238</v>
      </c>
      <c r="N126" t="s">
        <v>189</v>
      </c>
      <c r="O126">
        <f t="shared" si="9"/>
        <v>3</v>
      </c>
      <c r="P126" s="12" t="e">
        <f>HYPERLINK(#REF!,"Link")</f>
        <v>#REF!</v>
      </c>
      <c r="Q126" s="12" t="e">
        <f>HYPERLINK(#REF!,"Link")</f>
        <v>#REF!</v>
      </c>
    </row>
    <row r="127" spans="1:17" x14ac:dyDescent="0.3">
      <c r="A127" t="s">
        <v>343</v>
      </c>
      <c r="B127" t="s">
        <v>344</v>
      </c>
      <c r="C127" s="9" t="s">
        <v>3729</v>
      </c>
      <c r="D127" s="9" t="s">
        <v>3851</v>
      </c>
      <c r="E127" s="14">
        <v>1700</v>
      </c>
      <c r="F127" s="3">
        <v>799</v>
      </c>
      <c r="G127" s="3">
        <f t="shared" si="6"/>
        <v>5100</v>
      </c>
      <c r="H127" s="3">
        <f t="shared" si="5"/>
        <v>2397</v>
      </c>
      <c r="I127" s="14">
        <f t="shared" si="7"/>
        <v>2703</v>
      </c>
      <c r="J127" s="14">
        <f t="shared" si="8"/>
        <v>-2703</v>
      </c>
      <c r="K127" s="1">
        <v>0.53</v>
      </c>
      <c r="L127">
        <v>4.0999999999999996</v>
      </c>
      <c r="M127" s="2">
        <v>28638</v>
      </c>
      <c r="N127" t="s">
        <v>345</v>
      </c>
      <c r="O127">
        <f t="shared" si="9"/>
        <v>3</v>
      </c>
      <c r="P127" s="12" t="e">
        <f>HYPERLINK(#REF!,"Link")</f>
        <v>#REF!</v>
      </c>
      <c r="Q127" s="12" t="e">
        <f>HYPERLINK(#REF!,"Link")</f>
        <v>#REF!</v>
      </c>
    </row>
    <row r="128" spans="1:17" x14ac:dyDescent="0.3">
      <c r="A128" t="s">
        <v>346</v>
      </c>
      <c r="B128" t="s">
        <v>347</v>
      </c>
      <c r="C128" s="10" t="s">
        <v>3787</v>
      </c>
      <c r="D128" s="10" t="s">
        <v>3852</v>
      </c>
      <c r="E128" s="14">
        <v>595</v>
      </c>
      <c r="F128" s="3">
        <v>229</v>
      </c>
      <c r="G128" s="3">
        <f t="shared" si="6"/>
        <v>1190</v>
      </c>
      <c r="H128" s="3">
        <f t="shared" si="5"/>
        <v>458</v>
      </c>
      <c r="I128" s="14">
        <f t="shared" si="7"/>
        <v>737.8</v>
      </c>
      <c r="J128" s="14">
        <f t="shared" si="8"/>
        <v>-732</v>
      </c>
      <c r="K128" s="1">
        <v>0.62</v>
      </c>
      <c r="L128">
        <v>4.3</v>
      </c>
      <c r="M128" s="2">
        <v>12835</v>
      </c>
      <c r="N128" t="s">
        <v>348</v>
      </c>
      <c r="O128">
        <f t="shared" si="9"/>
        <v>2</v>
      </c>
      <c r="P128" s="12" t="e">
        <f>HYPERLINK(#REF!,"Link")</f>
        <v>#REF!</v>
      </c>
      <c r="Q128" s="12" t="e">
        <f>HYPERLINK(#REF!,"Link")</f>
        <v>#REF!</v>
      </c>
    </row>
    <row r="129" spans="1:17" x14ac:dyDescent="0.3">
      <c r="A129" t="s">
        <v>349</v>
      </c>
      <c r="B129" t="s">
        <v>350</v>
      </c>
      <c r="C129" s="9" t="s">
        <v>3853</v>
      </c>
      <c r="D129" s="9"/>
      <c r="E129" s="14">
        <v>27990</v>
      </c>
      <c r="F129" s="3">
        <v>9999</v>
      </c>
      <c r="G129" s="3">
        <f t="shared" si="6"/>
        <v>55980</v>
      </c>
      <c r="H129" s="3">
        <f t="shared" si="5"/>
        <v>19998</v>
      </c>
      <c r="I129" s="14">
        <f t="shared" si="7"/>
        <v>35827.200000000004</v>
      </c>
      <c r="J129" s="14">
        <f t="shared" si="8"/>
        <v>-35982</v>
      </c>
      <c r="K129" s="1">
        <v>0.64</v>
      </c>
      <c r="L129">
        <v>4.2</v>
      </c>
      <c r="M129" s="2">
        <v>1269</v>
      </c>
      <c r="N129" t="s">
        <v>351</v>
      </c>
      <c r="O129">
        <f t="shared" si="9"/>
        <v>2</v>
      </c>
      <c r="P129" s="12" t="e">
        <f>HYPERLINK(#REF!,"Link")</f>
        <v>#REF!</v>
      </c>
      <c r="Q129" s="12" t="e">
        <f>HYPERLINK(#REF!,"Link")</f>
        <v>#REF!</v>
      </c>
    </row>
    <row r="130" spans="1:17" x14ac:dyDescent="0.3">
      <c r="A130" t="s">
        <v>352</v>
      </c>
      <c r="B130" t="s">
        <v>353</v>
      </c>
      <c r="C130" s="10"/>
      <c r="D130" s="10"/>
      <c r="E130" s="14">
        <v>599</v>
      </c>
      <c r="F130" s="3">
        <v>349</v>
      </c>
      <c r="G130" s="3">
        <f t="shared" si="6"/>
        <v>1198</v>
      </c>
      <c r="H130" s="3">
        <f t="shared" ref="H130:H193" si="10">F130*O130</f>
        <v>698</v>
      </c>
      <c r="I130" s="14">
        <f t="shared" si="7"/>
        <v>503.15999999999997</v>
      </c>
      <c r="J130" s="14">
        <f t="shared" si="8"/>
        <v>-500</v>
      </c>
      <c r="K130" s="1">
        <v>0.42</v>
      </c>
      <c r="L130">
        <v>4.2</v>
      </c>
      <c r="M130">
        <v>284</v>
      </c>
      <c r="N130" t="s">
        <v>354</v>
      </c>
      <c r="O130">
        <f t="shared" si="9"/>
        <v>2</v>
      </c>
      <c r="P130" s="12" t="e">
        <f>HYPERLINK(#REF!,"Link")</f>
        <v>#REF!</v>
      </c>
      <c r="Q130" s="12" t="e">
        <f>HYPERLINK(#REF!,"Link")</f>
        <v>#REF!</v>
      </c>
    </row>
    <row r="131" spans="1:17" x14ac:dyDescent="0.3">
      <c r="A131" t="s">
        <v>355</v>
      </c>
      <c r="B131" t="s">
        <v>356</v>
      </c>
      <c r="C131" s="9" t="s">
        <v>3854</v>
      </c>
      <c r="D131" s="9"/>
      <c r="E131" s="14">
        <v>1200</v>
      </c>
      <c r="F131" s="3">
        <v>489</v>
      </c>
      <c r="G131" s="3">
        <f t="shared" ref="G131:G194" si="11">E131*O131</f>
        <v>1200</v>
      </c>
      <c r="H131" s="3">
        <f t="shared" si="10"/>
        <v>489</v>
      </c>
      <c r="I131" s="14">
        <f t="shared" ref="I131:I194" si="12">(E131*K131)*O131</f>
        <v>708</v>
      </c>
      <c r="J131" s="14">
        <f t="shared" ref="J131:J194" si="13">H131-G131</f>
        <v>-711</v>
      </c>
      <c r="K131" s="1">
        <v>0.59</v>
      </c>
      <c r="L131">
        <v>4.4000000000000004</v>
      </c>
      <c r="M131" s="2">
        <v>69538</v>
      </c>
      <c r="N131" t="s">
        <v>357</v>
      </c>
      <c r="O131">
        <f t="shared" ref="O131:O194" si="14">LEN(N131)-LEN(SUBSTITUTE(N131,",",""))+1</f>
        <v>1</v>
      </c>
      <c r="P131" s="12" t="e">
        <f>HYPERLINK(#REF!,"Link")</f>
        <v>#REF!</v>
      </c>
      <c r="Q131" s="12" t="e">
        <f>HYPERLINK(#REF!,"Link")</f>
        <v>#REF!</v>
      </c>
    </row>
    <row r="132" spans="1:17" x14ac:dyDescent="0.3">
      <c r="A132" t="s">
        <v>358</v>
      </c>
      <c r="B132" t="s">
        <v>359</v>
      </c>
      <c r="C132" s="10" t="s">
        <v>3795</v>
      </c>
      <c r="D132" s="10"/>
      <c r="E132" s="14">
        <v>34990</v>
      </c>
      <c r="F132" s="3">
        <v>23999</v>
      </c>
      <c r="G132" s="3">
        <f t="shared" si="11"/>
        <v>174950</v>
      </c>
      <c r="H132" s="3">
        <f t="shared" si="10"/>
        <v>119995</v>
      </c>
      <c r="I132" s="14">
        <f t="shared" si="12"/>
        <v>54234.5</v>
      </c>
      <c r="J132" s="14">
        <f t="shared" si="13"/>
        <v>-54955</v>
      </c>
      <c r="K132" s="1">
        <v>0.31</v>
      </c>
      <c r="L132">
        <v>4.3</v>
      </c>
      <c r="M132" s="2">
        <v>4703</v>
      </c>
      <c r="N132" t="s">
        <v>77</v>
      </c>
      <c r="O132">
        <f t="shared" si="14"/>
        <v>5</v>
      </c>
      <c r="P132" s="12" t="e">
        <f>HYPERLINK(#REF!,"Link")</f>
        <v>#REF!</v>
      </c>
      <c r="Q132" s="12" t="e">
        <f>HYPERLINK(#REF!,"Link")</f>
        <v>#REF!</v>
      </c>
    </row>
    <row r="133" spans="1:17" x14ac:dyDescent="0.3">
      <c r="A133" t="s">
        <v>360</v>
      </c>
      <c r="B133" t="s">
        <v>241</v>
      </c>
      <c r="C133" s="9" t="s">
        <v>3790</v>
      </c>
      <c r="D133" s="9" t="s">
        <v>3855</v>
      </c>
      <c r="E133" s="14">
        <v>999</v>
      </c>
      <c r="F133" s="3">
        <v>399</v>
      </c>
      <c r="G133" s="3">
        <f t="shared" si="11"/>
        <v>2997</v>
      </c>
      <c r="H133" s="3">
        <f t="shared" si="10"/>
        <v>1197</v>
      </c>
      <c r="I133" s="14">
        <f t="shared" si="12"/>
        <v>1798.1999999999998</v>
      </c>
      <c r="J133" s="14">
        <f t="shared" si="13"/>
        <v>-1800</v>
      </c>
      <c r="K133" s="1">
        <v>0.6</v>
      </c>
      <c r="L133">
        <v>4.3</v>
      </c>
      <c r="M133" s="2">
        <v>2806</v>
      </c>
      <c r="N133" t="s">
        <v>294</v>
      </c>
      <c r="O133">
        <f t="shared" si="14"/>
        <v>3</v>
      </c>
      <c r="P133" s="12" t="e">
        <f>HYPERLINK(#REF!,"Link")</f>
        <v>#REF!</v>
      </c>
      <c r="Q133" s="12" t="e">
        <f>HYPERLINK(#REF!,"Link")</f>
        <v>#REF!</v>
      </c>
    </row>
    <row r="134" spans="1:17" x14ac:dyDescent="0.3">
      <c r="A134" t="s">
        <v>361</v>
      </c>
      <c r="B134" t="s">
        <v>362</v>
      </c>
      <c r="C134" s="10" t="s">
        <v>3856</v>
      </c>
      <c r="D134" s="10" t="s">
        <v>3857</v>
      </c>
      <c r="E134" s="14">
        <v>1299</v>
      </c>
      <c r="F134" s="3">
        <v>349</v>
      </c>
      <c r="G134" s="3">
        <f t="shared" si="11"/>
        <v>5196</v>
      </c>
      <c r="H134" s="3">
        <f t="shared" si="10"/>
        <v>1396</v>
      </c>
      <c r="I134" s="14">
        <f t="shared" si="12"/>
        <v>3793.08</v>
      </c>
      <c r="J134" s="14">
        <f t="shared" si="13"/>
        <v>-3800</v>
      </c>
      <c r="K134" s="1">
        <v>0.73</v>
      </c>
      <c r="L134">
        <v>4</v>
      </c>
      <c r="M134" s="2">
        <v>3295</v>
      </c>
      <c r="N134" t="s">
        <v>363</v>
      </c>
      <c r="O134">
        <f t="shared" si="14"/>
        <v>4</v>
      </c>
      <c r="P134" s="12" t="e">
        <f>HYPERLINK(#REF!,"Link")</f>
        <v>#REF!</v>
      </c>
      <c r="Q134" s="12" t="e">
        <f>HYPERLINK(#REF!,"Link")</f>
        <v>#REF!</v>
      </c>
    </row>
    <row r="135" spans="1:17" x14ac:dyDescent="0.3">
      <c r="A135" t="s">
        <v>364</v>
      </c>
      <c r="B135" t="s">
        <v>365</v>
      </c>
      <c r="C135" s="9" t="s">
        <v>3858</v>
      </c>
      <c r="D135" s="9"/>
      <c r="E135" s="14">
        <v>299</v>
      </c>
      <c r="F135" s="3">
        <v>179</v>
      </c>
      <c r="G135" s="3">
        <f t="shared" si="11"/>
        <v>598</v>
      </c>
      <c r="H135" s="3">
        <f t="shared" si="10"/>
        <v>358</v>
      </c>
      <c r="I135" s="14">
        <f t="shared" si="12"/>
        <v>239.20000000000002</v>
      </c>
      <c r="J135" s="14">
        <f t="shared" si="13"/>
        <v>-240</v>
      </c>
      <c r="K135" s="1">
        <v>0.4</v>
      </c>
      <c r="L135">
        <v>3.9</v>
      </c>
      <c r="M135">
        <v>81</v>
      </c>
      <c r="N135" t="s">
        <v>366</v>
      </c>
      <c r="O135">
        <f t="shared" si="14"/>
        <v>2</v>
      </c>
      <c r="P135" s="12" t="e">
        <f>HYPERLINK(#REF!,"Link")</f>
        <v>#REF!</v>
      </c>
      <c r="Q135" s="12" t="e">
        <f>HYPERLINK(#REF!,"Link")</f>
        <v>#REF!</v>
      </c>
    </row>
    <row r="136" spans="1:17" x14ac:dyDescent="0.3">
      <c r="A136" t="s">
        <v>367</v>
      </c>
      <c r="B136" t="s">
        <v>368</v>
      </c>
      <c r="C136" s="10" t="s">
        <v>3859</v>
      </c>
      <c r="D136" s="10" t="s">
        <v>3860</v>
      </c>
      <c r="E136" s="14">
        <v>1500</v>
      </c>
      <c r="F136" s="3">
        <v>689</v>
      </c>
      <c r="G136" s="3">
        <f t="shared" si="11"/>
        <v>4500</v>
      </c>
      <c r="H136" s="3">
        <f t="shared" si="10"/>
        <v>2067</v>
      </c>
      <c r="I136" s="14">
        <f t="shared" si="12"/>
        <v>2430</v>
      </c>
      <c r="J136" s="14">
        <f t="shared" si="13"/>
        <v>-2433</v>
      </c>
      <c r="K136" s="1">
        <v>0.54</v>
      </c>
      <c r="L136">
        <v>4.2</v>
      </c>
      <c r="M136" s="2">
        <v>42301</v>
      </c>
      <c r="N136" t="s">
        <v>369</v>
      </c>
      <c r="O136">
        <f t="shared" si="14"/>
        <v>3</v>
      </c>
      <c r="P136" s="12" t="e">
        <f>HYPERLINK(#REF!,"Link")</f>
        <v>#REF!</v>
      </c>
      <c r="Q136" s="12" t="e">
        <f>HYPERLINK(#REF!,"Link")</f>
        <v>#REF!</v>
      </c>
    </row>
    <row r="137" spans="1:17" x14ac:dyDescent="0.3">
      <c r="A137" t="s">
        <v>370</v>
      </c>
      <c r="B137" t="s">
        <v>371</v>
      </c>
      <c r="C137" s="9" t="s">
        <v>3861</v>
      </c>
      <c r="D137" s="9" t="s">
        <v>3862</v>
      </c>
      <c r="E137" s="14">
        <v>49990</v>
      </c>
      <c r="F137" s="3">
        <v>30990</v>
      </c>
      <c r="G137" s="3">
        <f t="shared" si="11"/>
        <v>149970</v>
      </c>
      <c r="H137" s="3">
        <f t="shared" si="10"/>
        <v>92970</v>
      </c>
      <c r="I137" s="14">
        <f t="shared" si="12"/>
        <v>56988.600000000006</v>
      </c>
      <c r="J137" s="14">
        <f t="shared" si="13"/>
        <v>-57000</v>
      </c>
      <c r="K137" s="1">
        <v>0.38</v>
      </c>
      <c r="L137">
        <v>4.3</v>
      </c>
      <c r="M137" s="2">
        <v>1376</v>
      </c>
      <c r="N137" t="s">
        <v>372</v>
      </c>
      <c r="O137">
        <f t="shared" si="14"/>
        <v>3</v>
      </c>
      <c r="P137" s="12" t="e">
        <f>HYPERLINK(#REF!,"Link")</f>
        <v>#REF!</v>
      </c>
      <c r="Q137" s="12" t="e">
        <f>HYPERLINK(#REF!,"Link")</f>
        <v>#REF!</v>
      </c>
    </row>
    <row r="138" spans="1:17" x14ac:dyDescent="0.3">
      <c r="A138" t="s">
        <v>373</v>
      </c>
      <c r="B138" t="s">
        <v>374</v>
      </c>
      <c r="C138" s="10" t="s">
        <v>3861</v>
      </c>
      <c r="D138" s="10" t="s">
        <v>3863</v>
      </c>
      <c r="E138" s="14">
        <v>931</v>
      </c>
      <c r="F138" s="3">
        <v>249</v>
      </c>
      <c r="G138" s="3">
        <f t="shared" si="11"/>
        <v>4655</v>
      </c>
      <c r="H138" s="3">
        <f t="shared" si="10"/>
        <v>1245</v>
      </c>
      <c r="I138" s="14">
        <f t="shared" si="12"/>
        <v>3398.15</v>
      </c>
      <c r="J138" s="14">
        <f t="shared" si="13"/>
        <v>-3410</v>
      </c>
      <c r="K138" s="1">
        <v>0.73</v>
      </c>
      <c r="L138">
        <v>3.9</v>
      </c>
      <c r="M138" s="2">
        <v>1075</v>
      </c>
      <c r="N138" t="s">
        <v>107</v>
      </c>
      <c r="O138">
        <f t="shared" si="14"/>
        <v>5</v>
      </c>
      <c r="P138" s="12" t="e">
        <f>HYPERLINK(#REF!,"Link")</f>
        <v>#REF!</v>
      </c>
      <c r="Q138" s="12" t="e">
        <f>HYPERLINK(#REF!,"Link")</f>
        <v>#REF!</v>
      </c>
    </row>
    <row r="139" spans="1:17" x14ac:dyDescent="0.3">
      <c r="A139" t="s">
        <v>375</v>
      </c>
      <c r="B139" t="s">
        <v>376</v>
      </c>
      <c r="C139" s="9" t="s">
        <v>3864</v>
      </c>
      <c r="D139" s="9" t="s">
        <v>3865</v>
      </c>
      <c r="E139" s="14">
        <v>2399</v>
      </c>
      <c r="F139" s="3">
        <v>999</v>
      </c>
      <c r="G139" s="3">
        <f t="shared" si="11"/>
        <v>7197</v>
      </c>
      <c r="H139" s="3">
        <f t="shared" si="10"/>
        <v>2997</v>
      </c>
      <c r="I139" s="14">
        <f t="shared" si="12"/>
        <v>4174.2599999999993</v>
      </c>
      <c r="J139" s="14">
        <f t="shared" si="13"/>
        <v>-4200</v>
      </c>
      <c r="K139" s="1">
        <v>0.57999999999999996</v>
      </c>
      <c r="L139">
        <v>4.5999999999999996</v>
      </c>
      <c r="M139" s="2">
        <v>3664</v>
      </c>
      <c r="N139" t="s">
        <v>377</v>
      </c>
      <c r="O139">
        <f t="shared" si="14"/>
        <v>3</v>
      </c>
      <c r="P139" s="12" t="e">
        <f>HYPERLINK(#REF!,"Link")</f>
        <v>#REF!</v>
      </c>
      <c r="Q139" s="12" t="e">
        <f>HYPERLINK(#REF!,"Link")</f>
        <v>#REF!</v>
      </c>
    </row>
    <row r="140" spans="1:17" x14ac:dyDescent="0.3">
      <c r="A140" t="s">
        <v>378</v>
      </c>
      <c r="B140" t="s">
        <v>379</v>
      </c>
      <c r="C140" s="10" t="s">
        <v>3859</v>
      </c>
      <c r="D140" s="10" t="s">
        <v>3866</v>
      </c>
      <c r="E140" s="14">
        <v>399</v>
      </c>
      <c r="F140" s="3">
        <v>399</v>
      </c>
      <c r="G140" s="3">
        <f t="shared" si="11"/>
        <v>1197</v>
      </c>
      <c r="H140" s="3">
        <f t="shared" si="10"/>
        <v>1197</v>
      </c>
      <c r="I140" s="14">
        <f t="shared" si="12"/>
        <v>0</v>
      </c>
      <c r="J140" s="14">
        <f t="shared" si="13"/>
        <v>0</v>
      </c>
      <c r="K140" s="1">
        <v>0</v>
      </c>
      <c r="L140">
        <v>3.9</v>
      </c>
      <c r="M140" s="2">
        <v>1951</v>
      </c>
      <c r="N140" t="s">
        <v>380</v>
      </c>
      <c r="O140">
        <f t="shared" si="14"/>
        <v>3</v>
      </c>
      <c r="P140" s="12" t="e">
        <f>HYPERLINK(#REF!,"Link")</f>
        <v>#REF!</v>
      </c>
      <c r="Q140" s="12" t="e">
        <f>HYPERLINK(#REF!,"Link")</f>
        <v>#REF!</v>
      </c>
    </row>
    <row r="141" spans="1:17" x14ac:dyDescent="0.3">
      <c r="A141" t="s">
        <v>381</v>
      </c>
      <c r="B141" t="s">
        <v>382</v>
      </c>
      <c r="C141" s="9" t="s">
        <v>3867</v>
      </c>
      <c r="D141" s="9" t="s">
        <v>3868</v>
      </c>
      <c r="E141" s="14">
        <v>699</v>
      </c>
      <c r="F141" s="3">
        <v>349</v>
      </c>
      <c r="G141" s="3">
        <f t="shared" si="11"/>
        <v>2097</v>
      </c>
      <c r="H141" s="3">
        <f t="shared" si="10"/>
        <v>1047</v>
      </c>
      <c r="I141" s="14">
        <f t="shared" si="12"/>
        <v>1048.5</v>
      </c>
      <c r="J141" s="14">
        <f t="shared" si="13"/>
        <v>-1050</v>
      </c>
      <c r="K141" s="1">
        <v>0.5</v>
      </c>
      <c r="L141">
        <v>4.3</v>
      </c>
      <c r="M141" s="2">
        <v>20850</v>
      </c>
      <c r="N141" t="s">
        <v>92</v>
      </c>
      <c r="O141">
        <f t="shared" si="14"/>
        <v>3</v>
      </c>
      <c r="P141" s="12" t="e">
        <f>HYPERLINK(#REF!,"Link")</f>
        <v>#REF!</v>
      </c>
      <c r="Q141" s="12" t="e">
        <f>HYPERLINK(#REF!,"Link")</f>
        <v>#REF!</v>
      </c>
    </row>
    <row r="142" spans="1:17" x14ac:dyDescent="0.3">
      <c r="A142" t="s">
        <v>383</v>
      </c>
      <c r="B142" t="s">
        <v>384</v>
      </c>
      <c r="C142" s="10" t="s">
        <v>3859</v>
      </c>
      <c r="D142" s="10" t="s">
        <v>3869</v>
      </c>
      <c r="E142" s="14">
        <v>1099</v>
      </c>
      <c r="F142" s="3">
        <v>399</v>
      </c>
      <c r="G142" s="3">
        <f t="shared" si="11"/>
        <v>4396</v>
      </c>
      <c r="H142" s="3">
        <f t="shared" si="10"/>
        <v>1596</v>
      </c>
      <c r="I142" s="14">
        <f t="shared" si="12"/>
        <v>2813.44</v>
      </c>
      <c r="J142" s="14">
        <f t="shared" si="13"/>
        <v>-2800</v>
      </c>
      <c r="K142" s="1">
        <v>0.64</v>
      </c>
      <c r="L142">
        <v>4.0999999999999996</v>
      </c>
      <c r="M142" s="2">
        <v>2685</v>
      </c>
      <c r="N142" t="s">
        <v>385</v>
      </c>
      <c r="O142">
        <f t="shared" si="14"/>
        <v>4</v>
      </c>
      <c r="P142" s="12" t="e">
        <f>HYPERLINK(#REF!,"Link")</f>
        <v>#REF!</v>
      </c>
      <c r="Q142" s="12" t="e">
        <f>HYPERLINK(#REF!,"Link")</f>
        <v>#REF!</v>
      </c>
    </row>
    <row r="143" spans="1:17" x14ac:dyDescent="0.3">
      <c r="A143" t="s">
        <v>386</v>
      </c>
      <c r="B143" t="s">
        <v>387</v>
      </c>
      <c r="C143" s="9" t="s">
        <v>3859</v>
      </c>
      <c r="D143" s="9" t="s">
        <v>3870</v>
      </c>
      <c r="E143" s="14">
        <v>2999</v>
      </c>
      <c r="F143" s="3">
        <v>1699</v>
      </c>
      <c r="G143" s="3">
        <f t="shared" si="11"/>
        <v>8997</v>
      </c>
      <c r="H143" s="3">
        <f t="shared" si="10"/>
        <v>5097</v>
      </c>
      <c r="I143" s="14">
        <f t="shared" si="12"/>
        <v>3868.71</v>
      </c>
      <c r="J143" s="14">
        <f t="shared" si="13"/>
        <v>-3900</v>
      </c>
      <c r="K143" s="1">
        <v>0.43</v>
      </c>
      <c r="L143">
        <v>4.4000000000000004</v>
      </c>
      <c r="M143" s="2">
        <v>24780</v>
      </c>
      <c r="N143" t="s">
        <v>151</v>
      </c>
      <c r="O143">
        <f t="shared" si="14"/>
        <v>3</v>
      </c>
      <c r="P143" s="12" t="e">
        <f>HYPERLINK(#REF!,"Link")</f>
        <v>#REF!</v>
      </c>
      <c r="Q143" s="12" t="e">
        <f>HYPERLINK(#REF!,"Link")</f>
        <v>#REF!</v>
      </c>
    </row>
    <row r="144" spans="1:17" x14ac:dyDescent="0.3">
      <c r="A144" t="s">
        <v>388</v>
      </c>
      <c r="B144" t="s">
        <v>389</v>
      </c>
      <c r="C144" s="10" t="s">
        <v>3864</v>
      </c>
      <c r="D144" s="10" t="s">
        <v>3865</v>
      </c>
      <c r="E144" s="14">
        <v>1099</v>
      </c>
      <c r="F144" s="3">
        <v>655</v>
      </c>
      <c r="G144" s="3">
        <f t="shared" si="11"/>
        <v>3297</v>
      </c>
      <c r="H144" s="3">
        <f t="shared" si="10"/>
        <v>1965</v>
      </c>
      <c r="I144" s="14">
        <f t="shared" si="12"/>
        <v>1318.8000000000002</v>
      </c>
      <c r="J144" s="14">
        <f t="shared" si="13"/>
        <v>-1332</v>
      </c>
      <c r="K144" s="1">
        <v>0.4</v>
      </c>
      <c r="L144">
        <v>3.2</v>
      </c>
      <c r="M144">
        <v>285</v>
      </c>
      <c r="N144" t="s">
        <v>390</v>
      </c>
      <c r="O144">
        <f t="shared" si="14"/>
        <v>3</v>
      </c>
      <c r="P144" s="12" t="e">
        <f>HYPERLINK(#REF!,"Link")</f>
        <v>#REF!</v>
      </c>
      <c r="Q144" s="12" t="e">
        <f>HYPERLINK(#REF!,"Link")</f>
        <v>#REF!</v>
      </c>
    </row>
    <row r="145" spans="1:17" x14ac:dyDescent="0.3">
      <c r="A145" t="s">
        <v>391</v>
      </c>
      <c r="B145" t="s">
        <v>392</v>
      </c>
      <c r="C145" s="9" t="s">
        <v>3859</v>
      </c>
      <c r="D145" s="9" t="s">
        <v>3871</v>
      </c>
      <c r="E145" s="14">
        <v>1339</v>
      </c>
      <c r="F145" s="3">
        <v>749</v>
      </c>
      <c r="G145" s="3">
        <f t="shared" si="11"/>
        <v>2678</v>
      </c>
      <c r="H145" s="3">
        <f t="shared" si="10"/>
        <v>1498</v>
      </c>
      <c r="I145" s="14">
        <f t="shared" si="12"/>
        <v>1178.32</v>
      </c>
      <c r="J145" s="14">
        <f t="shared" si="13"/>
        <v>-1180</v>
      </c>
      <c r="K145" s="1">
        <v>0.44</v>
      </c>
      <c r="L145">
        <v>4.2</v>
      </c>
      <c r="M145" s="2">
        <v>179692</v>
      </c>
      <c r="N145" t="s">
        <v>35</v>
      </c>
      <c r="O145">
        <f t="shared" si="14"/>
        <v>2</v>
      </c>
      <c r="P145" s="12" t="e">
        <f>HYPERLINK(#REF!,"Link")</f>
        <v>#REF!</v>
      </c>
      <c r="Q145" s="12" t="e">
        <f>HYPERLINK(#REF!,"Link")</f>
        <v>#REF!</v>
      </c>
    </row>
    <row r="146" spans="1:17" x14ac:dyDescent="0.3">
      <c r="A146" t="s">
        <v>393</v>
      </c>
      <c r="B146" t="s">
        <v>394</v>
      </c>
      <c r="C146" s="10" t="s">
        <v>3872</v>
      </c>
      <c r="D146" s="10" t="s">
        <v>3873</v>
      </c>
      <c r="E146" s="14">
        <v>12999</v>
      </c>
      <c r="F146" s="3">
        <v>9999</v>
      </c>
      <c r="G146" s="3">
        <f t="shared" si="11"/>
        <v>38997</v>
      </c>
      <c r="H146" s="3">
        <f t="shared" si="10"/>
        <v>29997</v>
      </c>
      <c r="I146" s="14">
        <f t="shared" si="12"/>
        <v>8969.31</v>
      </c>
      <c r="J146" s="14">
        <f t="shared" si="13"/>
        <v>-9000</v>
      </c>
      <c r="K146" s="1">
        <v>0.23</v>
      </c>
      <c r="L146">
        <v>4.2</v>
      </c>
      <c r="M146" s="2">
        <v>6088</v>
      </c>
      <c r="N146" t="s">
        <v>395</v>
      </c>
      <c r="O146">
        <f t="shared" si="14"/>
        <v>3</v>
      </c>
      <c r="P146" s="12" t="e">
        <f>HYPERLINK(#REF!,"Link")</f>
        <v>#REF!</v>
      </c>
      <c r="Q146" s="12" t="e">
        <f>HYPERLINK(#REF!,"Link")</f>
        <v>#REF!</v>
      </c>
    </row>
    <row r="147" spans="1:17" x14ac:dyDescent="0.3">
      <c r="A147" t="s">
        <v>396</v>
      </c>
      <c r="B147" t="s">
        <v>397</v>
      </c>
      <c r="C147" s="9" t="s">
        <v>3861</v>
      </c>
      <c r="D147" s="9"/>
      <c r="E147" s="14">
        <v>499</v>
      </c>
      <c r="F147" s="3">
        <v>195</v>
      </c>
      <c r="G147" s="3">
        <f t="shared" si="11"/>
        <v>1497</v>
      </c>
      <c r="H147" s="3">
        <f t="shared" si="10"/>
        <v>585</v>
      </c>
      <c r="I147" s="14">
        <f t="shared" si="12"/>
        <v>913.17</v>
      </c>
      <c r="J147" s="14">
        <f t="shared" si="13"/>
        <v>-912</v>
      </c>
      <c r="K147" s="1">
        <v>0.61</v>
      </c>
      <c r="L147">
        <v>3.7</v>
      </c>
      <c r="M147" s="2">
        <v>1383</v>
      </c>
      <c r="N147" t="s">
        <v>398</v>
      </c>
      <c r="O147">
        <f t="shared" si="14"/>
        <v>3</v>
      </c>
      <c r="P147" s="12" t="e">
        <f>HYPERLINK(#REF!,"Link")</f>
        <v>#REF!</v>
      </c>
      <c r="Q147" s="12" t="e">
        <f>HYPERLINK(#REF!,"Link")</f>
        <v>#REF!</v>
      </c>
    </row>
    <row r="148" spans="1:17" x14ac:dyDescent="0.3">
      <c r="A148" t="s">
        <v>399</v>
      </c>
      <c r="B148" t="s">
        <v>155</v>
      </c>
      <c r="C148" s="10" t="s">
        <v>3859</v>
      </c>
      <c r="D148" s="10" t="s">
        <v>3860</v>
      </c>
      <c r="E148" s="14">
        <v>2100</v>
      </c>
      <c r="F148" s="3">
        <v>999</v>
      </c>
      <c r="G148" s="3">
        <f t="shared" si="11"/>
        <v>4200</v>
      </c>
      <c r="H148" s="3">
        <f t="shared" si="10"/>
        <v>1998</v>
      </c>
      <c r="I148" s="14">
        <f t="shared" si="12"/>
        <v>2184</v>
      </c>
      <c r="J148" s="14">
        <f t="shared" si="13"/>
        <v>-2202</v>
      </c>
      <c r="K148" s="1">
        <v>0.52</v>
      </c>
      <c r="L148">
        <v>4.5</v>
      </c>
      <c r="M148" s="2">
        <v>5492</v>
      </c>
      <c r="N148" t="s">
        <v>400</v>
      </c>
      <c r="O148">
        <f t="shared" si="14"/>
        <v>2</v>
      </c>
      <c r="P148" s="12" t="e">
        <f>HYPERLINK(#REF!,"Link")</f>
        <v>#REF!</v>
      </c>
      <c r="Q148" s="12" t="e">
        <f>HYPERLINK(#REF!,"Link")</f>
        <v>#REF!</v>
      </c>
    </row>
    <row r="149" spans="1:17" x14ac:dyDescent="0.3">
      <c r="A149" t="s">
        <v>401</v>
      </c>
      <c r="B149" t="s">
        <v>402</v>
      </c>
      <c r="C149" s="9" t="s">
        <v>3872</v>
      </c>
      <c r="D149" s="9" t="s">
        <v>3874</v>
      </c>
      <c r="E149" s="14">
        <v>899</v>
      </c>
      <c r="F149" s="3">
        <v>499</v>
      </c>
      <c r="G149" s="3">
        <f t="shared" si="11"/>
        <v>1798</v>
      </c>
      <c r="H149" s="3">
        <f t="shared" si="10"/>
        <v>998</v>
      </c>
      <c r="I149" s="14">
        <f t="shared" si="12"/>
        <v>791.12</v>
      </c>
      <c r="J149" s="14">
        <f t="shared" si="13"/>
        <v>-800</v>
      </c>
      <c r="K149" s="1">
        <v>0.44</v>
      </c>
      <c r="L149">
        <v>4.2</v>
      </c>
      <c r="M149">
        <v>919</v>
      </c>
      <c r="N149" t="s">
        <v>403</v>
      </c>
      <c r="O149">
        <f t="shared" si="14"/>
        <v>2</v>
      </c>
      <c r="P149" s="12" t="e">
        <f>HYPERLINK(#REF!,"Link")</f>
        <v>#REF!</v>
      </c>
      <c r="Q149" s="12" t="e">
        <f>HYPERLINK(#REF!,"Link")</f>
        <v>#REF!</v>
      </c>
    </row>
    <row r="150" spans="1:17" x14ac:dyDescent="0.3">
      <c r="A150" t="s">
        <v>404</v>
      </c>
      <c r="B150" t="s">
        <v>405</v>
      </c>
      <c r="C150" s="10" t="s">
        <v>3872</v>
      </c>
      <c r="D150" s="10" t="s">
        <v>3875</v>
      </c>
      <c r="E150" s="14">
        <v>599</v>
      </c>
      <c r="F150" s="3">
        <v>416</v>
      </c>
      <c r="G150" s="3">
        <f t="shared" si="11"/>
        <v>1797</v>
      </c>
      <c r="H150" s="3">
        <f t="shared" si="10"/>
        <v>1248</v>
      </c>
      <c r="I150" s="14">
        <f t="shared" si="12"/>
        <v>557.06999999999994</v>
      </c>
      <c r="J150" s="14">
        <f t="shared" si="13"/>
        <v>-549</v>
      </c>
      <c r="K150" s="1">
        <v>0.31</v>
      </c>
      <c r="L150">
        <v>4.2</v>
      </c>
      <c r="M150" s="2">
        <v>30023</v>
      </c>
      <c r="N150" t="s">
        <v>406</v>
      </c>
      <c r="O150">
        <f t="shared" si="14"/>
        <v>3</v>
      </c>
      <c r="P150" s="12" t="e">
        <f>HYPERLINK(#REF!,"Link")</f>
        <v>#REF!</v>
      </c>
      <c r="Q150" s="12" t="e">
        <f>HYPERLINK(#REF!,"Link")</f>
        <v>#REF!</v>
      </c>
    </row>
    <row r="151" spans="1:17" x14ac:dyDescent="0.3">
      <c r="A151" t="s">
        <v>407</v>
      </c>
      <c r="B151" t="s">
        <v>408</v>
      </c>
      <c r="C151" s="9" t="s">
        <v>3859</v>
      </c>
      <c r="D151" s="9" t="s">
        <v>3876</v>
      </c>
      <c r="E151" s="14">
        <v>699</v>
      </c>
      <c r="F151" s="3">
        <v>368</v>
      </c>
      <c r="G151" s="3">
        <f t="shared" si="11"/>
        <v>1398</v>
      </c>
      <c r="H151" s="3">
        <f t="shared" si="10"/>
        <v>736</v>
      </c>
      <c r="I151" s="14">
        <f t="shared" si="12"/>
        <v>657.06</v>
      </c>
      <c r="J151" s="14">
        <f t="shared" si="13"/>
        <v>-662</v>
      </c>
      <c r="K151" s="1">
        <v>0.47</v>
      </c>
      <c r="L151">
        <v>4.2</v>
      </c>
      <c r="M151">
        <v>387</v>
      </c>
      <c r="N151" t="s">
        <v>409</v>
      </c>
      <c r="O151">
        <f t="shared" si="14"/>
        <v>2</v>
      </c>
      <c r="P151" s="12" t="e">
        <f>HYPERLINK(#REF!,"Link")</f>
        <v>#REF!</v>
      </c>
      <c r="Q151" s="12" t="e">
        <f>HYPERLINK(#REF!,"Link")</f>
        <v>#REF!</v>
      </c>
    </row>
    <row r="152" spans="1:17" x14ac:dyDescent="0.3">
      <c r="A152" t="s">
        <v>410</v>
      </c>
      <c r="B152" t="s">
        <v>411</v>
      </c>
      <c r="C152" s="10" t="s">
        <v>3877</v>
      </c>
      <c r="D152" s="10" t="s">
        <v>3878</v>
      </c>
      <c r="E152" s="14">
        <v>65000</v>
      </c>
      <c r="F152" s="3">
        <v>29990</v>
      </c>
      <c r="G152" s="3">
        <f t="shared" si="11"/>
        <v>130000</v>
      </c>
      <c r="H152" s="3">
        <f t="shared" si="10"/>
        <v>59980</v>
      </c>
      <c r="I152" s="14">
        <f t="shared" si="12"/>
        <v>70200</v>
      </c>
      <c r="J152" s="14">
        <f t="shared" si="13"/>
        <v>-70020</v>
      </c>
      <c r="K152" s="1">
        <v>0.54</v>
      </c>
      <c r="L152">
        <v>4.0999999999999996</v>
      </c>
      <c r="M152">
        <v>211</v>
      </c>
      <c r="N152" t="s">
        <v>412</v>
      </c>
      <c r="O152">
        <f t="shared" si="14"/>
        <v>2</v>
      </c>
      <c r="P152" s="12" t="e">
        <f>HYPERLINK(#REF!,"Link")</f>
        <v>#REF!</v>
      </c>
      <c r="Q152" s="12" t="e">
        <f>HYPERLINK(#REF!,"Link")</f>
        <v>#REF!</v>
      </c>
    </row>
    <row r="153" spans="1:17" x14ac:dyDescent="0.3">
      <c r="A153" t="s">
        <v>413</v>
      </c>
      <c r="B153" t="s">
        <v>414</v>
      </c>
      <c r="C153" s="9" t="s">
        <v>3859</v>
      </c>
      <c r="D153" s="9" t="s">
        <v>3879</v>
      </c>
      <c r="E153" s="14">
        <v>1099</v>
      </c>
      <c r="F153" s="3">
        <v>339</v>
      </c>
      <c r="G153" s="3">
        <f t="shared" si="11"/>
        <v>4396</v>
      </c>
      <c r="H153" s="3">
        <f t="shared" si="10"/>
        <v>1356</v>
      </c>
      <c r="I153" s="14">
        <f t="shared" si="12"/>
        <v>3033.24</v>
      </c>
      <c r="J153" s="14">
        <f t="shared" si="13"/>
        <v>-3040</v>
      </c>
      <c r="K153" s="1">
        <v>0.69</v>
      </c>
      <c r="L153">
        <v>4.3</v>
      </c>
      <c r="M153">
        <v>974</v>
      </c>
      <c r="N153" t="s">
        <v>101</v>
      </c>
      <c r="O153">
        <f t="shared" si="14"/>
        <v>4</v>
      </c>
      <c r="P153" s="12" t="e">
        <f>HYPERLINK(#REF!,"Link")</f>
        <v>#REF!</v>
      </c>
      <c r="Q153" s="12" t="e">
        <f>HYPERLINK(#REF!,"Link")</f>
        <v>#REF!</v>
      </c>
    </row>
    <row r="154" spans="1:17" x14ac:dyDescent="0.3">
      <c r="A154" t="s">
        <v>415</v>
      </c>
      <c r="B154" t="s">
        <v>70</v>
      </c>
      <c r="C154" s="10" t="s">
        <v>3864</v>
      </c>
      <c r="D154" s="10" t="s">
        <v>3880</v>
      </c>
      <c r="E154" s="14">
        <v>20900</v>
      </c>
      <c r="F154" s="3">
        <v>15490</v>
      </c>
      <c r="G154" s="3">
        <f t="shared" si="11"/>
        <v>41800</v>
      </c>
      <c r="H154" s="3">
        <f t="shared" si="10"/>
        <v>30980</v>
      </c>
      <c r="I154" s="14">
        <f t="shared" si="12"/>
        <v>10868</v>
      </c>
      <c r="J154" s="14">
        <f t="shared" si="13"/>
        <v>-10820</v>
      </c>
      <c r="K154" s="1">
        <v>0.26</v>
      </c>
      <c r="L154">
        <v>4.3</v>
      </c>
      <c r="M154" s="2">
        <v>16299</v>
      </c>
      <c r="N154" t="s">
        <v>71</v>
      </c>
      <c r="O154">
        <f t="shared" si="14"/>
        <v>2</v>
      </c>
      <c r="P154" s="12" t="e">
        <f>HYPERLINK(#REF!,"Link")</f>
        <v>#REF!</v>
      </c>
      <c r="Q154" s="12" t="e">
        <f>HYPERLINK(#REF!,"Link")</f>
        <v>#REF!</v>
      </c>
    </row>
    <row r="155" spans="1:17" x14ac:dyDescent="0.3">
      <c r="A155" t="s">
        <v>416</v>
      </c>
      <c r="B155" t="s">
        <v>417</v>
      </c>
      <c r="C155" s="9" t="s">
        <v>3859</v>
      </c>
      <c r="D155" s="9" t="s">
        <v>3881</v>
      </c>
      <c r="E155" s="14">
        <v>1299</v>
      </c>
      <c r="F155" s="3">
        <v>499</v>
      </c>
      <c r="G155" s="3">
        <f t="shared" si="11"/>
        <v>1299</v>
      </c>
      <c r="H155" s="3">
        <f t="shared" si="10"/>
        <v>499</v>
      </c>
      <c r="I155" s="14">
        <f t="shared" si="12"/>
        <v>805.38</v>
      </c>
      <c r="J155" s="14">
        <f t="shared" si="13"/>
        <v>-800</v>
      </c>
      <c r="K155" s="1">
        <v>0.62</v>
      </c>
      <c r="L155">
        <v>4.3</v>
      </c>
      <c r="M155" s="2">
        <v>30411</v>
      </c>
      <c r="N155" t="s">
        <v>32</v>
      </c>
      <c r="O155">
        <f t="shared" si="14"/>
        <v>1</v>
      </c>
      <c r="P155" s="12" t="e">
        <f>HYPERLINK(#REF!,"Link")</f>
        <v>#REF!</v>
      </c>
      <c r="Q155" s="12" t="e">
        <f>HYPERLINK(#REF!,"Link")</f>
        <v>#REF!</v>
      </c>
    </row>
    <row r="156" spans="1:17" x14ac:dyDescent="0.3">
      <c r="A156" t="s">
        <v>418</v>
      </c>
      <c r="B156" t="s">
        <v>419</v>
      </c>
      <c r="C156" s="10" t="s">
        <v>3859</v>
      </c>
      <c r="D156" s="10" t="s">
        <v>3882</v>
      </c>
      <c r="E156" s="14">
        <v>399</v>
      </c>
      <c r="F156" s="3">
        <v>249</v>
      </c>
      <c r="G156" s="3">
        <f t="shared" si="11"/>
        <v>399</v>
      </c>
      <c r="H156" s="3">
        <f t="shared" si="10"/>
        <v>249</v>
      </c>
      <c r="I156" s="14">
        <f t="shared" si="12"/>
        <v>151.62</v>
      </c>
      <c r="J156" s="14">
        <f t="shared" si="13"/>
        <v>-150</v>
      </c>
      <c r="K156" s="1">
        <v>0.38</v>
      </c>
      <c r="L156">
        <v>3.4</v>
      </c>
      <c r="M156" s="2">
        <v>4642</v>
      </c>
      <c r="N156" t="s">
        <v>420</v>
      </c>
      <c r="O156">
        <f t="shared" si="14"/>
        <v>1</v>
      </c>
      <c r="P156" s="12" t="e">
        <f>HYPERLINK(#REF!,"Link")</f>
        <v>#REF!</v>
      </c>
      <c r="Q156" s="12" t="e">
        <f>HYPERLINK(#REF!,"Link")</f>
        <v>#REF!</v>
      </c>
    </row>
    <row r="157" spans="1:17" x14ac:dyDescent="0.3">
      <c r="A157" t="s">
        <v>421</v>
      </c>
      <c r="B157" t="s">
        <v>422</v>
      </c>
      <c r="C157" s="9" t="s">
        <v>3859</v>
      </c>
      <c r="D157" s="9" t="s">
        <v>3883</v>
      </c>
      <c r="E157" s="14">
        <v>799</v>
      </c>
      <c r="F157" s="3">
        <v>399</v>
      </c>
      <c r="G157" s="3">
        <f t="shared" si="11"/>
        <v>799</v>
      </c>
      <c r="H157" s="3">
        <f t="shared" si="10"/>
        <v>399</v>
      </c>
      <c r="I157" s="14">
        <f t="shared" si="12"/>
        <v>399.5</v>
      </c>
      <c r="J157" s="14">
        <f t="shared" si="13"/>
        <v>-400</v>
      </c>
      <c r="K157" s="1">
        <v>0.5</v>
      </c>
      <c r="L157">
        <v>4.3</v>
      </c>
      <c r="M157">
        <v>12</v>
      </c>
      <c r="N157" t="s">
        <v>423</v>
      </c>
      <c r="O157">
        <f t="shared" si="14"/>
        <v>1</v>
      </c>
      <c r="P157" s="12" t="e">
        <f>HYPERLINK(#REF!,"Link")</f>
        <v>#REF!</v>
      </c>
      <c r="Q157" s="12" t="e">
        <f>HYPERLINK(#REF!,"Link")</f>
        <v>#REF!</v>
      </c>
    </row>
    <row r="158" spans="1:17" x14ac:dyDescent="0.3">
      <c r="A158" t="s">
        <v>424</v>
      </c>
      <c r="B158" t="s">
        <v>331</v>
      </c>
      <c r="C158" s="10" t="s">
        <v>3859</v>
      </c>
      <c r="D158" s="10" t="s">
        <v>3866</v>
      </c>
      <c r="E158" s="14">
        <v>1999</v>
      </c>
      <c r="F158" s="3">
        <v>1499</v>
      </c>
      <c r="G158" s="3">
        <f t="shared" si="11"/>
        <v>7996</v>
      </c>
      <c r="H158" s="3">
        <f t="shared" si="10"/>
        <v>5996</v>
      </c>
      <c r="I158" s="14">
        <f t="shared" si="12"/>
        <v>1999</v>
      </c>
      <c r="J158" s="14">
        <f t="shared" si="13"/>
        <v>-2000</v>
      </c>
      <c r="K158" s="1">
        <v>0.25</v>
      </c>
      <c r="L158">
        <v>4.4000000000000004</v>
      </c>
      <c r="M158" s="2">
        <v>1951</v>
      </c>
      <c r="N158" t="s">
        <v>332</v>
      </c>
      <c r="O158">
        <f t="shared" si="14"/>
        <v>4</v>
      </c>
      <c r="P158" s="12" t="e">
        <f>HYPERLINK(#REF!,"Link")</f>
        <v>#REF!</v>
      </c>
      <c r="Q158" s="12" t="e">
        <f>HYPERLINK(#REF!,"Link")</f>
        <v>#REF!</v>
      </c>
    </row>
    <row r="159" spans="1:17" x14ac:dyDescent="0.3">
      <c r="A159" t="s">
        <v>425</v>
      </c>
      <c r="B159" t="s">
        <v>426</v>
      </c>
      <c r="C159" s="9" t="s">
        <v>3859</v>
      </c>
      <c r="D159" s="9" t="s">
        <v>3884</v>
      </c>
      <c r="E159" s="14">
        <v>15990</v>
      </c>
      <c r="F159" s="3">
        <v>9490</v>
      </c>
      <c r="G159" s="3">
        <f t="shared" si="11"/>
        <v>31980</v>
      </c>
      <c r="H159" s="3">
        <f t="shared" si="10"/>
        <v>18980</v>
      </c>
      <c r="I159" s="14">
        <f t="shared" si="12"/>
        <v>13111.8</v>
      </c>
      <c r="J159" s="14">
        <f t="shared" si="13"/>
        <v>-13000</v>
      </c>
      <c r="K159" s="1">
        <v>0.41</v>
      </c>
      <c r="L159">
        <v>3.9</v>
      </c>
      <c r="M159" s="2">
        <v>10480</v>
      </c>
      <c r="N159" t="s">
        <v>427</v>
      </c>
      <c r="O159">
        <f t="shared" si="14"/>
        <v>2</v>
      </c>
      <c r="P159" s="12" t="e">
        <f>HYPERLINK(#REF!,"Link")</f>
        <v>#REF!</v>
      </c>
      <c r="Q159" s="12" t="e">
        <f>HYPERLINK(#REF!,"Link")</f>
        <v>#REF!</v>
      </c>
    </row>
    <row r="160" spans="1:17" x14ac:dyDescent="0.3">
      <c r="A160" t="s">
        <v>428</v>
      </c>
      <c r="B160" t="s">
        <v>429</v>
      </c>
      <c r="C160" s="10" t="s">
        <v>3885</v>
      </c>
      <c r="D160" s="10" t="s">
        <v>3886</v>
      </c>
      <c r="E160" s="14">
        <v>1499</v>
      </c>
      <c r="F160" s="3">
        <v>637</v>
      </c>
      <c r="G160" s="3">
        <f t="shared" si="11"/>
        <v>4497</v>
      </c>
      <c r="H160" s="3">
        <f t="shared" si="10"/>
        <v>1911</v>
      </c>
      <c r="I160" s="14">
        <f t="shared" si="12"/>
        <v>2608.2599999999998</v>
      </c>
      <c r="J160" s="14">
        <f t="shared" si="13"/>
        <v>-2586</v>
      </c>
      <c r="K160" s="1">
        <v>0.57999999999999996</v>
      </c>
      <c r="L160">
        <v>4.0999999999999996</v>
      </c>
      <c r="M160">
        <v>24</v>
      </c>
      <c r="N160" t="s">
        <v>430</v>
      </c>
      <c r="O160">
        <f t="shared" si="14"/>
        <v>3</v>
      </c>
      <c r="P160" s="12" t="e">
        <f>HYPERLINK(#REF!,"Link")</f>
        <v>#REF!</v>
      </c>
      <c r="Q160" s="12" t="e">
        <f>HYPERLINK(#REF!,"Link")</f>
        <v>#REF!</v>
      </c>
    </row>
    <row r="161" spans="1:17" x14ac:dyDescent="0.3">
      <c r="A161" t="s">
        <v>431</v>
      </c>
      <c r="B161" t="s">
        <v>432</v>
      </c>
      <c r="C161" s="9" t="s">
        <v>3864</v>
      </c>
      <c r="D161" s="9" t="s">
        <v>3887</v>
      </c>
      <c r="E161" s="14">
        <v>899</v>
      </c>
      <c r="F161" s="3">
        <v>399</v>
      </c>
      <c r="G161" s="3">
        <f t="shared" si="11"/>
        <v>899</v>
      </c>
      <c r="H161" s="3">
        <f t="shared" si="10"/>
        <v>399</v>
      </c>
      <c r="I161" s="14">
        <f t="shared" si="12"/>
        <v>503.44000000000005</v>
      </c>
      <c r="J161" s="14">
        <f t="shared" si="13"/>
        <v>-500</v>
      </c>
      <c r="K161" s="1">
        <v>0.56000000000000005</v>
      </c>
      <c r="L161">
        <v>3.9</v>
      </c>
      <c r="M161">
        <v>254</v>
      </c>
      <c r="N161" t="s">
        <v>433</v>
      </c>
      <c r="O161">
        <f t="shared" si="14"/>
        <v>1</v>
      </c>
      <c r="P161" s="12" t="e">
        <f>HYPERLINK(#REF!,"Link")</f>
        <v>#REF!</v>
      </c>
      <c r="Q161" s="12" t="e">
        <f>HYPERLINK(#REF!,"Link")</f>
        <v>#REF!</v>
      </c>
    </row>
    <row r="162" spans="1:17" x14ac:dyDescent="0.3">
      <c r="A162" t="s">
        <v>434</v>
      </c>
      <c r="B162" t="s">
        <v>435</v>
      </c>
      <c r="C162" s="10" t="s">
        <v>3861</v>
      </c>
      <c r="D162" s="10" t="s">
        <v>3888</v>
      </c>
      <c r="E162" s="14">
        <v>1600</v>
      </c>
      <c r="F162" s="3">
        <v>1089</v>
      </c>
      <c r="G162" s="3">
        <f t="shared" si="11"/>
        <v>3200</v>
      </c>
      <c r="H162" s="3">
        <f t="shared" si="10"/>
        <v>2178</v>
      </c>
      <c r="I162" s="14">
        <f t="shared" si="12"/>
        <v>1024</v>
      </c>
      <c r="J162" s="14">
        <f t="shared" si="13"/>
        <v>-1022</v>
      </c>
      <c r="K162" s="1">
        <v>0.32</v>
      </c>
      <c r="L162">
        <v>4</v>
      </c>
      <c r="M162" s="2">
        <v>3565</v>
      </c>
      <c r="N162" t="s">
        <v>436</v>
      </c>
      <c r="O162">
        <f t="shared" si="14"/>
        <v>2</v>
      </c>
      <c r="P162" s="12" t="e">
        <f>HYPERLINK(#REF!,"Link")</f>
        <v>#REF!</v>
      </c>
      <c r="Q162" s="12" t="e">
        <f>HYPERLINK(#REF!,"Link")</f>
        <v>#REF!</v>
      </c>
    </row>
    <row r="163" spans="1:17" x14ac:dyDescent="0.3">
      <c r="A163" t="s">
        <v>437</v>
      </c>
      <c r="B163" t="s">
        <v>438</v>
      </c>
      <c r="C163" s="9" t="s">
        <v>3859</v>
      </c>
      <c r="D163" s="9" t="s">
        <v>3889</v>
      </c>
      <c r="E163" s="14">
        <v>999</v>
      </c>
      <c r="F163" s="3">
        <v>339</v>
      </c>
      <c r="G163" s="3">
        <f t="shared" si="11"/>
        <v>7992</v>
      </c>
      <c r="H163" s="3">
        <f t="shared" si="10"/>
        <v>2712</v>
      </c>
      <c r="I163" s="14">
        <f t="shared" si="12"/>
        <v>5274.72</v>
      </c>
      <c r="J163" s="14">
        <f t="shared" si="13"/>
        <v>-5280</v>
      </c>
      <c r="K163" s="1">
        <v>0.66</v>
      </c>
      <c r="L163">
        <v>4.3</v>
      </c>
      <c r="M163" s="2">
        <v>6255</v>
      </c>
      <c r="N163" t="s">
        <v>439</v>
      </c>
      <c r="O163">
        <f t="shared" si="14"/>
        <v>8</v>
      </c>
      <c r="P163" s="12" t="e">
        <f>HYPERLINK(#REF!,"Link")</f>
        <v>#REF!</v>
      </c>
      <c r="Q163" s="12" t="e">
        <f>HYPERLINK(#REF!,"Link")</f>
        <v>#REF!</v>
      </c>
    </row>
    <row r="164" spans="1:17" x14ac:dyDescent="0.3">
      <c r="A164" t="s">
        <v>440</v>
      </c>
      <c r="B164" t="s">
        <v>211</v>
      </c>
      <c r="C164" s="10" t="s">
        <v>3861</v>
      </c>
      <c r="D164" s="10" t="s">
        <v>3890</v>
      </c>
      <c r="E164" s="14">
        <v>499</v>
      </c>
      <c r="F164" s="3">
        <v>149</v>
      </c>
      <c r="G164" s="3">
        <f t="shared" si="11"/>
        <v>499</v>
      </c>
      <c r="H164" s="3">
        <f t="shared" si="10"/>
        <v>149</v>
      </c>
      <c r="I164" s="14">
        <f t="shared" si="12"/>
        <v>349.29999999999995</v>
      </c>
      <c r="J164" s="14">
        <f t="shared" si="13"/>
        <v>-350</v>
      </c>
      <c r="K164" s="1">
        <v>0.7</v>
      </c>
      <c r="L164">
        <v>4</v>
      </c>
      <c r="M164" s="2">
        <v>7732</v>
      </c>
      <c r="N164" t="s">
        <v>212</v>
      </c>
      <c r="O164">
        <f t="shared" si="14"/>
        <v>1</v>
      </c>
      <c r="P164" s="12" t="e">
        <f>HYPERLINK(#REF!,"Link")</f>
        <v>#REF!</v>
      </c>
      <c r="Q164" s="12" t="e">
        <f>HYPERLINK(#REF!,"Link")</f>
        <v>#REF!</v>
      </c>
    </row>
    <row r="165" spans="1:17" x14ac:dyDescent="0.3">
      <c r="A165" t="s">
        <v>441</v>
      </c>
      <c r="B165" t="s">
        <v>442</v>
      </c>
      <c r="C165" s="9" t="s">
        <v>3891</v>
      </c>
      <c r="D165" s="9" t="s">
        <v>3892</v>
      </c>
      <c r="E165" s="14">
        <v>399</v>
      </c>
      <c r="F165" s="3">
        <v>149</v>
      </c>
      <c r="G165" s="3">
        <f t="shared" si="11"/>
        <v>798</v>
      </c>
      <c r="H165" s="3">
        <f t="shared" si="10"/>
        <v>298</v>
      </c>
      <c r="I165" s="14">
        <f t="shared" si="12"/>
        <v>502.74</v>
      </c>
      <c r="J165" s="14">
        <f t="shared" si="13"/>
        <v>-500</v>
      </c>
      <c r="K165" s="1">
        <v>0.63</v>
      </c>
      <c r="L165">
        <v>3.9</v>
      </c>
      <c r="M165">
        <v>57</v>
      </c>
      <c r="N165" t="s">
        <v>443</v>
      </c>
      <c r="O165">
        <f t="shared" si="14"/>
        <v>2</v>
      </c>
      <c r="P165" s="12" t="e">
        <f>HYPERLINK(#REF!,"Link")</f>
        <v>#REF!</v>
      </c>
      <c r="Q165" s="12" t="e">
        <f>HYPERLINK(#REF!,"Link")</f>
        <v>#REF!</v>
      </c>
    </row>
    <row r="166" spans="1:17" x14ac:dyDescent="0.3">
      <c r="A166" t="s">
        <v>444</v>
      </c>
      <c r="B166" t="s">
        <v>445</v>
      </c>
      <c r="C166" s="10" t="s">
        <v>3885</v>
      </c>
      <c r="D166" s="10" t="s">
        <v>3893</v>
      </c>
      <c r="E166" s="14">
        <v>849</v>
      </c>
      <c r="F166" s="3">
        <v>599</v>
      </c>
      <c r="G166" s="3">
        <f t="shared" si="11"/>
        <v>3396</v>
      </c>
      <c r="H166" s="3">
        <f t="shared" si="10"/>
        <v>2396</v>
      </c>
      <c r="I166" s="14">
        <f t="shared" si="12"/>
        <v>984.83999999999992</v>
      </c>
      <c r="J166" s="14">
        <f t="shared" si="13"/>
        <v>-1000</v>
      </c>
      <c r="K166" s="1">
        <v>0.28999999999999998</v>
      </c>
      <c r="L166">
        <v>4.5</v>
      </c>
      <c r="M166">
        <v>577</v>
      </c>
      <c r="N166" t="s">
        <v>446</v>
      </c>
      <c r="O166">
        <f t="shared" si="14"/>
        <v>4</v>
      </c>
      <c r="P166" s="12" t="e">
        <f>HYPERLINK(#REF!,"Link")</f>
        <v>#REF!</v>
      </c>
      <c r="Q166" s="12" t="e">
        <f>HYPERLINK(#REF!,"Link")</f>
        <v>#REF!</v>
      </c>
    </row>
    <row r="167" spans="1:17" x14ac:dyDescent="0.3">
      <c r="A167" t="s">
        <v>447</v>
      </c>
      <c r="B167" t="s">
        <v>448</v>
      </c>
      <c r="C167" s="9" t="s">
        <v>3891</v>
      </c>
      <c r="D167" s="9" t="s">
        <v>3894</v>
      </c>
      <c r="E167" s="14">
        <v>1199</v>
      </c>
      <c r="F167" s="3">
        <v>299</v>
      </c>
      <c r="G167" s="3">
        <f t="shared" si="11"/>
        <v>4796</v>
      </c>
      <c r="H167" s="3">
        <f t="shared" si="10"/>
        <v>1196</v>
      </c>
      <c r="I167" s="14">
        <f t="shared" si="12"/>
        <v>3597</v>
      </c>
      <c r="J167" s="14">
        <f t="shared" si="13"/>
        <v>-3600</v>
      </c>
      <c r="K167" s="1">
        <v>0.75</v>
      </c>
      <c r="L167">
        <v>3.9</v>
      </c>
      <c r="M167" s="2">
        <v>1193</v>
      </c>
      <c r="N167" t="s">
        <v>449</v>
      </c>
      <c r="O167">
        <f t="shared" si="14"/>
        <v>4</v>
      </c>
      <c r="P167" s="12" t="e">
        <f>HYPERLINK(#REF!,"Link")</f>
        <v>#REF!</v>
      </c>
      <c r="Q167" s="12" t="e">
        <f>HYPERLINK(#REF!,"Link")</f>
        <v>#REF!</v>
      </c>
    </row>
    <row r="168" spans="1:17" x14ac:dyDescent="0.3">
      <c r="A168" t="s">
        <v>450</v>
      </c>
      <c r="B168" t="s">
        <v>451</v>
      </c>
      <c r="C168" s="10" t="s">
        <v>3895</v>
      </c>
      <c r="D168" s="10" t="s">
        <v>3896</v>
      </c>
      <c r="E168" s="14">
        <v>1299</v>
      </c>
      <c r="F168" s="3">
        <v>399</v>
      </c>
      <c r="G168" s="3">
        <f t="shared" si="11"/>
        <v>5196</v>
      </c>
      <c r="H168" s="3">
        <f t="shared" si="10"/>
        <v>1596</v>
      </c>
      <c r="I168" s="14">
        <f t="shared" si="12"/>
        <v>3585.24</v>
      </c>
      <c r="J168" s="14">
        <f t="shared" si="13"/>
        <v>-3600</v>
      </c>
      <c r="K168" s="1">
        <v>0.69</v>
      </c>
      <c r="L168">
        <v>4.2</v>
      </c>
      <c r="M168" s="2">
        <v>13120</v>
      </c>
      <c r="N168" t="s">
        <v>291</v>
      </c>
      <c r="O168">
        <f t="shared" si="14"/>
        <v>4</v>
      </c>
      <c r="P168" s="12" t="e">
        <f>HYPERLINK(#REF!,"Link")</f>
        <v>#REF!</v>
      </c>
      <c r="Q168" s="12" t="e">
        <f>HYPERLINK(#REF!,"Link")</f>
        <v>#REF!</v>
      </c>
    </row>
    <row r="169" spans="1:17" x14ac:dyDescent="0.3">
      <c r="A169" t="s">
        <v>452</v>
      </c>
      <c r="B169" t="s">
        <v>320</v>
      </c>
      <c r="C169" s="9" t="s">
        <v>3895</v>
      </c>
      <c r="D169" s="9" t="s">
        <v>3897</v>
      </c>
      <c r="E169" s="14">
        <v>1999</v>
      </c>
      <c r="F169" s="3">
        <v>339</v>
      </c>
      <c r="G169" s="3">
        <f t="shared" si="11"/>
        <v>7996</v>
      </c>
      <c r="H169" s="3">
        <f t="shared" si="10"/>
        <v>1356</v>
      </c>
      <c r="I169" s="14">
        <f t="shared" si="12"/>
        <v>6636.6799999999994</v>
      </c>
      <c r="J169" s="14">
        <f t="shared" si="13"/>
        <v>-6640</v>
      </c>
      <c r="K169" s="1">
        <v>0.83</v>
      </c>
      <c r="L169">
        <v>4</v>
      </c>
      <c r="M169">
        <v>343</v>
      </c>
      <c r="N169" t="s">
        <v>453</v>
      </c>
      <c r="O169">
        <f t="shared" si="14"/>
        <v>4</v>
      </c>
      <c r="P169" s="12" t="e">
        <f>HYPERLINK(#REF!,"Link")</f>
        <v>#REF!</v>
      </c>
      <c r="Q169" s="12" t="e">
        <f>HYPERLINK(#REF!,"Link")</f>
        <v>#REF!</v>
      </c>
    </row>
    <row r="170" spans="1:17" x14ac:dyDescent="0.3">
      <c r="A170" t="s">
        <v>454</v>
      </c>
      <c r="B170" t="s">
        <v>76</v>
      </c>
      <c r="C170" s="10" t="s">
        <v>3859</v>
      </c>
      <c r="D170" s="10" t="s">
        <v>3898</v>
      </c>
      <c r="E170" s="14">
        <v>22990</v>
      </c>
      <c r="F170" s="3">
        <v>12499</v>
      </c>
      <c r="G170" s="3">
        <f t="shared" si="11"/>
        <v>45980</v>
      </c>
      <c r="H170" s="3">
        <f t="shared" si="10"/>
        <v>24998</v>
      </c>
      <c r="I170" s="14">
        <f t="shared" si="12"/>
        <v>21150.799999999999</v>
      </c>
      <c r="J170" s="14">
        <f t="shared" si="13"/>
        <v>-20982</v>
      </c>
      <c r="K170" s="1">
        <v>0.46</v>
      </c>
      <c r="L170">
        <v>4.3</v>
      </c>
      <c r="M170" s="2">
        <v>1611</v>
      </c>
      <c r="N170" t="s">
        <v>455</v>
      </c>
      <c r="O170">
        <f t="shared" si="14"/>
        <v>2</v>
      </c>
      <c r="P170" s="12" t="e">
        <f>HYPERLINK(#REF!,"Link")</f>
        <v>#REF!</v>
      </c>
      <c r="Q170" s="12" t="e">
        <f>HYPERLINK(#REF!,"Link")</f>
        <v>#REF!</v>
      </c>
    </row>
    <row r="171" spans="1:17" x14ac:dyDescent="0.3">
      <c r="A171" t="s">
        <v>456</v>
      </c>
      <c r="B171" t="s">
        <v>457</v>
      </c>
      <c r="C171" s="9" t="s">
        <v>3899</v>
      </c>
      <c r="D171" s="9" t="s">
        <v>3900</v>
      </c>
      <c r="E171" s="14">
        <v>399</v>
      </c>
      <c r="F171" s="3">
        <v>249</v>
      </c>
      <c r="G171" s="3">
        <f t="shared" si="11"/>
        <v>399</v>
      </c>
      <c r="H171" s="3">
        <f t="shared" si="10"/>
        <v>249</v>
      </c>
      <c r="I171" s="14">
        <f t="shared" si="12"/>
        <v>151.62</v>
      </c>
      <c r="J171" s="14">
        <f t="shared" si="13"/>
        <v>-150</v>
      </c>
      <c r="K171" s="1">
        <v>0.38</v>
      </c>
      <c r="L171">
        <v>4</v>
      </c>
      <c r="M171" s="2">
        <v>6558</v>
      </c>
      <c r="N171" t="s">
        <v>458</v>
      </c>
      <c r="O171">
        <f t="shared" si="14"/>
        <v>1</v>
      </c>
      <c r="P171" s="12" t="e">
        <f>HYPERLINK(#REF!,"Link")</f>
        <v>#REF!</v>
      </c>
      <c r="Q171" s="12" t="e">
        <f>HYPERLINK(#REF!,"Link")</f>
        <v>#REF!</v>
      </c>
    </row>
    <row r="172" spans="1:17" x14ac:dyDescent="0.3">
      <c r="A172" t="s">
        <v>459</v>
      </c>
      <c r="B172" t="s">
        <v>460</v>
      </c>
      <c r="C172" s="10" t="s">
        <v>3901</v>
      </c>
      <c r="D172" s="10" t="s">
        <v>3902</v>
      </c>
      <c r="E172" s="14">
        <v>2499</v>
      </c>
      <c r="F172" s="3">
        <v>1399</v>
      </c>
      <c r="G172" s="3">
        <f t="shared" si="11"/>
        <v>12495</v>
      </c>
      <c r="H172" s="3">
        <f t="shared" si="10"/>
        <v>6995</v>
      </c>
      <c r="I172" s="14">
        <f t="shared" si="12"/>
        <v>5497.7999999999993</v>
      </c>
      <c r="J172" s="14">
        <f t="shared" si="13"/>
        <v>-5500</v>
      </c>
      <c r="K172" s="1">
        <v>0.44</v>
      </c>
      <c r="L172">
        <v>4.4000000000000004</v>
      </c>
      <c r="M172" s="2">
        <v>23169</v>
      </c>
      <c r="N172" t="s">
        <v>461</v>
      </c>
      <c r="O172">
        <f t="shared" si="14"/>
        <v>5</v>
      </c>
      <c r="P172" s="12" t="e">
        <f>HYPERLINK(#REF!,"Link")</f>
        <v>#REF!</v>
      </c>
      <c r="Q172" s="12" t="e">
        <f>HYPERLINK(#REF!,"Link")</f>
        <v>#REF!</v>
      </c>
    </row>
    <row r="173" spans="1:17" x14ac:dyDescent="0.3">
      <c r="A173" t="s">
        <v>462</v>
      </c>
      <c r="B173" t="s">
        <v>463</v>
      </c>
      <c r="C173" s="9" t="s">
        <v>3895</v>
      </c>
      <c r="D173" s="9" t="s">
        <v>3903</v>
      </c>
      <c r="E173" s="14">
        <v>47990</v>
      </c>
      <c r="F173" s="3">
        <v>32999</v>
      </c>
      <c r="G173" s="3">
        <f t="shared" si="11"/>
        <v>239950</v>
      </c>
      <c r="H173" s="3">
        <f t="shared" si="10"/>
        <v>164995</v>
      </c>
      <c r="I173" s="14">
        <f t="shared" si="12"/>
        <v>74384.5</v>
      </c>
      <c r="J173" s="14">
        <f t="shared" si="13"/>
        <v>-74955</v>
      </c>
      <c r="K173" s="1">
        <v>0.31</v>
      </c>
      <c r="L173">
        <v>4.3</v>
      </c>
      <c r="M173" s="2">
        <v>4703</v>
      </c>
      <c r="N173" t="s">
        <v>77</v>
      </c>
      <c r="O173">
        <f t="shared" si="14"/>
        <v>5</v>
      </c>
      <c r="P173" s="12" t="e">
        <f>HYPERLINK(#REF!,"Link")</f>
        <v>#REF!</v>
      </c>
      <c r="Q173" s="12" t="e">
        <f>HYPERLINK(#REF!,"Link")</f>
        <v>#REF!</v>
      </c>
    </row>
    <row r="174" spans="1:17" x14ac:dyDescent="0.3">
      <c r="A174" t="s">
        <v>464</v>
      </c>
      <c r="B174" t="s">
        <v>97</v>
      </c>
      <c r="C174" s="10" t="s">
        <v>3877</v>
      </c>
      <c r="D174" s="10" t="s">
        <v>3904</v>
      </c>
      <c r="E174" s="14">
        <v>399</v>
      </c>
      <c r="F174" s="3">
        <v>149</v>
      </c>
      <c r="G174" s="3">
        <f t="shared" si="11"/>
        <v>798</v>
      </c>
      <c r="H174" s="3">
        <f t="shared" si="10"/>
        <v>298</v>
      </c>
      <c r="I174" s="14">
        <f t="shared" si="12"/>
        <v>502.74</v>
      </c>
      <c r="J174" s="14">
        <f t="shared" si="13"/>
        <v>-500</v>
      </c>
      <c r="K174" s="1">
        <v>0.63</v>
      </c>
      <c r="L174">
        <v>4</v>
      </c>
      <c r="M174" s="2">
        <v>1423</v>
      </c>
      <c r="N174" t="s">
        <v>220</v>
      </c>
      <c r="O174">
        <f t="shared" si="14"/>
        <v>2</v>
      </c>
      <c r="P174" s="12" t="e">
        <f>HYPERLINK(#REF!,"Link")</f>
        <v>#REF!</v>
      </c>
      <c r="Q174" s="12" t="e">
        <f>HYPERLINK(#REF!,"Link")</f>
        <v>#REF!</v>
      </c>
    </row>
    <row r="175" spans="1:17" x14ac:dyDescent="0.3">
      <c r="A175" t="s">
        <v>465</v>
      </c>
      <c r="B175" t="s">
        <v>466</v>
      </c>
      <c r="C175" s="9" t="s">
        <v>3905</v>
      </c>
      <c r="D175" s="9" t="s">
        <v>3906</v>
      </c>
      <c r="E175" s="14">
        <v>999</v>
      </c>
      <c r="F175" s="3">
        <v>325</v>
      </c>
      <c r="G175" s="3">
        <f t="shared" si="11"/>
        <v>1998</v>
      </c>
      <c r="H175" s="3">
        <f t="shared" si="10"/>
        <v>650</v>
      </c>
      <c r="I175" s="14">
        <f t="shared" si="12"/>
        <v>1338.66</v>
      </c>
      <c r="J175" s="14">
        <f t="shared" si="13"/>
        <v>-1348</v>
      </c>
      <c r="K175" s="1">
        <v>0.67</v>
      </c>
      <c r="L175">
        <v>4.3</v>
      </c>
      <c r="M175" s="2">
        <v>2651</v>
      </c>
      <c r="N175" t="s">
        <v>467</v>
      </c>
      <c r="O175">
        <f t="shared" si="14"/>
        <v>2</v>
      </c>
      <c r="P175" s="12" t="e">
        <f>HYPERLINK(#REF!,"Link")</f>
        <v>#REF!</v>
      </c>
      <c r="Q175" s="12" t="e">
        <f>HYPERLINK(#REF!,"Link")</f>
        <v>#REF!</v>
      </c>
    </row>
    <row r="176" spans="1:17" x14ac:dyDescent="0.3">
      <c r="A176" t="s">
        <v>468</v>
      </c>
      <c r="B176" t="s">
        <v>469</v>
      </c>
      <c r="C176" s="10" t="s">
        <v>3877</v>
      </c>
      <c r="D176" s="10" t="s">
        <v>3907</v>
      </c>
      <c r="E176" s="14">
        <v>1999</v>
      </c>
      <c r="F176" s="3">
        <v>399</v>
      </c>
      <c r="G176" s="3">
        <f t="shared" si="11"/>
        <v>3998</v>
      </c>
      <c r="H176" s="3">
        <f t="shared" si="10"/>
        <v>798</v>
      </c>
      <c r="I176" s="14">
        <f t="shared" si="12"/>
        <v>3198.4</v>
      </c>
      <c r="J176" s="14">
        <f t="shared" si="13"/>
        <v>-3200</v>
      </c>
      <c r="K176" s="1">
        <v>0.8</v>
      </c>
      <c r="L176">
        <v>5</v>
      </c>
      <c r="M176">
        <v>5</v>
      </c>
      <c r="N176" t="s">
        <v>470</v>
      </c>
      <c r="O176">
        <f t="shared" si="14"/>
        <v>2</v>
      </c>
      <c r="P176" s="12" t="e">
        <f>HYPERLINK(#REF!,"Link")</f>
        <v>#REF!</v>
      </c>
      <c r="Q176" s="12" t="e">
        <f>HYPERLINK(#REF!,"Link")</f>
        <v>#REF!</v>
      </c>
    </row>
    <row r="177" spans="1:17" x14ac:dyDescent="0.3">
      <c r="A177" t="s">
        <v>471</v>
      </c>
      <c r="B177" t="s">
        <v>472</v>
      </c>
      <c r="C177" s="9" t="s">
        <v>3859</v>
      </c>
      <c r="D177" s="9" t="s">
        <v>3908</v>
      </c>
      <c r="E177" s="14">
        <v>499</v>
      </c>
      <c r="F177" s="3">
        <v>199</v>
      </c>
      <c r="G177" s="3">
        <f t="shared" si="11"/>
        <v>998</v>
      </c>
      <c r="H177" s="3">
        <f t="shared" si="10"/>
        <v>398</v>
      </c>
      <c r="I177" s="14">
        <f t="shared" si="12"/>
        <v>598.79999999999995</v>
      </c>
      <c r="J177" s="14">
        <f t="shared" si="13"/>
        <v>-600</v>
      </c>
      <c r="K177" s="1">
        <v>0.6</v>
      </c>
      <c r="L177">
        <v>3.7</v>
      </c>
      <c r="M177">
        <v>612</v>
      </c>
      <c r="N177" t="s">
        <v>473</v>
      </c>
      <c r="O177">
        <f t="shared" si="14"/>
        <v>2</v>
      </c>
      <c r="P177" s="12" t="e">
        <f>HYPERLINK(#REF!,"Link")</f>
        <v>#REF!</v>
      </c>
      <c r="Q177" s="12" t="e">
        <f>HYPERLINK(#REF!,"Link")</f>
        <v>#REF!</v>
      </c>
    </row>
    <row r="178" spans="1:17" x14ac:dyDescent="0.3">
      <c r="A178" t="s">
        <v>474</v>
      </c>
      <c r="B178" t="s">
        <v>134</v>
      </c>
      <c r="C178" s="10" t="s">
        <v>3859</v>
      </c>
      <c r="D178" s="10" t="s">
        <v>3909</v>
      </c>
      <c r="E178" s="14">
        <v>299</v>
      </c>
      <c r="F178" s="3">
        <v>88</v>
      </c>
      <c r="G178" s="3">
        <f t="shared" si="11"/>
        <v>897</v>
      </c>
      <c r="H178" s="3">
        <f t="shared" si="10"/>
        <v>264</v>
      </c>
      <c r="I178" s="14">
        <f t="shared" si="12"/>
        <v>636.87</v>
      </c>
      <c r="J178" s="14">
        <f t="shared" si="13"/>
        <v>-633</v>
      </c>
      <c r="K178" s="1">
        <v>0.71</v>
      </c>
      <c r="L178">
        <v>4</v>
      </c>
      <c r="M178" s="2">
        <v>9378</v>
      </c>
      <c r="N178" t="s">
        <v>74</v>
      </c>
      <c r="O178">
        <f t="shared" si="14"/>
        <v>3</v>
      </c>
      <c r="P178" s="12" t="e">
        <f>HYPERLINK(#REF!,"Link")</f>
        <v>#REF!</v>
      </c>
      <c r="Q178" s="12" t="e">
        <f>HYPERLINK(#REF!,"Link")</f>
        <v>#REF!</v>
      </c>
    </row>
    <row r="179" spans="1:17" x14ac:dyDescent="0.3">
      <c r="A179" t="s">
        <v>475</v>
      </c>
      <c r="B179" t="s">
        <v>476</v>
      </c>
      <c r="C179" s="9" t="s">
        <v>3859</v>
      </c>
      <c r="D179" s="9" t="s">
        <v>3910</v>
      </c>
      <c r="E179" s="14">
        <v>1099</v>
      </c>
      <c r="F179" s="3">
        <v>399</v>
      </c>
      <c r="G179" s="3">
        <f t="shared" si="11"/>
        <v>4396</v>
      </c>
      <c r="H179" s="3">
        <f t="shared" si="10"/>
        <v>1596</v>
      </c>
      <c r="I179" s="14">
        <f t="shared" si="12"/>
        <v>2813.44</v>
      </c>
      <c r="J179" s="14">
        <f t="shared" si="13"/>
        <v>-2800</v>
      </c>
      <c r="K179" s="1">
        <v>0.64</v>
      </c>
      <c r="L179">
        <v>4.0999999999999996</v>
      </c>
      <c r="M179" s="2">
        <v>2685</v>
      </c>
      <c r="N179" t="s">
        <v>385</v>
      </c>
      <c r="O179">
        <f t="shared" si="14"/>
        <v>4</v>
      </c>
      <c r="P179" s="12" t="e">
        <f>HYPERLINK(#REF!,"Link")</f>
        <v>#REF!</v>
      </c>
      <c r="Q179" s="12" t="e">
        <f>HYPERLINK(#REF!,"Link")</f>
        <v>#REF!</v>
      </c>
    </row>
    <row r="180" spans="1:17" x14ac:dyDescent="0.3">
      <c r="A180" t="s">
        <v>477</v>
      </c>
      <c r="B180" t="s">
        <v>134</v>
      </c>
      <c r="C180" s="10" t="s">
        <v>3859</v>
      </c>
      <c r="D180" s="10" t="s">
        <v>3911</v>
      </c>
      <c r="E180" s="14">
        <v>199</v>
      </c>
      <c r="F180" s="3">
        <v>57.89</v>
      </c>
      <c r="G180" s="3">
        <f t="shared" si="11"/>
        <v>597</v>
      </c>
      <c r="H180" s="3">
        <f t="shared" si="10"/>
        <v>173.67000000000002</v>
      </c>
      <c r="I180" s="14">
        <f t="shared" si="12"/>
        <v>423.87</v>
      </c>
      <c r="J180" s="14">
        <f t="shared" si="13"/>
        <v>-423.33</v>
      </c>
      <c r="K180" s="1">
        <v>0.71</v>
      </c>
      <c r="L180">
        <v>4</v>
      </c>
      <c r="M180" s="2">
        <v>9378</v>
      </c>
      <c r="N180" t="s">
        <v>74</v>
      </c>
      <c r="O180">
        <f t="shared" si="14"/>
        <v>3</v>
      </c>
      <c r="P180" s="12" t="e">
        <f>HYPERLINK(#REF!,"Link")</f>
        <v>#REF!</v>
      </c>
      <c r="Q180" s="12" t="e">
        <f>HYPERLINK(#REF!,"Link")</f>
        <v>#REF!</v>
      </c>
    </row>
    <row r="181" spans="1:17" x14ac:dyDescent="0.3">
      <c r="A181" t="s">
        <v>478</v>
      </c>
      <c r="B181" t="s">
        <v>479</v>
      </c>
      <c r="C181" s="9" t="s">
        <v>3859</v>
      </c>
      <c r="D181" s="9"/>
      <c r="E181" s="14">
        <v>1999</v>
      </c>
      <c r="F181" s="3">
        <v>799</v>
      </c>
      <c r="G181" s="3">
        <f t="shared" si="11"/>
        <v>9995</v>
      </c>
      <c r="H181" s="3">
        <f t="shared" si="10"/>
        <v>3995</v>
      </c>
      <c r="I181" s="14">
        <f t="shared" si="12"/>
        <v>5996.9999999999991</v>
      </c>
      <c r="J181" s="14">
        <f t="shared" si="13"/>
        <v>-6000</v>
      </c>
      <c r="K181" s="1">
        <v>0.6</v>
      </c>
      <c r="L181">
        <v>3.3</v>
      </c>
      <c r="M181">
        <v>576</v>
      </c>
      <c r="N181" t="s">
        <v>480</v>
      </c>
      <c r="O181">
        <f t="shared" si="14"/>
        <v>5</v>
      </c>
      <c r="P181" s="12" t="e">
        <f>HYPERLINK(#REF!,"Link")</f>
        <v>#REF!</v>
      </c>
      <c r="Q181" s="12" t="e">
        <f>HYPERLINK(#REF!,"Link")</f>
        <v>#REF!</v>
      </c>
    </row>
    <row r="182" spans="1:17" x14ac:dyDescent="0.3">
      <c r="A182" t="s">
        <v>481</v>
      </c>
      <c r="B182" t="s">
        <v>482</v>
      </c>
      <c r="C182" s="10" t="s">
        <v>3912</v>
      </c>
      <c r="D182" s="10" t="s">
        <v>3913</v>
      </c>
      <c r="E182" s="14">
        <v>499</v>
      </c>
      <c r="F182" s="3">
        <v>205</v>
      </c>
      <c r="G182" s="3">
        <f t="shared" si="11"/>
        <v>2495</v>
      </c>
      <c r="H182" s="3">
        <f t="shared" si="10"/>
        <v>1025</v>
      </c>
      <c r="I182" s="14">
        <f t="shared" si="12"/>
        <v>1472.0499999999997</v>
      </c>
      <c r="J182" s="14">
        <f t="shared" si="13"/>
        <v>-1470</v>
      </c>
      <c r="K182" s="1">
        <v>0.59</v>
      </c>
      <c r="L182">
        <v>3.8</v>
      </c>
      <c r="M182">
        <v>313</v>
      </c>
      <c r="N182" t="s">
        <v>483</v>
      </c>
      <c r="O182">
        <f t="shared" si="14"/>
        <v>5</v>
      </c>
      <c r="P182" s="12" t="e">
        <f>HYPERLINK(#REF!,"Link")</f>
        <v>#REF!</v>
      </c>
      <c r="Q182" s="12" t="e">
        <f>HYPERLINK(#REF!,"Link")</f>
        <v>#REF!</v>
      </c>
    </row>
    <row r="183" spans="1:17" x14ac:dyDescent="0.3">
      <c r="A183" t="s">
        <v>484</v>
      </c>
      <c r="B183" t="s">
        <v>485</v>
      </c>
      <c r="C183" s="9" t="s">
        <v>3891</v>
      </c>
      <c r="D183" s="9" t="s">
        <v>3914</v>
      </c>
      <c r="E183" s="14">
        <v>699</v>
      </c>
      <c r="F183" s="3">
        <v>299</v>
      </c>
      <c r="G183" s="3">
        <f t="shared" si="11"/>
        <v>2097</v>
      </c>
      <c r="H183" s="3">
        <f t="shared" si="10"/>
        <v>897</v>
      </c>
      <c r="I183" s="14">
        <f t="shared" si="12"/>
        <v>1195.29</v>
      </c>
      <c r="J183" s="14">
        <f t="shared" si="13"/>
        <v>-1200</v>
      </c>
      <c r="K183" s="1">
        <v>0.56999999999999995</v>
      </c>
      <c r="L183">
        <v>4.0999999999999996</v>
      </c>
      <c r="M183" s="2">
        <v>2957</v>
      </c>
      <c r="N183" t="s">
        <v>486</v>
      </c>
      <c r="O183">
        <f t="shared" si="14"/>
        <v>3</v>
      </c>
      <c r="P183" s="12" t="e">
        <f>HYPERLINK(#REF!,"Link")</f>
        <v>#REF!</v>
      </c>
      <c r="Q183" s="12" t="e">
        <f>HYPERLINK(#REF!,"Link")</f>
        <v>#REF!</v>
      </c>
    </row>
    <row r="184" spans="1:17" x14ac:dyDescent="0.3">
      <c r="A184" t="s">
        <v>487</v>
      </c>
      <c r="B184" t="s">
        <v>488</v>
      </c>
      <c r="C184" s="10" t="s">
        <v>3885</v>
      </c>
      <c r="D184" s="10" t="s">
        <v>3915</v>
      </c>
      <c r="E184" s="14">
        <v>999</v>
      </c>
      <c r="F184" s="3">
        <v>849</v>
      </c>
      <c r="G184" s="3">
        <f t="shared" si="11"/>
        <v>4995</v>
      </c>
      <c r="H184" s="3">
        <f t="shared" si="10"/>
        <v>4245</v>
      </c>
      <c r="I184" s="14">
        <f t="shared" si="12"/>
        <v>749.25</v>
      </c>
      <c r="J184" s="14">
        <f t="shared" si="13"/>
        <v>-750</v>
      </c>
      <c r="K184" s="1">
        <v>0.15</v>
      </c>
      <c r="L184">
        <v>4.0999999999999996</v>
      </c>
      <c r="M184" s="2">
        <v>6736</v>
      </c>
      <c r="N184" t="s">
        <v>489</v>
      </c>
      <c r="O184">
        <f t="shared" si="14"/>
        <v>5</v>
      </c>
      <c r="P184" s="12" t="e">
        <f>HYPERLINK(#REF!,"Link")</f>
        <v>#REF!</v>
      </c>
      <c r="Q184" s="12" t="e">
        <f>HYPERLINK(#REF!,"Link")</f>
        <v>#REF!</v>
      </c>
    </row>
    <row r="185" spans="1:17" x14ac:dyDescent="0.3">
      <c r="A185" t="s">
        <v>490</v>
      </c>
      <c r="B185" t="s">
        <v>491</v>
      </c>
      <c r="C185" s="9" t="s">
        <v>3891</v>
      </c>
      <c r="D185" s="9" t="s">
        <v>3916</v>
      </c>
      <c r="E185" s="14">
        <v>1999</v>
      </c>
      <c r="F185" s="3">
        <v>949</v>
      </c>
      <c r="G185" s="3">
        <f t="shared" si="11"/>
        <v>5997</v>
      </c>
      <c r="H185" s="3">
        <f t="shared" si="10"/>
        <v>2847</v>
      </c>
      <c r="I185" s="14">
        <f t="shared" si="12"/>
        <v>3178.41</v>
      </c>
      <c r="J185" s="14">
        <f t="shared" si="13"/>
        <v>-3150</v>
      </c>
      <c r="K185" s="1">
        <v>0.53</v>
      </c>
      <c r="L185">
        <v>4.4000000000000004</v>
      </c>
      <c r="M185" s="2">
        <v>13552</v>
      </c>
      <c r="N185" t="s">
        <v>112</v>
      </c>
      <c r="O185">
        <f t="shared" si="14"/>
        <v>3</v>
      </c>
      <c r="P185" s="12" t="e">
        <f>HYPERLINK(#REF!,"Link")</f>
        <v>#REF!</v>
      </c>
      <c r="Q185" s="12" t="e">
        <f>HYPERLINK(#REF!,"Link")</f>
        <v>#REF!</v>
      </c>
    </row>
    <row r="186" spans="1:17" x14ac:dyDescent="0.3">
      <c r="A186" t="s">
        <v>492</v>
      </c>
      <c r="B186" t="s">
        <v>493</v>
      </c>
      <c r="C186" s="10" t="s">
        <v>3917</v>
      </c>
      <c r="D186" s="10"/>
      <c r="E186" s="14">
        <v>1200</v>
      </c>
      <c r="F186" s="3">
        <v>499</v>
      </c>
      <c r="G186" s="3">
        <f t="shared" si="11"/>
        <v>2400</v>
      </c>
      <c r="H186" s="3">
        <f t="shared" si="10"/>
        <v>998</v>
      </c>
      <c r="I186" s="14">
        <f t="shared" si="12"/>
        <v>1392</v>
      </c>
      <c r="J186" s="14">
        <f t="shared" si="13"/>
        <v>-1402</v>
      </c>
      <c r="K186" s="1">
        <v>0.57999999999999996</v>
      </c>
      <c r="L186">
        <v>4.3</v>
      </c>
      <c r="M186" s="2">
        <v>5451</v>
      </c>
      <c r="N186" t="s">
        <v>494</v>
      </c>
      <c r="O186">
        <f t="shared" si="14"/>
        <v>2</v>
      </c>
      <c r="P186" s="12" t="e">
        <f>HYPERLINK(#REF!,"Link")</f>
        <v>#REF!</v>
      </c>
      <c r="Q186" s="12" t="e">
        <f>HYPERLINK(#REF!,"Link")</f>
        <v>#REF!</v>
      </c>
    </row>
    <row r="187" spans="1:17" x14ac:dyDescent="0.3">
      <c r="A187" t="s">
        <v>495</v>
      </c>
      <c r="B187" t="s">
        <v>496</v>
      </c>
      <c r="C187" s="9" t="s">
        <v>3859</v>
      </c>
      <c r="D187" s="9" t="s">
        <v>3918</v>
      </c>
      <c r="E187" s="14">
        <v>485</v>
      </c>
      <c r="F187" s="3">
        <v>299</v>
      </c>
      <c r="G187" s="3">
        <f t="shared" si="11"/>
        <v>970</v>
      </c>
      <c r="H187" s="3">
        <f t="shared" si="10"/>
        <v>598</v>
      </c>
      <c r="I187" s="14">
        <f t="shared" si="12"/>
        <v>368.6</v>
      </c>
      <c r="J187" s="14">
        <f t="shared" si="13"/>
        <v>-372</v>
      </c>
      <c r="K187" s="1">
        <v>0.38</v>
      </c>
      <c r="L187">
        <v>4.3</v>
      </c>
      <c r="M187" s="2">
        <v>10911</v>
      </c>
      <c r="N187" t="s">
        <v>497</v>
      </c>
      <c r="O187">
        <f t="shared" si="14"/>
        <v>2</v>
      </c>
      <c r="P187" s="12" t="e">
        <f>HYPERLINK(#REF!,"Link")</f>
        <v>#REF!</v>
      </c>
      <c r="Q187" s="12" t="e">
        <f>HYPERLINK(#REF!,"Link")</f>
        <v>#REF!</v>
      </c>
    </row>
    <row r="188" spans="1:17" x14ac:dyDescent="0.3">
      <c r="A188" t="s">
        <v>498</v>
      </c>
      <c r="B188" t="s">
        <v>491</v>
      </c>
      <c r="C188" s="10" t="s">
        <v>3859</v>
      </c>
      <c r="D188" s="10" t="s">
        <v>3919</v>
      </c>
      <c r="E188" s="14">
        <v>1999</v>
      </c>
      <c r="F188" s="3">
        <v>949</v>
      </c>
      <c r="G188" s="3">
        <f t="shared" si="11"/>
        <v>5997</v>
      </c>
      <c r="H188" s="3">
        <f t="shared" si="10"/>
        <v>2847</v>
      </c>
      <c r="I188" s="14">
        <f t="shared" si="12"/>
        <v>3178.41</v>
      </c>
      <c r="J188" s="14">
        <f t="shared" si="13"/>
        <v>-3150</v>
      </c>
      <c r="K188" s="1">
        <v>0.53</v>
      </c>
      <c r="L188">
        <v>4.4000000000000004</v>
      </c>
      <c r="M188" s="2">
        <v>13552</v>
      </c>
      <c r="N188" t="s">
        <v>112</v>
      </c>
      <c r="O188">
        <f t="shared" si="14"/>
        <v>3</v>
      </c>
      <c r="P188" s="12" t="e">
        <f>HYPERLINK(#REF!,"Link")</f>
        <v>#REF!</v>
      </c>
      <c r="Q188" s="12" t="e">
        <f>HYPERLINK(#REF!,"Link")</f>
        <v>#REF!</v>
      </c>
    </row>
    <row r="189" spans="1:17" x14ac:dyDescent="0.3">
      <c r="A189" t="s">
        <v>499</v>
      </c>
      <c r="B189" t="s">
        <v>500</v>
      </c>
      <c r="C189" s="9" t="s">
        <v>3859</v>
      </c>
      <c r="D189" s="9" t="s">
        <v>3911</v>
      </c>
      <c r="E189" s="14">
        <v>1099</v>
      </c>
      <c r="F189" s="3">
        <v>379</v>
      </c>
      <c r="G189" s="3">
        <f t="shared" si="11"/>
        <v>3297</v>
      </c>
      <c r="H189" s="3">
        <f t="shared" si="10"/>
        <v>1137</v>
      </c>
      <c r="I189" s="14">
        <f t="shared" si="12"/>
        <v>2176.02</v>
      </c>
      <c r="J189" s="14">
        <f t="shared" si="13"/>
        <v>-2160</v>
      </c>
      <c r="K189" s="1">
        <v>0.66</v>
      </c>
      <c r="L189">
        <v>4.3</v>
      </c>
      <c r="M189" s="2">
        <v>2806</v>
      </c>
      <c r="N189" t="s">
        <v>294</v>
      </c>
      <c r="O189">
        <f t="shared" si="14"/>
        <v>3</v>
      </c>
      <c r="P189" s="12" t="e">
        <f>HYPERLINK(#REF!,"Link")</f>
        <v>#REF!</v>
      </c>
      <c r="Q189" s="12" t="e">
        <f>HYPERLINK(#REF!,"Link")</f>
        <v>#REF!</v>
      </c>
    </row>
    <row r="190" spans="1:17" x14ac:dyDescent="0.3">
      <c r="A190" t="s">
        <v>501</v>
      </c>
      <c r="B190" t="s">
        <v>502</v>
      </c>
      <c r="C190" s="10" t="s">
        <v>3920</v>
      </c>
      <c r="D190" s="10" t="s">
        <v>3921</v>
      </c>
      <c r="E190" s="14">
        <v>18990</v>
      </c>
      <c r="F190" s="3">
        <v>8990</v>
      </c>
      <c r="G190" s="3">
        <f t="shared" si="11"/>
        <v>37980</v>
      </c>
      <c r="H190" s="3">
        <f t="shared" si="10"/>
        <v>17980</v>
      </c>
      <c r="I190" s="14">
        <f t="shared" si="12"/>
        <v>20129.400000000001</v>
      </c>
      <c r="J190" s="14">
        <f t="shared" si="13"/>
        <v>-20000</v>
      </c>
      <c r="K190" s="1">
        <v>0.53</v>
      </c>
      <c r="L190">
        <v>3.9</v>
      </c>
      <c r="M190">
        <v>350</v>
      </c>
      <c r="N190" t="s">
        <v>503</v>
      </c>
      <c r="O190">
        <f t="shared" si="14"/>
        <v>2</v>
      </c>
      <c r="P190" s="12" t="e">
        <f>HYPERLINK(#REF!,"Link")</f>
        <v>#REF!</v>
      </c>
      <c r="Q190" s="12" t="e">
        <f>HYPERLINK(#REF!,"Link")</f>
        <v>#REF!</v>
      </c>
    </row>
    <row r="191" spans="1:17" x14ac:dyDescent="0.3">
      <c r="A191" t="s">
        <v>504</v>
      </c>
      <c r="B191" t="s">
        <v>405</v>
      </c>
      <c r="C191" s="9" t="s">
        <v>3859</v>
      </c>
      <c r="D191" s="9" t="s">
        <v>3918</v>
      </c>
      <c r="E191" s="14">
        <v>1999</v>
      </c>
      <c r="F191" s="3">
        <v>486</v>
      </c>
      <c r="G191" s="3">
        <f t="shared" si="11"/>
        <v>5997</v>
      </c>
      <c r="H191" s="3">
        <f t="shared" si="10"/>
        <v>1458</v>
      </c>
      <c r="I191" s="14">
        <f t="shared" si="12"/>
        <v>4557.72</v>
      </c>
      <c r="J191" s="14">
        <f t="shared" si="13"/>
        <v>-4539</v>
      </c>
      <c r="K191" s="1">
        <v>0.76</v>
      </c>
      <c r="L191">
        <v>4.2</v>
      </c>
      <c r="M191" s="2">
        <v>30023</v>
      </c>
      <c r="N191" t="s">
        <v>406</v>
      </c>
      <c r="O191">
        <f t="shared" si="14"/>
        <v>3</v>
      </c>
      <c r="P191" s="12" t="e">
        <f>HYPERLINK(#REF!,"Link")</f>
        <v>#REF!</v>
      </c>
      <c r="Q191" s="12" t="e">
        <f>HYPERLINK(#REF!,"Link")</f>
        <v>#REF!</v>
      </c>
    </row>
    <row r="192" spans="1:17" x14ac:dyDescent="0.3">
      <c r="A192" t="s">
        <v>505</v>
      </c>
      <c r="B192" t="s">
        <v>506</v>
      </c>
      <c r="C192" s="10" t="s">
        <v>3859</v>
      </c>
      <c r="D192" s="10" t="s">
        <v>3922</v>
      </c>
      <c r="E192" s="14">
        <v>11000</v>
      </c>
      <c r="F192" s="3">
        <v>5699</v>
      </c>
      <c r="G192" s="3">
        <f t="shared" si="11"/>
        <v>33000</v>
      </c>
      <c r="H192" s="3">
        <f t="shared" si="10"/>
        <v>17097</v>
      </c>
      <c r="I192" s="14">
        <f t="shared" si="12"/>
        <v>15840</v>
      </c>
      <c r="J192" s="14">
        <f t="shared" si="13"/>
        <v>-15903</v>
      </c>
      <c r="K192" s="1">
        <v>0.48</v>
      </c>
      <c r="L192">
        <v>4.2</v>
      </c>
      <c r="M192" s="2">
        <v>4003</v>
      </c>
      <c r="N192" t="s">
        <v>159</v>
      </c>
      <c r="O192">
        <f t="shared" si="14"/>
        <v>3</v>
      </c>
      <c r="P192" s="12" t="e">
        <f>HYPERLINK(#REF!,"Link")</f>
        <v>#REF!</v>
      </c>
      <c r="Q192" s="12" t="e">
        <f>HYPERLINK(#REF!,"Link")</f>
        <v>#REF!</v>
      </c>
    </row>
    <row r="193" spans="1:17" x14ac:dyDescent="0.3">
      <c r="A193" t="s">
        <v>507</v>
      </c>
      <c r="B193" t="s">
        <v>508</v>
      </c>
      <c r="C193" s="9" t="s">
        <v>3891</v>
      </c>
      <c r="D193" s="9" t="s">
        <v>3923</v>
      </c>
      <c r="E193" s="14">
        <v>1999</v>
      </c>
      <c r="F193" s="3">
        <v>709</v>
      </c>
      <c r="G193" s="3">
        <f t="shared" si="11"/>
        <v>5997</v>
      </c>
      <c r="H193" s="3">
        <f t="shared" si="10"/>
        <v>2127</v>
      </c>
      <c r="I193" s="14">
        <f t="shared" si="12"/>
        <v>3898.05</v>
      </c>
      <c r="J193" s="14">
        <f t="shared" si="13"/>
        <v>-3870</v>
      </c>
      <c r="K193" s="1">
        <v>0.65</v>
      </c>
      <c r="L193">
        <v>4.0999999999999996</v>
      </c>
      <c r="M193" s="2">
        <v>178817</v>
      </c>
      <c r="N193" t="s">
        <v>509</v>
      </c>
      <c r="O193">
        <f t="shared" si="14"/>
        <v>3</v>
      </c>
      <c r="P193" s="12" t="e">
        <f>HYPERLINK(#REF!,"Link")</f>
        <v>#REF!</v>
      </c>
      <c r="Q193" s="12" t="e">
        <f>HYPERLINK(#REF!,"Link")</f>
        <v>#REF!</v>
      </c>
    </row>
    <row r="194" spans="1:17" x14ac:dyDescent="0.3">
      <c r="A194" t="s">
        <v>510</v>
      </c>
      <c r="B194" t="s">
        <v>511</v>
      </c>
      <c r="C194" s="10" t="s">
        <v>3891</v>
      </c>
      <c r="D194" s="10" t="s">
        <v>3924</v>
      </c>
      <c r="E194" s="14">
        <v>70900</v>
      </c>
      <c r="F194" s="3">
        <v>47990</v>
      </c>
      <c r="G194" s="3">
        <f t="shared" si="11"/>
        <v>496300</v>
      </c>
      <c r="H194" s="3">
        <f t="shared" ref="H194:H257" si="15">F194*O194</f>
        <v>335930</v>
      </c>
      <c r="I194" s="14">
        <f t="shared" si="12"/>
        <v>158816</v>
      </c>
      <c r="J194" s="14">
        <f t="shared" si="13"/>
        <v>-160370</v>
      </c>
      <c r="K194" s="1">
        <v>0.32</v>
      </c>
      <c r="L194">
        <v>4.3</v>
      </c>
      <c r="M194" s="2">
        <v>7109</v>
      </c>
      <c r="N194" t="s">
        <v>180</v>
      </c>
      <c r="O194">
        <f t="shared" si="14"/>
        <v>7</v>
      </c>
      <c r="P194" s="12" t="e">
        <f>HYPERLINK(#REF!,"Link")</f>
        <v>#REF!</v>
      </c>
      <c r="Q194" s="12" t="e">
        <f>HYPERLINK(#REF!,"Link")</f>
        <v>#REF!</v>
      </c>
    </row>
    <row r="195" spans="1:17" x14ac:dyDescent="0.3">
      <c r="A195" t="s">
        <v>512</v>
      </c>
      <c r="B195" t="s">
        <v>448</v>
      </c>
      <c r="C195" s="9" t="s">
        <v>3891</v>
      </c>
      <c r="D195" s="9" t="s">
        <v>3925</v>
      </c>
      <c r="E195" s="14">
        <v>1199</v>
      </c>
      <c r="F195" s="3">
        <v>299</v>
      </c>
      <c r="G195" s="3">
        <f t="shared" ref="G195:G258" si="16">E195*O195</f>
        <v>1199</v>
      </c>
      <c r="H195" s="3">
        <f t="shared" si="15"/>
        <v>299</v>
      </c>
      <c r="I195" s="14">
        <f t="shared" ref="I195:I258" si="17">(E195*K195)*O195</f>
        <v>899.25</v>
      </c>
      <c r="J195" s="14">
        <f t="shared" ref="J195:J258" si="18">H195-G195</f>
        <v>-900</v>
      </c>
      <c r="K195" s="1">
        <v>0.75</v>
      </c>
      <c r="L195">
        <v>3.7</v>
      </c>
      <c r="M195">
        <v>490</v>
      </c>
      <c r="N195" t="s">
        <v>513</v>
      </c>
      <c r="O195">
        <f t="shared" ref="O195:O258" si="19">LEN(N195)-LEN(SUBSTITUTE(N195,",",""))+1</f>
        <v>1</v>
      </c>
      <c r="P195" s="12" t="e">
        <f>HYPERLINK(#REF!,"Link")</f>
        <v>#REF!</v>
      </c>
      <c r="Q195" s="12" t="e">
        <f>HYPERLINK(#REF!,"Link")</f>
        <v>#REF!</v>
      </c>
    </row>
    <row r="196" spans="1:17" x14ac:dyDescent="0.3">
      <c r="A196" t="s">
        <v>514</v>
      </c>
      <c r="B196" t="s">
        <v>515</v>
      </c>
      <c r="C196" s="10" t="s">
        <v>3859</v>
      </c>
      <c r="D196" s="10" t="s">
        <v>3926</v>
      </c>
      <c r="E196" s="14">
        <v>599</v>
      </c>
      <c r="F196" s="3">
        <v>320</v>
      </c>
      <c r="G196" s="3">
        <f t="shared" si="16"/>
        <v>1198</v>
      </c>
      <c r="H196" s="3">
        <f t="shared" si="15"/>
        <v>640</v>
      </c>
      <c r="I196" s="14">
        <f t="shared" si="17"/>
        <v>563.05999999999995</v>
      </c>
      <c r="J196" s="14">
        <f t="shared" si="18"/>
        <v>-558</v>
      </c>
      <c r="K196" s="1">
        <v>0.47</v>
      </c>
      <c r="L196">
        <v>4.0999999999999996</v>
      </c>
      <c r="M196">
        <v>491</v>
      </c>
      <c r="N196" t="s">
        <v>516</v>
      </c>
      <c r="O196">
        <f t="shared" si="19"/>
        <v>2</v>
      </c>
      <c r="P196" s="12" t="e">
        <f>HYPERLINK(#REF!,"Link")</f>
        <v>#REF!</v>
      </c>
      <c r="Q196" s="12" t="e">
        <f>HYPERLINK(#REF!,"Link")</f>
        <v>#REF!</v>
      </c>
    </row>
    <row r="197" spans="1:17" x14ac:dyDescent="0.3">
      <c r="A197" t="s">
        <v>517</v>
      </c>
      <c r="B197" t="s">
        <v>518</v>
      </c>
      <c r="C197" s="9" t="s">
        <v>3927</v>
      </c>
      <c r="D197" s="9" t="s">
        <v>3928</v>
      </c>
      <c r="E197" s="14">
        <v>549</v>
      </c>
      <c r="F197" s="3">
        <v>139</v>
      </c>
      <c r="G197" s="3">
        <f t="shared" si="16"/>
        <v>1098</v>
      </c>
      <c r="H197" s="3">
        <f t="shared" si="15"/>
        <v>278</v>
      </c>
      <c r="I197" s="14">
        <f t="shared" si="17"/>
        <v>823.5</v>
      </c>
      <c r="J197" s="14">
        <f t="shared" si="18"/>
        <v>-820</v>
      </c>
      <c r="K197" s="1">
        <v>0.75</v>
      </c>
      <c r="L197">
        <v>3.9</v>
      </c>
      <c r="M197">
        <v>61</v>
      </c>
      <c r="N197" t="s">
        <v>519</v>
      </c>
      <c r="O197">
        <f t="shared" si="19"/>
        <v>2</v>
      </c>
      <c r="P197" s="12" t="e">
        <f>HYPERLINK(#REF!,"Link")</f>
        <v>#REF!</v>
      </c>
      <c r="Q197" s="12" t="e">
        <f>HYPERLINK(#REF!,"Link")</f>
        <v>#REF!</v>
      </c>
    </row>
    <row r="198" spans="1:17" x14ac:dyDescent="0.3">
      <c r="A198" t="s">
        <v>520</v>
      </c>
      <c r="B198" t="s">
        <v>134</v>
      </c>
      <c r="C198" s="10" t="s">
        <v>3859</v>
      </c>
      <c r="D198" s="10" t="s">
        <v>3929</v>
      </c>
      <c r="E198" s="14">
        <v>249</v>
      </c>
      <c r="F198" s="3">
        <v>129</v>
      </c>
      <c r="G198" s="3">
        <f t="shared" si="16"/>
        <v>747</v>
      </c>
      <c r="H198" s="3">
        <f t="shared" si="15"/>
        <v>387</v>
      </c>
      <c r="I198" s="14">
        <f t="shared" si="17"/>
        <v>358.56</v>
      </c>
      <c r="J198" s="14">
        <f t="shared" si="18"/>
        <v>-360</v>
      </c>
      <c r="K198" s="1">
        <v>0.48</v>
      </c>
      <c r="L198">
        <v>4</v>
      </c>
      <c r="M198" s="2">
        <v>9378</v>
      </c>
      <c r="N198" t="s">
        <v>74</v>
      </c>
      <c r="O198">
        <f t="shared" si="19"/>
        <v>3</v>
      </c>
      <c r="P198" s="12" t="e">
        <f>HYPERLINK(#REF!,"Link")</f>
        <v>#REF!</v>
      </c>
      <c r="Q198" s="12" t="e">
        <f>HYPERLINK(#REF!,"Link")</f>
        <v>#REF!</v>
      </c>
    </row>
    <row r="199" spans="1:17" x14ac:dyDescent="0.3">
      <c r="A199" t="s">
        <v>521</v>
      </c>
      <c r="B199" t="s">
        <v>522</v>
      </c>
      <c r="C199" s="9" t="s">
        <v>3885</v>
      </c>
      <c r="D199" s="9" t="s">
        <v>3930</v>
      </c>
      <c r="E199" s="14">
        <v>35999</v>
      </c>
      <c r="F199" s="3">
        <v>24999</v>
      </c>
      <c r="G199" s="3">
        <f t="shared" si="16"/>
        <v>71998</v>
      </c>
      <c r="H199" s="3">
        <f t="shared" si="15"/>
        <v>49998</v>
      </c>
      <c r="I199" s="14">
        <f t="shared" si="17"/>
        <v>22319.38</v>
      </c>
      <c r="J199" s="14">
        <f t="shared" si="18"/>
        <v>-22000</v>
      </c>
      <c r="K199" s="1">
        <v>0.31</v>
      </c>
      <c r="L199">
        <v>4.2</v>
      </c>
      <c r="M199" s="2">
        <v>32840</v>
      </c>
      <c r="N199" t="s">
        <v>55</v>
      </c>
      <c r="O199">
        <f t="shared" si="19"/>
        <v>2</v>
      </c>
      <c r="P199" s="12" t="e">
        <f>HYPERLINK(#REF!,"Link")</f>
        <v>#REF!</v>
      </c>
      <c r="Q199" s="12" t="e">
        <f>HYPERLINK(#REF!,"Link")</f>
        <v>#REF!</v>
      </c>
    </row>
    <row r="200" spans="1:17" x14ac:dyDescent="0.3">
      <c r="A200" t="s">
        <v>523</v>
      </c>
      <c r="B200" t="s">
        <v>331</v>
      </c>
      <c r="C200" s="10" t="s">
        <v>3864</v>
      </c>
      <c r="D200" s="10" t="s">
        <v>3880</v>
      </c>
      <c r="E200" s="14">
        <v>1699</v>
      </c>
      <c r="F200" s="3">
        <v>999</v>
      </c>
      <c r="G200" s="3">
        <f t="shared" si="16"/>
        <v>5097</v>
      </c>
      <c r="H200" s="3">
        <f t="shared" si="15"/>
        <v>2997</v>
      </c>
      <c r="I200" s="14">
        <f t="shared" si="17"/>
        <v>2089.7699999999995</v>
      </c>
      <c r="J200" s="14">
        <f t="shared" si="18"/>
        <v>-2100</v>
      </c>
      <c r="K200" s="1">
        <v>0.41</v>
      </c>
      <c r="L200">
        <v>4.4000000000000004</v>
      </c>
      <c r="M200" s="2">
        <v>7318</v>
      </c>
      <c r="N200" t="s">
        <v>524</v>
      </c>
      <c r="O200">
        <f t="shared" si="19"/>
        <v>3</v>
      </c>
      <c r="P200" s="12" t="e">
        <f>HYPERLINK(#REF!,"Link")</f>
        <v>#REF!</v>
      </c>
      <c r="Q200" s="12" t="e">
        <f>HYPERLINK(#REF!,"Link")</f>
        <v>#REF!</v>
      </c>
    </row>
    <row r="201" spans="1:17" x14ac:dyDescent="0.3">
      <c r="A201" t="s">
        <v>525</v>
      </c>
      <c r="B201" t="s">
        <v>526</v>
      </c>
      <c r="C201" s="10" t="s">
        <v>3725</v>
      </c>
      <c r="D201" s="10" t="s">
        <v>3726</v>
      </c>
      <c r="E201" s="14">
        <v>499</v>
      </c>
      <c r="F201" s="3">
        <v>225</v>
      </c>
      <c r="G201" s="3">
        <f t="shared" si="16"/>
        <v>998</v>
      </c>
      <c r="H201" s="3">
        <f t="shared" si="15"/>
        <v>450</v>
      </c>
      <c r="I201" s="14">
        <f t="shared" si="17"/>
        <v>548.90000000000009</v>
      </c>
      <c r="J201" s="14">
        <f t="shared" si="18"/>
        <v>-548</v>
      </c>
      <c r="K201" s="1">
        <v>0.55000000000000004</v>
      </c>
      <c r="L201">
        <v>4.0999999999999996</v>
      </c>
      <c r="M201">
        <v>789</v>
      </c>
      <c r="N201" t="s">
        <v>527</v>
      </c>
      <c r="O201">
        <f t="shared" si="19"/>
        <v>2</v>
      </c>
      <c r="P201" s="12" t="e">
        <f>HYPERLINK(#REF!,"Link")</f>
        <v>#REF!</v>
      </c>
      <c r="Q201" s="12" t="e">
        <f>HYPERLINK(#REF!,"Link")</f>
        <v>#REF!</v>
      </c>
    </row>
    <row r="202" spans="1:17" x14ac:dyDescent="0.3">
      <c r="A202" t="s">
        <v>528</v>
      </c>
      <c r="B202" t="s">
        <v>529</v>
      </c>
      <c r="C202" s="9" t="s">
        <v>3727</v>
      </c>
      <c r="D202" s="9" t="s">
        <v>3728</v>
      </c>
      <c r="E202" s="14">
        <v>2999</v>
      </c>
      <c r="F202" s="3">
        <v>547</v>
      </c>
      <c r="G202" s="3">
        <f t="shared" si="16"/>
        <v>8997</v>
      </c>
      <c r="H202" s="3">
        <f t="shared" si="15"/>
        <v>1641</v>
      </c>
      <c r="I202" s="14">
        <f t="shared" si="17"/>
        <v>7377.5399999999991</v>
      </c>
      <c r="J202" s="14">
        <f t="shared" si="18"/>
        <v>-7356</v>
      </c>
      <c r="K202" s="1">
        <v>0.82</v>
      </c>
      <c r="L202">
        <v>4.3</v>
      </c>
      <c r="M202">
        <v>407</v>
      </c>
      <c r="N202" t="s">
        <v>530</v>
      </c>
      <c r="O202">
        <f t="shared" si="19"/>
        <v>3</v>
      </c>
      <c r="P202" s="12" t="e">
        <f>HYPERLINK(#REF!,"Link")</f>
        <v>#REF!</v>
      </c>
      <c r="Q202" s="12" t="e">
        <f>HYPERLINK(#REF!,"Link")</f>
        <v>#REF!</v>
      </c>
    </row>
    <row r="203" spans="1:17" x14ac:dyDescent="0.3">
      <c r="A203" t="s">
        <v>531</v>
      </c>
      <c r="B203" t="s">
        <v>532</v>
      </c>
      <c r="C203" s="10" t="s">
        <v>3729</v>
      </c>
      <c r="D203" s="10" t="s">
        <v>3726</v>
      </c>
      <c r="E203" s="14">
        <v>699</v>
      </c>
      <c r="F203" s="3">
        <v>259</v>
      </c>
      <c r="G203" s="3">
        <f t="shared" si="16"/>
        <v>1398</v>
      </c>
      <c r="H203" s="3">
        <f t="shared" si="15"/>
        <v>518</v>
      </c>
      <c r="I203" s="14">
        <f t="shared" si="17"/>
        <v>880.74</v>
      </c>
      <c r="J203" s="14">
        <f t="shared" si="18"/>
        <v>-880</v>
      </c>
      <c r="K203" s="1">
        <v>0.63</v>
      </c>
      <c r="L203">
        <v>3.8</v>
      </c>
      <c r="M203" s="2">
        <v>2399</v>
      </c>
      <c r="N203" t="s">
        <v>533</v>
      </c>
      <c r="O203">
        <f t="shared" si="19"/>
        <v>2</v>
      </c>
      <c r="P203" s="12" t="e">
        <f>HYPERLINK(#REF!,"Link")</f>
        <v>#REF!</v>
      </c>
      <c r="Q203" s="12" t="e">
        <f>HYPERLINK(#REF!,"Link")</f>
        <v>#REF!</v>
      </c>
    </row>
    <row r="204" spans="1:17" x14ac:dyDescent="0.3">
      <c r="A204" t="s">
        <v>534</v>
      </c>
      <c r="B204" t="s">
        <v>535</v>
      </c>
      <c r="C204" s="9" t="s">
        <v>3730</v>
      </c>
      <c r="D204" s="9" t="s">
        <v>3731</v>
      </c>
      <c r="E204" s="14">
        <v>699</v>
      </c>
      <c r="F204" s="3">
        <v>239</v>
      </c>
      <c r="G204" s="3">
        <f t="shared" si="16"/>
        <v>2796</v>
      </c>
      <c r="H204" s="3">
        <f t="shared" si="15"/>
        <v>956</v>
      </c>
      <c r="I204" s="14">
        <f t="shared" si="17"/>
        <v>1845.3600000000001</v>
      </c>
      <c r="J204" s="14">
        <f t="shared" si="18"/>
        <v>-1840</v>
      </c>
      <c r="K204" s="1">
        <v>0.66</v>
      </c>
      <c r="L204">
        <v>4.4000000000000004</v>
      </c>
      <c r="M204" s="2">
        <v>2640</v>
      </c>
      <c r="N204" t="s">
        <v>536</v>
      </c>
      <c r="O204">
        <f t="shared" si="19"/>
        <v>4</v>
      </c>
      <c r="P204" s="12" t="e">
        <f>HYPERLINK(#REF!,"Link")</f>
        <v>#REF!</v>
      </c>
      <c r="Q204" s="12" t="e">
        <f>HYPERLINK(#REF!,"Link")</f>
        <v>#REF!</v>
      </c>
    </row>
    <row r="205" spans="1:17" x14ac:dyDescent="0.3">
      <c r="A205" t="s">
        <v>537</v>
      </c>
      <c r="B205" t="s">
        <v>538</v>
      </c>
      <c r="C205" s="10" t="s">
        <v>3729</v>
      </c>
      <c r="D205" s="10" t="s">
        <v>3732</v>
      </c>
      <c r="E205" s="14">
        <v>999</v>
      </c>
      <c r="F205" s="3">
        <v>349</v>
      </c>
      <c r="G205" s="3">
        <f t="shared" si="16"/>
        <v>1998</v>
      </c>
      <c r="H205" s="3">
        <f t="shared" si="15"/>
        <v>698</v>
      </c>
      <c r="I205" s="14">
        <f t="shared" si="17"/>
        <v>1298.7</v>
      </c>
      <c r="J205" s="14">
        <f t="shared" si="18"/>
        <v>-1300</v>
      </c>
      <c r="K205" s="1">
        <v>0.65</v>
      </c>
      <c r="L205">
        <v>4</v>
      </c>
      <c r="M205">
        <v>839</v>
      </c>
      <c r="N205" t="s">
        <v>539</v>
      </c>
      <c r="O205">
        <f t="shared" si="19"/>
        <v>2</v>
      </c>
      <c r="P205" s="12" t="e">
        <f>HYPERLINK(#REF!,"Link")</f>
        <v>#REF!</v>
      </c>
      <c r="Q205" s="12" t="e">
        <f>HYPERLINK(#REF!,"Link")</f>
        <v>#REF!</v>
      </c>
    </row>
    <row r="206" spans="1:17" x14ac:dyDescent="0.3">
      <c r="A206" t="s">
        <v>540</v>
      </c>
      <c r="B206" t="s">
        <v>541</v>
      </c>
      <c r="C206" s="9" t="s">
        <v>3730</v>
      </c>
      <c r="D206" s="9" t="s">
        <v>3733</v>
      </c>
      <c r="E206" s="14">
        <v>599</v>
      </c>
      <c r="F206" s="3">
        <v>467</v>
      </c>
      <c r="G206" s="3">
        <f t="shared" si="16"/>
        <v>1797</v>
      </c>
      <c r="H206" s="3">
        <f t="shared" si="15"/>
        <v>1401</v>
      </c>
      <c r="I206" s="14">
        <f t="shared" si="17"/>
        <v>395.34000000000003</v>
      </c>
      <c r="J206" s="14">
        <f t="shared" si="18"/>
        <v>-396</v>
      </c>
      <c r="K206" s="1">
        <v>0.22</v>
      </c>
      <c r="L206">
        <v>4.4000000000000004</v>
      </c>
      <c r="M206" s="2">
        <v>44054</v>
      </c>
      <c r="N206" t="s">
        <v>542</v>
      </c>
      <c r="O206">
        <f t="shared" si="19"/>
        <v>3</v>
      </c>
      <c r="P206" s="12" t="e">
        <f>HYPERLINK(#REF!,"Link")</f>
        <v>#REF!</v>
      </c>
      <c r="Q206" s="12" t="e">
        <f>HYPERLINK(#REF!,"Link")</f>
        <v>#REF!</v>
      </c>
    </row>
    <row r="207" spans="1:17" x14ac:dyDescent="0.3">
      <c r="A207" t="s">
        <v>543</v>
      </c>
      <c r="B207" t="s">
        <v>544</v>
      </c>
      <c r="C207" s="10" t="s">
        <v>3729</v>
      </c>
      <c r="D207" s="10" t="s">
        <v>3734</v>
      </c>
      <c r="E207" s="14">
        <v>599</v>
      </c>
      <c r="F207" s="3">
        <v>449</v>
      </c>
      <c r="G207" s="3">
        <f t="shared" si="16"/>
        <v>1797</v>
      </c>
      <c r="H207" s="3">
        <f t="shared" si="15"/>
        <v>1347</v>
      </c>
      <c r="I207" s="14">
        <f t="shared" si="17"/>
        <v>449.25</v>
      </c>
      <c r="J207" s="14">
        <f t="shared" si="18"/>
        <v>-450</v>
      </c>
      <c r="K207" s="1">
        <v>0.25</v>
      </c>
      <c r="L207">
        <v>4</v>
      </c>
      <c r="M207" s="2">
        <v>3231</v>
      </c>
      <c r="N207" t="s">
        <v>545</v>
      </c>
      <c r="O207">
        <f t="shared" si="19"/>
        <v>3</v>
      </c>
      <c r="P207" s="12" t="e">
        <f>HYPERLINK(#REF!,"Link")</f>
        <v>#REF!</v>
      </c>
      <c r="Q207" s="12" t="e">
        <f>HYPERLINK(#REF!,"Link")</f>
        <v>#REF!</v>
      </c>
    </row>
    <row r="208" spans="1:17" x14ac:dyDescent="0.3">
      <c r="A208" t="s">
        <v>546</v>
      </c>
      <c r="B208" t="s">
        <v>222</v>
      </c>
      <c r="C208" s="9" t="s">
        <v>3729</v>
      </c>
      <c r="D208" s="9" t="s">
        <v>3726</v>
      </c>
      <c r="E208" s="14">
        <v>31990</v>
      </c>
      <c r="F208" s="3">
        <v>11990</v>
      </c>
      <c r="G208" s="3">
        <f t="shared" si="16"/>
        <v>159950</v>
      </c>
      <c r="H208" s="3">
        <f t="shared" si="15"/>
        <v>59950</v>
      </c>
      <c r="I208" s="14">
        <f t="shared" si="17"/>
        <v>100768.5</v>
      </c>
      <c r="J208" s="14">
        <f t="shared" si="18"/>
        <v>-100000</v>
      </c>
      <c r="K208" s="1">
        <v>0.63</v>
      </c>
      <c r="L208">
        <v>4.2</v>
      </c>
      <c r="M208">
        <v>64</v>
      </c>
      <c r="N208" t="s">
        <v>547</v>
      </c>
      <c r="O208">
        <f t="shared" si="19"/>
        <v>5</v>
      </c>
      <c r="P208" s="12" t="e">
        <f>HYPERLINK(#REF!,"Link")</f>
        <v>#REF!</v>
      </c>
      <c r="Q208" s="12" t="e">
        <f>HYPERLINK(#REF!,"Link")</f>
        <v>#REF!</v>
      </c>
    </row>
    <row r="209" spans="1:17" x14ac:dyDescent="0.3">
      <c r="A209" t="s">
        <v>548</v>
      </c>
      <c r="B209" t="s">
        <v>549</v>
      </c>
      <c r="C209" s="10" t="s">
        <v>3729</v>
      </c>
      <c r="D209" s="10" t="s">
        <v>3735</v>
      </c>
      <c r="E209" s="14">
        <v>599</v>
      </c>
      <c r="F209" s="3">
        <v>350</v>
      </c>
      <c r="G209" s="3">
        <f t="shared" si="16"/>
        <v>4193</v>
      </c>
      <c r="H209" s="3">
        <f t="shared" si="15"/>
        <v>2450</v>
      </c>
      <c r="I209" s="14">
        <f t="shared" si="17"/>
        <v>1761.06</v>
      </c>
      <c r="J209" s="14">
        <f t="shared" si="18"/>
        <v>-1743</v>
      </c>
      <c r="K209" s="1">
        <v>0.42</v>
      </c>
      <c r="L209">
        <v>3.9</v>
      </c>
      <c r="M209" s="2">
        <v>8314</v>
      </c>
      <c r="N209" t="s">
        <v>550</v>
      </c>
      <c r="O209">
        <f t="shared" si="19"/>
        <v>7</v>
      </c>
      <c r="P209" s="12" t="e">
        <f>HYPERLINK(#REF!,"Link")</f>
        <v>#REF!</v>
      </c>
      <c r="Q209" s="12" t="e">
        <f>HYPERLINK(#REF!,"Link")</f>
        <v>#REF!</v>
      </c>
    </row>
    <row r="210" spans="1:17" x14ac:dyDescent="0.3">
      <c r="A210" t="s">
        <v>551</v>
      </c>
      <c r="B210" t="s">
        <v>552</v>
      </c>
      <c r="C210" s="9" t="s">
        <v>3729</v>
      </c>
      <c r="D210" s="9" t="s">
        <v>3726</v>
      </c>
      <c r="E210" s="14">
        <v>999</v>
      </c>
      <c r="F210" s="3">
        <v>252</v>
      </c>
      <c r="G210" s="3">
        <f t="shared" si="16"/>
        <v>4995</v>
      </c>
      <c r="H210" s="3">
        <f t="shared" si="15"/>
        <v>1260</v>
      </c>
      <c r="I210" s="14">
        <f t="shared" si="17"/>
        <v>3746.25</v>
      </c>
      <c r="J210" s="14">
        <f t="shared" si="18"/>
        <v>-3735</v>
      </c>
      <c r="K210" s="1">
        <v>0.75</v>
      </c>
      <c r="L210">
        <v>3.7</v>
      </c>
      <c r="M210" s="2">
        <v>2249</v>
      </c>
      <c r="N210" t="s">
        <v>553</v>
      </c>
      <c r="O210">
        <f t="shared" si="19"/>
        <v>5</v>
      </c>
      <c r="P210" s="12" t="e">
        <f>HYPERLINK(#REF!,"Link")</f>
        <v>#REF!</v>
      </c>
      <c r="Q210" s="12" t="e">
        <f>HYPERLINK(#REF!,"Link")</f>
        <v>#REF!</v>
      </c>
    </row>
    <row r="211" spans="1:17" x14ac:dyDescent="0.3">
      <c r="A211" t="s">
        <v>554</v>
      </c>
      <c r="B211" t="s">
        <v>164</v>
      </c>
      <c r="C211" s="10" t="s">
        <v>3737</v>
      </c>
      <c r="D211" s="10"/>
      <c r="E211" s="14">
        <v>599</v>
      </c>
      <c r="F211" s="3">
        <v>204</v>
      </c>
      <c r="G211" s="3">
        <f t="shared" si="16"/>
        <v>2396</v>
      </c>
      <c r="H211" s="3">
        <f t="shared" si="15"/>
        <v>816</v>
      </c>
      <c r="I211" s="14">
        <f t="shared" si="17"/>
        <v>1581.3600000000001</v>
      </c>
      <c r="J211" s="14">
        <f t="shared" si="18"/>
        <v>-1580</v>
      </c>
      <c r="K211" s="1">
        <v>0.66</v>
      </c>
      <c r="L211">
        <v>3.6</v>
      </c>
      <c r="M211">
        <v>339</v>
      </c>
      <c r="N211" t="s">
        <v>555</v>
      </c>
      <c r="O211">
        <f t="shared" si="19"/>
        <v>4</v>
      </c>
      <c r="P211" s="12" t="e">
        <f>HYPERLINK(#REF!,"Link")</f>
        <v>#REF!</v>
      </c>
      <c r="Q211" s="12" t="e">
        <f>HYPERLINK(#REF!,"Link")</f>
        <v>#REF!</v>
      </c>
    </row>
    <row r="212" spans="1:17" x14ac:dyDescent="0.3">
      <c r="A212" t="s">
        <v>556</v>
      </c>
      <c r="B212" t="s">
        <v>557</v>
      </c>
      <c r="C212" s="9" t="s">
        <v>3729</v>
      </c>
      <c r="D212" s="9" t="s">
        <v>3738</v>
      </c>
      <c r="E212" s="14">
        <v>9990</v>
      </c>
      <c r="F212" s="3">
        <v>6490</v>
      </c>
      <c r="G212" s="3">
        <f t="shared" si="16"/>
        <v>29970</v>
      </c>
      <c r="H212" s="3">
        <f t="shared" si="15"/>
        <v>19470</v>
      </c>
      <c r="I212" s="14">
        <f t="shared" si="17"/>
        <v>10489.5</v>
      </c>
      <c r="J212" s="14">
        <f t="shared" si="18"/>
        <v>-10500</v>
      </c>
      <c r="K212" s="1">
        <v>0.35</v>
      </c>
      <c r="L212">
        <v>4</v>
      </c>
      <c r="M212">
        <v>27</v>
      </c>
      <c r="N212" t="s">
        <v>558</v>
      </c>
      <c r="O212">
        <f t="shared" si="19"/>
        <v>3</v>
      </c>
      <c r="P212" s="12" t="e">
        <f>HYPERLINK(#REF!,"Link")</f>
        <v>#REF!</v>
      </c>
      <c r="Q212" s="12" t="e">
        <f>HYPERLINK(#REF!,"Link")</f>
        <v>#REF!</v>
      </c>
    </row>
    <row r="213" spans="1:17" x14ac:dyDescent="0.3">
      <c r="A213" t="s">
        <v>559</v>
      </c>
      <c r="B213" t="s">
        <v>560</v>
      </c>
      <c r="C213" s="10" t="s">
        <v>3739</v>
      </c>
      <c r="D213" s="10" t="s">
        <v>3740</v>
      </c>
      <c r="E213" s="14">
        <v>599</v>
      </c>
      <c r="F213" s="3">
        <v>235</v>
      </c>
      <c r="G213" s="3">
        <f t="shared" si="16"/>
        <v>1198</v>
      </c>
      <c r="H213" s="3">
        <f t="shared" si="15"/>
        <v>470</v>
      </c>
      <c r="I213" s="14">
        <f t="shared" si="17"/>
        <v>730.78</v>
      </c>
      <c r="J213" s="14">
        <f t="shared" si="18"/>
        <v>-728</v>
      </c>
      <c r="K213" s="1">
        <v>0.61</v>
      </c>
      <c r="L213">
        <v>3.5</v>
      </c>
      <c r="M213">
        <v>197</v>
      </c>
      <c r="N213" t="s">
        <v>561</v>
      </c>
      <c r="O213">
        <f t="shared" si="19"/>
        <v>2</v>
      </c>
      <c r="P213" s="12" t="e">
        <f>HYPERLINK(#REF!,"Link")</f>
        <v>#REF!</v>
      </c>
      <c r="Q213" s="12" t="e">
        <f>HYPERLINK(#REF!,"Link")</f>
        <v>#REF!</v>
      </c>
    </row>
    <row r="214" spans="1:17" x14ac:dyDescent="0.3">
      <c r="A214" t="s">
        <v>562</v>
      </c>
      <c r="B214" t="s">
        <v>563</v>
      </c>
      <c r="C214" s="9" t="s">
        <v>3725</v>
      </c>
      <c r="D214" s="9" t="s">
        <v>3726</v>
      </c>
      <c r="E214" s="14">
        <v>800</v>
      </c>
      <c r="F214" s="3">
        <v>299</v>
      </c>
      <c r="G214" s="3">
        <f t="shared" si="16"/>
        <v>6400</v>
      </c>
      <c r="H214" s="3">
        <f t="shared" si="15"/>
        <v>2392</v>
      </c>
      <c r="I214" s="14">
        <f t="shared" si="17"/>
        <v>4032</v>
      </c>
      <c r="J214" s="14">
        <f t="shared" si="18"/>
        <v>-4008</v>
      </c>
      <c r="K214" s="1">
        <v>0.63</v>
      </c>
      <c r="L214">
        <v>4.5</v>
      </c>
      <c r="M214" s="2">
        <v>74977</v>
      </c>
      <c r="N214" t="s">
        <v>95</v>
      </c>
      <c r="O214">
        <f t="shared" si="19"/>
        <v>8</v>
      </c>
      <c r="P214" s="12" t="e">
        <f>HYPERLINK(#REF!,"Link")</f>
        <v>#REF!</v>
      </c>
      <c r="Q214" s="12" t="e">
        <f>HYPERLINK(#REF!,"Link")</f>
        <v>#REF!</v>
      </c>
    </row>
    <row r="215" spans="1:17" x14ac:dyDescent="0.3">
      <c r="A215" t="s">
        <v>564</v>
      </c>
      <c r="B215" t="s">
        <v>565</v>
      </c>
      <c r="C215" s="10" t="s">
        <v>3729</v>
      </c>
      <c r="D215" s="10" t="s">
        <v>3726</v>
      </c>
      <c r="E215" s="14">
        <v>1999</v>
      </c>
      <c r="F215" s="3">
        <v>799</v>
      </c>
      <c r="G215" s="3">
        <f t="shared" si="16"/>
        <v>1999</v>
      </c>
      <c r="H215" s="3">
        <f t="shared" si="15"/>
        <v>799</v>
      </c>
      <c r="I215" s="14">
        <f t="shared" si="17"/>
        <v>1199.3999999999999</v>
      </c>
      <c r="J215" s="14">
        <f t="shared" si="18"/>
        <v>-1200</v>
      </c>
      <c r="K215" s="1">
        <v>0.6</v>
      </c>
      <c r="L215">
        <v>4.2</v>
      </c>
      <c r="M215" s="2">
        <v>8583</v>
      </c>
      <c r="N215" t="s">
        <v>566</v>
      </c>
      <c r="O215">
        <f t="shared" si="19"/>
        <v>1</v>
      </c>
      <c r="P215" s="12" t="e">
        <f>HYPERLINK(#REF!,"Link")</f>
        <v>#REF!</v>
      </c>
      <c r="Q215" s="12" t="e">
        <f>HYPERLINK(#REF!,"Link")</f>
        <v>#REF!</v>
      </c>
    </row>
    <row r="216" spans="1:17" x14ac:dyDescent="0.3">
      <c r="A216" t="s">
        <v>567</v>
      </c>
      <c r="B216" t="s">
        <v>568</v>
      </c>
      <c r="C216" s="9" t="s">
        <v>3741</v>
      </c>
      <c r="D216" s="9" t="s">
        <v>3742</v>
      </c>
      <c r="E216" s="14">
        <v>999</v>
      </c>
      <c r="F216" s="3">
        <v>299</v>
      </c>
      <c r="G216" s="3">
        <f t="shared" si="16"/>
        <v>2997</v>
      </c>
      <c r="H216" s="3">
        <f t="shared" si="15"/>
        <v>897</v>
      </c>
      <c r="I216" s="14">
        <f t="shared" si="17"/>
        <v>2097.8999999999996</v>
      </c>
      <c r="J216" s="14">
        <f t="shared" si="18"/>
        <v>-2100</v>
      </c>
      <c r="K216" s="1">
        <v>0.7</v>
      </c>
      <c r="L216">
        <v>3.8</v>
      </c>
      <c r="M216">
        <v>928</v>
      </c>
      <c r="N216" t="s">
        <v>569</v>
      </c>
      <c r="O216">
        <f t="shared" si="19"/>
        <v>3</v>
      </c>
      <c r="P216" s="12" t="e">
        <f>HYPERLINK(#REF!,"Link")</f>
        <v>#REF!</v>
      </c>
      <c r="Q216" s="12" t="e">
        <f>HYPERLINK(#REF!,"Link")</f>
        <v>#REF!</v>
      </c>
    </row>
    <row r="217" spans="1:17" x14ac:dyDescent="0.3">
      <c r="A217" t="s">
        <v>570</v>
      </c>
      <c r="B217" t="s">
        <v>502</v>
      </c>
      <c r="C217" s="10" t="s">
        <v>3743</v>
      </c>
      <c r="D217" s="10"/>
      <c r="E217" s="14">
        <v>16990</v>
      </c>
      <c r="F217" s="3">
        <v>6999</v>
      </c>
      <c r="G217" s="3">
        <f t="shared" si="16"/>
        <v>33980</v>
      </c>
      <c r="H217" s="3">
        <f t="shared" si="15"/>
        <v>13998</v>
      </c>
      <c r="I217" s="14">
        <f t="shared" si="17"/>
        <v>20048.2</v>
      </c>
      <c r="J217" s="14">
        <f t="shared" si="18"/>
        <v>-19982</v>
      </c>
      <c r="K217" s="1">
        <v>0.59</v>
      </c>
      <c r="L217">
        <v>3.8</v>
      </c>
      <c r="M217">
        <v>110</v>
      </c>
      <c r="N217" t="s">
        <v>571</v>
      </c>
      <c r="O217">
        <f t="shared" si="19"/>
        <v>2</v>
      </c>
      <c r="P217" s="12" t="e">
        <f>HYPERLINK(#REF!,"Link")</f>
        <v>#REF!</v>
      </c>
      <c r="Q217" s="12" t="e">
        <f>HYPERLINK(#REF!,"Link")</f>
        <v>#REF!</v>
      </c>
    </row>
    <row r="218" spans="1:17" x14ac:dyDescent="0.3">
      <c r="A218" t="s">
        <v>572</v>
      </c>
      <c r="B218" t="s">
        <v>573</v>
      </c>
      <c r="C218" s="9" t="s">
        <v>3744</v>
      </c>
      <c r="D218" s="9" t="s">
        <v>3745</v>
      </c>
      <c r="E218" s="14">
        <v>59999</v>
      </c>
      <c r="F218" s="3">
        <v>42999</v>
      </c>
      <c r="G218" s="3">
        <f t="shared" si="16"/>
        <v>179997</v>
      </c>
      <c r="H218" s="3">
        <f t="shared" si="15"/>
        <v>128997</v>
      </c>
      <c r="I218" s="14">
        <f t="shared" si="17"/>
        <v>50399.16</v>
      </c>
      <c r="J218" s="14">
        <f t="shared" si="18"/>
        <v>-51000</v>
      </c>
      <c r="K218" s="1">
        <v>0.28000000000000003</v>
      </c>
      <c r="L218">
        <v>4.0999999999999996</v>
      </c>
      <c r="M218" s="2">
        <v>6753</v>
      </c>
      <c r="N218" t="s">
        <v>574</v>
      </c>
      <c r="O218">
        <f t="shared" si="19"/>
        <v>3</v>
      </c>
      <c r="P218" s="12" t="e">
        <f>HYPERLINK(#REF!,"Link")</f>
        <v>#REF!</v>
      </c>
      <c r="Q218" s="12" t="e">
        <f>HYPERLINK(#REF!,"Link")</f>
        <v>#REF!</v>
      </c>
    </row>
    <row r="219" spans="1:17" x14ac:dyDescent="0.3">
      <c r="A219" t="s">
        <v>575</v>
      </c>
      <c r="B219" t="s">
        <v>576</v>
      </c>
      <c r="C219" s="10" t="s">
        <v>3729</v>
      </c>
      <c r="D219" s="10" t="s">
        <v>3746</v>
      </c>
      <c r="E219" s="14">
        <v>999</v>
      </c>
      <c r="F219" s="3">
        <v>173</v>
      </c>
      <c r="G219" s="3">
        <f t="shared" si="16"/>
        <v>1998</v>
      </c>
      <c r="H219" s="3">
        <f t="shared" si="15"/>
        <v>346</v>
      </c>
      <c r="I219" s="14">
        <f t="shared" si="17"/>
        <v>1658.34</v>
      </c>
      <c r="J219" s="14">
        <f t="shared" si="18"/>
        <v>-1652</v>
      </c>
      <c r="K219" s="1">
        <v>0.83</v>
      </c>
      <c r="L219">
        <v>4.3</v>
      </c>
      <c r="M219" s="2">
        <v>1237</v>
      </c>
      <c r="N219" t="s">
        <v>577</v>
      </c>
      <c r="O219">
        <f t="shared" si="19"/>
        <v>2</v>
      </c>
      <c r="P219" s="12" t="e">
        <f>HYPERLINK(#REF!,"Link")</f>
        <v>#REF!</v>
      </c>
      <c r="Q219" s="12" t="e">
        <f>HYPERLINK(#REF!,"Link")</f>
        <v>#REF!</v>
      </c>
    </row>
    <row r="220" spans="1:17" x14ac:dyDescent="0.3">
      <c r="A220" t="s">
        <v>578</v>
      </c>
      <c r="B220" t="s">
        <v>579</v>
      </c>
      <c r="C220" s="9" t="s">
        <v>3747</v>
      </c>
      <c r="D220" s="9"/>
      <c r="E220" s="14">
        <v>600</v>
      </c>
      <c r="F220" s="3">
        <v>209</v>
      </c>
      <c r="G220" s="3">
        <f t="shared" si="16"/>
        <v>1200</v>
      </c>
      <c r="H220" s="3">
        <f t="shared" si="15"/>
        <v>418</v>
      </c>
      <c r="I220" s="14">
        <f t="shared" si="17"/>
        <v>780</v>
      </c>
      <c r="J220" s="14">
        <f t="shared" si="18"/>
        <v>-782</v>
      </c>
      <c r="K220" s="1">
        <v>0.65</v>
      </c>
      <c r="L220">
        <v>4.4000000000000004</v>
      </c>
      <c r="M220" s="2">
        <v>18872</v>
      </c>
      <c r="N220" t="s">
        <v>580</v>
      </c>
      <c r="O220">
        <f t="shared" si="19"/>
        <v>2</v>
      </c>
      <c r="P220" s="12" t="e">
        <f>HYPERLINK(#REF!,"Link")</f>
        <v>#REF!</v>
      </c>
      <c r="Q220" s="12" t="e">
        <f>HYPERLINK(#REF!,"Link")</f>
        <v>#REF!</v>
      </c>
    </row>
    <row r="221" spans="1:17" x14ac:dyDescent="0.3">
      <c r="A221" t="s">
        <v>581</v>
      </c>
      <c r="B221" t="s">
        <v>582</v>
      </c>
      <c r="C221" s="10" t="s">
        <v>3748</v>
      </c>
      <c r="D221" s="10" t="s">
        <v>3749</v>
      </c>
      <c r="E221" s="14">
        <v>1490</v>
      </c>
      <c r="F221" s="3">
        <v>848.99</v>
      </c>
      <c r="G221" s="3">
        <f t="shared" si="16"/>
        <v>5960</v>
      </c>
      <c r="H221" s="3">
        <f t="shared" si="15"/>
        <v>3395.96</v>
      </c>
      <c r="I221" s="14">
        <f t="shared" si="17"/>
        <v>2562.8000000000002</v>
      </c>
      <c r="J221" s="14">
        <f t="shared" si="18"/>
        <v>-2564.04</v>
      </c>
      <c r="K221" s="1">
        <v>0.43</v>
      </c>
      <c r="L221">
        <v>3.9</v>
      </c>
      <c r="M221">
        <v>356</v>
      </c>
      <c r="N221" t="s">
        <v>583</v>
      </c>
      <c r="O221">
        <f t="shared" si="19"/>
        <v>4</v>
      </c>
      <c r="P221" s="12" t="e">
        <f>HYPERLINK(#REF!,"Link")</f>
        <v>#REF!</v>
      </c>
      <c r="Q221" s="12" t="e">
        <f>HYPERLINK(#REF!,"Link")</f>
        <v>#REF!</v>
      </c>
    </row>
    <row r="222" spans="1:17" x14ac:dyDescent="0.3">
      <c r="A222" t="s">
        <v>584</v>
      </c>
      <c r="B222" t="s">
        <v>585</v>
      </c>
      <c r="C222" s="9" t="s">
        <v>3750</v>
      </c>
      <c r="D222" s="9" t="s">
        <v>3751</v>
      </c>
      <c r="E222" s="14">
        <v>1999</v>
      </c>
      <c r="F222" s="3">
        <v>649</v>
      </c>
      <c r="G222" s="3">
        <f t="shared" si="16"/>
        <v>7996</v>
      </c>
      <c r="H222" s="3">
        <f t="shared" si="15"/>
        <v>2596</v>
      </c>
      <c r="I222" s="14">
        <f t="shared" si="17"/>
        <v>5437.2800000000007</v>
      </c>
      <c r="J222" s="14">
        <f t="shared" si="18"/>
        <v>-5400</v>
      </c>
      <c r="K222" s="1">
        <v>0.68</v>
      </c>
      <c r="L222">
        <v>4.2</v>
      </c>
      <c r="M222" s="2">
        <v>24269</v>
      </c>
      <c r="N222" t="s">
        <v>11</v>
      </c>
      <c r="O222">
        <f t="shared" si="19"/>
        <v>4</v>
      </c>
      <c r="P222" s="12" t="e">
        <f>HYPERLINK(#REF!,"Link")</f>
        <v>#REF!</v>
      </c>
      <c r="Q222" s="12" t="e">
        <f>HYPERLINK(#REF!,"Link")</f>
        <v>#REF!</v>
      </c>
    </row>
    <row r="223" spans="1:17" x14ac:dyDescent="0.3">
      <c r="A223" t="s">
        <v>586</v>
      </c>
      <c r="B223" t="s">
        <v>587</v>
      </c>
      <c r="C223" s="10" t="s">
        <v>3752</v>
      </c>
      <c r="D223" s="10" t="s">
        <v>3753</v>
      </c>
      <c r="E223" s="14">
        <v>899</v>
      </c>
      <c r="F223" s="3">
        <v>299</v>
      </c>
      <c r="G223" s="3">
        <f t="shared" si="16"/>
        <v>3596</v>
      </c>
      <c r="H223" s="3">
        <f t="shared" si="15"/>
        <v>1196</v>
      </c>
      <c r="I223" s="14">
        <f t="shared" si="17"/>
        <v>2409.3200000000002</v>
      </c>
      <c r="J223" s="14">
        <f t="shared" si="18"/>
        <v>-2400</v>
      </c>
      <c r="K223" s="1">
        <v>0.67</v>
      </c>
      <c r="L223">
        <v>3.8</v>
      </c>
      <c r="M223">
        <v>425</v>
      </c>
      <c r="N223" t="s">
        <v>588</v>
      </c>
      <c r="O223">
        <f t="shared" si="19"/>
        <v>4</v>
      </c>
      <c r="P223" s="12" t="e">
        <f>HYPERLINK(#REF!,"Link")</f>
        <v>#REF!</v>
      </c>
      <c r="Q223" s="12" t="e">
        <f>HYPERLINK(#REF!,"Link")</f>
        <v>#REF!</v>
      </c>
    </row>
    <row r="224" spans="1:17" x14ac:dyDescent="0.3">
      <c r="A224" t="s">
        <v>589</v>
      </c>
      <c r="B224" t="s">
        <v>590</v>
      </c>
      <c r="C224" s="9" t="s">
        <v>3750</v>
      </c>
      <c r="D224" s="9" t="s">
        <v>3754</v>
      </c>
      <c r="E224" s="14">
        <v>799</v>
      </c>
      <c r="F224" s="3">
        <v>399</v>
      </c>
      <c r="G224" s="3">
        <f t="shared" si="16"/>
        <v>1598</v>
      </c>
      <c r="H224" s="3">
        <f t="shared" si="15"/>
        <v>798</v>
      </c>
      <c r="I224" s="14">
        <f t="shared" si="17"/>
        <v>799</v>
      </c>
      <c r="J224" s="14">
        <f t="shared" si="18"/>
        <v>-800</v>
      </c>
      <c r="K224" s="1">
        <v>0.5</v>
      </c>
      <c r="L224">
        <v>4.0999999999999996</v>
      </c>
      <c r="M224" s="2">
        <v>1161</v>
      </c>
      <c r="N224" t="s">
        <v>591</v>
      </c>
      <c r="O224">
        <f t="shared" si="19"/>
        <v>2</v>
      </c>
      <c r="P224" s="12" t="e">
        <f>HYPERLINK(#REF!,"Link")</f>
        <v>#REF!</v>
      </c>
      <c r="Q224" s="12" t="e">
        <f>HYPERLINK(#REF!,"Link")</f>
        <v>#REF!</v>
      </c>
    </row>
    <row r="225" spans="1:17" x14ac:dyDescent="0.3">
      <c r="A225" t="s">
        <v>592</v>
      </c>
      <c r="B225" t="s">
        <v>593</v>
      </c>
      <c r="C225" s="10" t="s">
        <v>3755</v>
      </c>
      <c r="D225" s="10" t="s">
        <v>3756</v>
      </c>
      <c r="E225" s="14">
        <v>499</v>
      </c>
      <c r="F225" s="3">
        <v>249</v>
      </c>
      <c r="G225" s="3">
        <f t="shared" si="16"/>
        <v>1497</v>
      </c>
      <c r="H225" s="3">
        <f t="shared" si="15"/>
        <v>747</v>
      </c>
      <c r="I225" s="14">
        <f t="shared" si="17"/>
        <v>748.5</v>
      </c>
      <c r="J225" s="14">
        <f t="shared" si="18"/>
        <v>-750</v>
      </c>
      <c r="K225" s="1">
        <v>0.5</v>
      </c>
      <c r="L225">
        <v>4.0999999999999996</v>
      </c>
      <c r="M225" s="2">
        <v>1508</v>
      </c>
      <c r="N225" t="s">
        <v>594</v>
      </c>
      <c r="O225">
        <f t="shared" si="19"/>
        <v>3</v>
      </c>
      <c r="P225" s="12" t="e">
        <f>HYPERLINK(#REF!,"Link")</f>
        <v>#REF!</v>
      </c>
      <c r="Q225" s="12" t="e">
        <f>HYPERLINK(#REF!,"Link")</f>
        <v>#REF!</v>
      </c>
    </row>
    <row r="226" spans="1:17" x14ac:dyDescent="0.3">
      <c r="A226" t="s">
        <v>595</v>
      </c>
      <c r="B226" t="s">
        <v>596</v>
      </c>
      <c r="C226" s="9" t="s">
        <v>3748</v>
      </c>
      <c r="D226" s="9" t="s">
        <v>3749</v>
      </c>
      <c r="E226" s="14">
        <v>2299</v>
      </c>
      <c r="F226" s="3">
        <v>1249</v>
      </c>
      <c r="G226" s="3">
        <f t="shared" si="16"/>
        <v>4598</v>
      </c>
      <c r="H226" s="3">
        <f t="shared" si="15"/>
        <v>2498</v>
      </c>
      <c r="I226" s="14">
        <f t="shared" si="17"/>
        <v>2115.08</v>
      </c>
      <c r="J226" s="14">
        <f t="shared" si="18"/>
        <v>-2100</v>
      </c>
      <c r="K226" s="1">
        <v>0.46</v>
      </c>
      <c r="L226">
        <v>4.3</v>
      </c>
      <c r="M226" s="2">
        <v>7636</v>
      </c>
      <c r="N226" t="s">
        <v>597</v>
      </c>
      <c r="O226">
        <f t="shared" si="19"/>
        <v>2</v>
      </c>
      <c r="P226" s="12" t="e">
        <f>HYPERLINK(#REF!,"Link")</f>
        <v>#REF!</v>
      </c>
      <c r="Q226" s="12" t="e">
        <f>HYPERLINK(#REF!,"Link")</f>
        <v>#REF!</v>
      </c>
    </row>
    <row r="227" spans="1:17" x14ac:dyDescent="0.3">
      <c r="A227" t="s">
        <v>598</v>
      </c>
      <c r="B227" t="s">
        <v>599</v>
      </c>
      <c r="C227" s="10" t="s">
        <v>3748</v>
      </c>
      <c r="D227" s="10" t="s">
        <v>3757</v>
      </c>
      <c r="E227" s="14">
        <v>499</v>
      </c>
      <c r="F227" s="3">
        <v>213</v>
      </c>
      <c r="G227" s="3">
        <f t="shared" si="16"/>
        <v>998</v>
      </c>
      <c r="H227" s="3">
        <f t="shared" si="15"/>
        <v>426</v>
      </c>
      <c r="I227" s="14">
        <f t="shared" si="17"/>
        <v>568.8599999999999</v>
      </c>
      <c r="J227" s="14">
        <f t="shared" si="18"/>
        <v>-572</v>
      </c>
      <c r="K227" s="1">
        <v>0.56999999999999995</v>
      </c>
      <c r="L227">
        <v>3.7</v>
      </c>
      <c r="M227">
        <v>246</v>
      </c>
      <c r="N227" t="s">
        <v>600</v>
      </c>
      <c r="O227">
        <f t="shared" si="19"/>
        <v>2</v>
      </c>
      <c r="P227" s="12" t="e">
        <f>HYPERLINK(#REF!,"Link")</f>
        <v>#REF!</v>
      </c>
      <c r="Q227" s="12" t="e">
        <f>HYPERLINK(#REF!,"Link")</f>
        <v>#REF!</v>
      </c>
    </row>
    <row r="228" spans="1:17" x14ac:dyDescent="0.3">
      <c r="A228" t="s">
        <v>601</v>
      </c>
      <c r="B228" t="s">
        <v>602</v>
      </c>
      <c r="C228" s="9" t="s">
        <v>3748</v>
      </c>
      <c r="D228" s="9" t="s">
        <v>3749</v>
      </c>
      <c r="E228" s="14">
        <v>499</v>
      </c>
      <c r="F228" s="3">
        <v>209</v>
      </c>
      <c r="G228" s="3">
        <f t="shared" si="16"/>
        <v>2994</v>
      </c>
      <c r="H228" s="3">
        <f t="shared" si="15"/>
        <v>1254</v>
      </c>
      <c r="I228" s="14">
        <f t="shared" si="17"/>
        <v>1736.5199999999998</v>
      </c>
      <c r="J228" s="14">
        <f t="shared" si="18"/>
        <v>-1740</v>
      </c>
      <c r="K228" s="1">
        <v>0.57999999999999996</v>
      </c>
      <c r="L228">
        <v>4</v>
      </c>
      <c r="M228">
        <v>479</v>
      </c>
      <c r="N228" t="s">
        <v>603</v>
      </c>
      <c r="O228">
        <f t="shared" si="19"/>
        <v>6</v>
      </c>
      <c r="P228" s="12" t="e">
        <f>HYPERLINK(#REF!,"Link")</f>
        <v>#REF!</v>
      </c>
      <c r="Q228" s="12" t="e">
        <f>HYPERLINK(#REF!,"Link")</f>
        <v>#REF!</v>
      </c>
    </row>
    <row r="229" spans="1:17" x14ac:dyDescent="0.3">
      <c r="A229" t="s">
        <v>604</v>
      </c>
      <c r="B229" t="s">
        <v>605</v>
      </c>
      <c r="C229" s="10" t="s">
        <v>3748</v>
      </c>
      <c r="D229" s="10" t="s">
        <v>3758</v>
      </c>
      <c r="E229" s="14">
        <v>4999</v>
      </c>
      <c r="F229" s="3">
        <v>598</v>
      </c>
      <c r="G229" s="3">
        <f t="shared" si="16"/>
        <v>19996</v>
      </c>
      <c r="H229" s="3">
        <f t="shared" si="15"/>
        <v>2392</v>
      </c>
      <c r="I229" s="14">
        <f t="shared" si="17"/>
        <v>17596.48</v>
      </c>
      <c r="J229" s="14">
        <f t="shared" si="18"/>
        <v>-17604</v>
      </c>
      <c r="K229" s="1">
        <v>0.88</v>
      </c>
      <c r="L229">
        <v>4.2</v>
      </c>
      <c r="M229">
        <v>910</v>
      </c>
      <c r="N229" t="s">
        <v>606</v>
      </c>
      <c r="O229">
        <f t="shared" si="19"/>
        <v>4</v>
      </c>
      <c r="P229" s="12" t="e">
        <f>HYPERLINK(#REF!,"Link")</f>
        <v>#REF!</v>
      </c>
      <c r="Q229" s="12" t="e">
        <f>HYPERLINK(#REF!,"Link")</f>
        <v>#REF!</v>
      </c>
    </row>
    <row r="230" spans="1:17" x14ac:dyDescent="0.3">
      <c r="A230" t="s">
        <v>607</v>
      </c>
      <c r="B230" t="s">
        <v>488</v>
      </c>
      <c r="C230" s="9" t="s">
        <v>3748</v>
      </c>
      <c r="D230" s="9" t="s">
        <v>3759</v>
      </c>
      <c r="E230" s="14">
        <v>1749</v>
      </c>
      <c r="F230" s="3">
        <v>799</v>
      </c>
      <c r="G230" s="3">
        <f t="shared" si="16"/>
        <v>5247</v>
      </c>
      <c r="H230" s="3">
        <f t="shared" si="15"/>
        <v>2397</v>
      </c>
      <c r="I230" s="14">
        <f t="shared" si="17"/>
        <v>2833.38</v>
      </c>
      <c r="J230" s="14">
        <f t="shared" si="18"/>
        <v>-2850</v>
      </c>
      <c r="K230" s="1">
        <v>0.54</v>
      </c>
      <c r="L230">
        <v>4.0999999999999996</v>
      </c>
      <c r="M230" s="2">
        <v>5626</v>
      </c>
      <c r="N230" t="s">
        <v>608</v>
      </c>
      <c r="O230">
        <f t="shared" si="19"/>
        <v>3</v>
      </c>
      <c r="P230" s="12" t="e">
        <f>HYPERLINK(#REF!,"Link")</f>
        <v>#REF!</v>
      </c>
      <c r="Q230" s="12" t="e">
        <f>HYPERLINK(#REF!,"Link")</f>
        <v>#REF!</v>
      </c>
    </row>
    <row r="231" spans="1:17" x14ac:dyDescent="0.3">
      <c r="A231" t="s">
        <v>609</v>
      </c>
      <c r="B231" t="s">
        <v>610</v>
      </c>
      <c r="C231" s="10" t="s">
        <v>3748</v>
      </c>
      <c r="D231" s="10" t="s">
        <v>3759</v>
      </c>
      <c r="E231" s="14">
        <v>595</v>
      </c>
      <c r="F231" s="3">
        <v>159</v>
      </c>
      <c r="G231" s="3">
        <f t="shared" si="16"/>
        <v>2380</v>
      </c>
      <c r="H231" s="3">
        <f t="shared" si="15"/>
        <v>636</v>
      </c>
      <c r="I231" s="14">
        <f t="shared" si="17"/>
        <v>1737.3999999999999</v>
      </c>
      <c r="J231" s="14">
        <f t="shared" si="18"/>
        <v>-1744</v>
      </c>
      <c r="K231" s="1">
        <v>0.73</v>
      </c>
      <c r="L231">
        <v>4.3</v>
      </c>
      <c r="M231" s="2">
        <v>14184</v>
      </c>
      <c r="N231" t="s">
        <v>611</v>
      </c>
      <c r="O231">
        <f t="shared" si="19"/>
        <v>4</v>
      </c>
      <c r="P231" s="12" t="e">
        <f>HYPERLINK(#REF!,"Link")</f>
        <v>#REF!</v>
      </c>
      <c r="Q231" s="12" t="e">
        <f>HYPERLINK(#REF!,"Link")</f>
        <v>#REF!</v>
      </c>
    </row>
    <row r="232" spans="1:17" x14ac:dyDescent="0.3">
      <c r="A232" t="s">
        <v>612</v>
      </c>
      <c r="B232" t="s">
        <v>613</v>
      </c>
      <c r="C232" s="9" t="s">
        <v>3748</v>
      </c>
      <c r="D232" s="9" t="s">
        <v>3760</v>
      </c>
      <c r="E232" s="14">
        <v>1100</v>
      </c>
      <c r="F232" s="3">
        <v>499</v>
      </c>
      <c r="G232" s="3">
        <f t="shared" si="16"/>
        <v>4400</v>
      </c>
      <c r="H232" s="3">
        <f t="shared" si="15"/>
        <v>1996</v>
      </c>
      <c r="I232" s="14">
        <f t="shared" si="17"/>
        <v>2420</v>
      </c>
      <c r="J232" s="14">
        <f t="shared" si="18"/>
        <v>-2404</v>
      </c>
      <c r="K232" s="1">
        <v>0.55000000000000004</v>
      </c>
      <c r="L232">
        <v>4.4000000000000004</v>
      </c>
      <c r="M232" s="2">
        <v>25177</v>
      </c>
      <c r="N232" t="s">
        <v>614</v>
      </c>
      <c r="O232">
        <f t="shared" si="19"/>
        <v>4</v>
      </c>
      <c r="P232" s="12" t="e">
        <f>HYPERLINK(#REF!,"Link")</f>
        <v>#REF!</v>
      </c>
      <c r="Q232" s="12" t="e">
        <f>HYPERLINK(#REF!,"Link")</f>
        <v>#REF!</v>
      </c>
    </row>
    <row r="233" spans="1:17" x14ac:dyDescent="0.3">
      <c r="A233" t="s">
        <v>615</v>
      </c>
      <c r="B233" t="s">
        <v>522</v>
      </c>
      <c r="C233" s="10" t="s">
        <v>3725</v>
      </c>
      <c r="D233" s="10" t="s">
        <v>3761</v>
      </c>
      <c r="E233" s="14">
        <v>49999</v>
      </c>
      <c r="F233" s="3">
        <v>31999</v>
      </c>
      <c r="G233" s="3">
        <f t="shared" si="16"/>
        <v>99998</v>
      </c>
      <c r="H233" s="3">
        <f t="shared" si="15"/>
        <v>63998</v>
      </c>
      <c r="I233" s="14">
        <f t="shared" si="17"/>
        <v>35999.279999999999</v>
      </c>
      <c r="J233" s="14">
        <f t="shared" si="18"/>
        <v>-36000</v>
      </c>
      <c r="K233" s="1">
        <v>0.36</v>
      </c>
      <c r="L233">
        <v>4.3</v>
      </c>
      <c r="M233" s="2">
        <v>21252</v>
      </c>
      <c r="N233" t="s">
        <v>616</v>
      </c>
      <c r="O233">
        <f t="shared" si="19"/>
        <v>2</v>
      </c>
      <c r="P233" s="12" t="e">
        <f>HYPERLINK(#REF!,"Link")</f>
        <v>#REF!</v>
      </c>
      <c r="Q233" s="12" t="e">
        <f>HYPERLINK(#REF!,"Link")</f>
        <v>#REF!</v>
      </c>
    </row>
    <row r="234" spans="1:17" x14ac:dyDescent="0.3">
      <c r="A234" t="s">
        <v>617</v>
      </c>
      <c r="B234" t="s">
        <v>618</v>
      </c>
      <c r="C234" s="9" t="s">
        <v>3748</v>
      </c>
      <c r="D234" s="9" t="s">
        <v>3762</v>
      </c>
      <c r="E234" s="14">
        <v>56790</v>
      </c>
      <c r="F234" s="3">
        <v>32990</v>
      </c>
      <c r="G234" s="3">
        <f t="shared" si="16"/>
        <v>170370</v>
      </c>
      <c r="H234" s="3">
        <f t="shared" si="15"/>
        <v>98970</v>
      </c>
      <c r="I234" s="14">
        <f t="shared" si="17"/>
        <v>71555.399999999994</v>
      </c>
      <c r="J234" s="14">
        <f t="shared" si="18"/>
        <v>-71400</v>
      </c>
      <c r="K234" s="1">
        <v>0.42</v>
      </c>
      <c r="L234">
        <v>4.3</v>
      </c>
      <c r="M234">
        <v>567</v>
      </c>
      <c r="N234" t="s">
        <v>619</v>
      </c>
      <c r="O234">
        <f t="shared" si="19"/>
        <v>3</v>
      </c>
      <c r="P234" s="12" t="e">
        <f>HYPERLINK(#REF!,"Link")</f>
        <v>#REF!</v>
      </c>
      <c r="Q234" s="12" t="e">
        <f>HYPERLINK(#REF!,"Link")</f>
        <v>#REF!</v>
      </c>
    </row>
    <row r="235" spans="1:17" x14ac:dyDescent="0.3">
      <c r="A235" t="s">
        <v>620</v>
      </c>
      <c r="B235" t="s">
        <v>621</v>
      </c>
      <c r="C235" s="10" t="s">
        <v>3748</v>
      </c>
      <c r="D235" s="10" t="s">
        <v>3763</v>
      </c>
      <c r="E235" s="14">
        <v>1199</v>
      </c>
      <c r="F235" s="3">
        <v>299</v>
      </c>
      <c r="G235" s="3">
        <f t="shared" si="16"/>
        <v>2398</v>
      </c>
      <c r="H235" s="3">
        <f t="shared" si="15"/>
        <v>598</v>
      </c>
      <c r="I235" s="14">
        <f t="shared" si="17"/>
        <v>1798.5</v>
      </c>
      <c r="J235" s="14">
        <f t="shared" si="18"/>
        <v>-1800</v>
      </c>
      <c r="K235" s="1">
        <v>0.75</v>
      </c>
      <c r="L235">
        <v>3.5</v>
      </c>
      <c r="M235">
        <v>466</v>
      </c>
      <c r="N235" t="s">
        <v>622</v>
      </c>
      <c r="O235">
        <f t="shared" si="19"/>
        <v>2</v>
      </c>
      <c r="P235" s="12" t="e">
        <f>HYPERLINK(#REF!,"Link")</f>
        <v>#REF!</v>
      </c>
      <c r="Q235" s="12" t="e">
        <f>HYPERLINK(#REF!,"Link")</f>
        <v>#REF!</v>
      </c>
    </row>
    <row r="236" spans="1:17" x14ac:dyDescent="0.3">
      <c r="A236" t="s">
        <v>623</v>
      </c>
      <c r="B236" t="s">
        <v>518</v>
      </c>
      <c r="C236" s="9" t="s">
        <v>3748</v>
      </c>
      <c r="D236" s="9" t="s">
        <v>3765</v>
      </c>
      <c r="E236" s="14">
        <v>549</v>
      </c>
      <c r="F236" s="3">
        <v>128.31</v>
      </c>
      <c r="G236" s="3">
        <f t="shared" si="16"/>
        <v>1098</v>
      </c>
      <c r="H236" s="3">
        <f t="shared" si="15"/>
        <v>256.62</v>
      </c>
      <c r="I236" s="14">
        <f t="shared" si="17"/>
        <v>845.46</v>
      </c>
      <c r="J236" s="14">
        <f t="shared" si="18"/>
        <v>-841.38</v>
      </c>
      <c r="K236" s="1">
        <v>0.77</v>
      </c>
      <c r="L236">
        <v>3.9</v>
      </c>
      <c r="M236">
        <v>61</v>
      </c>
      <c r="N236" t="s">
        <v>519</v>
      </c>
      <c r="O236">
        <f t="shared" si="19"/>
        <v>2</v>
      </c>
      <c r="P236" s="12" t="e">
        <f>HYPERLINK(#REF!,"Link")</f>
        <v>#REF!</v>
      </c>
      <c r="Q236" s="12" t="e">
        <f>HYPERLINK(#REF!,"Link")</f>
        <v>#REF!</v>
      </c>
    </row>
    <row r="237" spans="1:17" x14ac:dyDescent="0.3">
      <c r="A237" t="s">
        <v>624</v>
      </c>
      <c r="B237" t="s">
        <v>445</v>
      </c>
      <c r="C237" s="10" t="s">
        <v>3748</v>
      </c>
      <c r="D237" s="10" t="s">
        <v>3736</v>
      </c>
      <c r="E237" s="14">
        <v>849</v>
      </c>
      <c r="F237" s="3">
        <v>599</v>
      </c>
      <c r="G237" s="3">
        <f t="shared" si="16"/>
        <v>1698</v>
      </c>
      <c r="H237" s="3">
        <f t="shared" si="15"/>
        <v>1198</v>
      </c>
      <c r="I237" s="14">
        <f t="shared" si="17"/>
        <v>492.41999999999996</v>
      </c>
      <c r="J237" s="14">
        <f t="shared" si="18"/>
        <v>-500</v>
      </c>
      <c r="K237" s="1">
        <v>0.28999999999999998</v>
      </c>
      <c r="L237">
        <v>4.5</v>
      </c>
      <c r="M237">
        <v>474</v>
      </c>
      <c r="N237" t="s">
        <v>625</v>
      </c>
      <c r="O237">
        <f t="shared" si="19"/>
        <v>2</v>
      </c>
      <c r="P237" s="12" t="e">
        <f>HYPERLINK(#REF!,"Link")</f>
        <v>#REF!</v>
      </c>
      <c r="Q237" s="12" t="e">
        <f>HYPERLINK(#REF!,"Link")</f>
        <v>#REF!</v>
      </c>
    </row>
    <row r="238" spans="1:17" x14ac:dyDescent="0.3">
      <c r="A238" t="s">
        <v>626</v>
      </c>
      <c r="B238" t="s">
        <v>627</v>
      </c>
      <c r="C238" s="9" t="s">
        <v>3748</v>
      </c>
      <c r="D238" s="9" t="s">
        <v>3766</v>
      </c>
      <c r="E238" s="14">
        <v>899</v>
      </c>
      <c r="F238" s="3">
        <v>399</v>
      </c>
      <c r="G238" s="3">
        <f t="shared" si="16"/>
        <v>2697</v>
      </c>
      <c r="H238" s="3">
        <f t="shared" si="15"/>
        <v>1197</v>
      </c>
      <c r="I238" s="14">
        <f t="shared" si="17"/>
        <v>1510.3200000000002</v>
      </c>
      <c r="J238" s="14">
        <f t="shared" si="18"/>
        <v>-1500</v>
      </c>
      <c r="K238" s="1">
        <v>0.56000000000000005</v>
      </c>
      <c r="L238">
        <v>3.4</v>
      </c>
      <c r="M238">
        <v>431</v>
      </c>
      <c r="N238" t="s">
        <v>628</v>
      </c>
      <c r="O238">
        <f t="shared" si="19"/>
        <v>3</v>
      </c>
      <c r="P238" s="12" t="e">
        <f>HYPERLINK(#REF!,"Link")</f>
        <v>#REF!</v>
      </c>
      <c r="Q238" s="12" t="e">
        <f>HYPERLINK(#REF!,"Link")</f>
        <v>#REF!</v>
      </c>
    </row>
    <row r="239" spans="1:17" x14ac:dyDescent="0.3">
      <c r="A239" t="s">
        <v>629</v>
      </c>
      <c r="B239" t="s">
        <v>630</v>
      </c>
      <c r="C239" s="10" t="s">
        <v>3748</v>
      </c>
      <c r="D239" s="10" t="s">
        <v>3736</v>
      </c>
      <c r="E239" s="14">
        <v>1099</v>
      </c>
      <c r="F239" s="3">
        <v>449</v>
      </c>
      <c r="G239" s="3">
        <f t="shared" si="16"/>
        <v>3297</v>
      </c>
      <c r="H239" s="3">
        <f t="shared" si="15"/>
        <v>1347</v>
      </c>
      <c r="I239" s="14">
        <f t="shared" si="17"/>
        <v>1945.23</v>
      </c>
      <c r="J239" s="14">
        <f t="shared" si="18"/>
        <v>-1950</v>
      </c>
      <c r="K239" s="1">
        <v>0.59</v>
      </c>
      <c r="L239">
        <v>4</v>
      </c>
      <c r="M239">
        <v>242</v>
      </c>
      <c r="N239" t="s">
        <v>631</v>
      </c>
      <c r="O239">
        <f t="shared" si="19"/>
        <v>3</v>
      </c>
      <c r="P239" s="12" t="e">
        <f>HYPERLINK(#REF!,"Link")</f>
        <v>#REF!</v>
      </c>
      <c r="Q239" s="12" t="e">
        <f>HYPERLINK(#REF!,"Link")</f>
        <v>#REF!</v>
      </c>
    </row>
    <row r="240" spans="1:17" x14ac:dyDescent="0.3">
      <c r="A240" t="s">
        <v>632</v>
      </c>
      <c r="B240" t="s">
        <v>633</v>
      </c>
      <c r="C240" s="9" t="s">
        <v>3755</v>
      </c>
      <c r="D240" s="9" t="s">
        <v>3767</v>
      </c>
      <c r="E240" s="14">
        <v>799</v>
      </c>
      <c r="F240" s="3">
        <v>254</v>
      </c>
      <c r="G240" s="3">
        <f t="shared" si="16"/>
        <v>3196</v>
      </c>
      <c r="H240" s="3">
        <f t="shared" si="15"/>
        <v>1016</v>
      </c>
      <c r="I240" s="14">
        <f t="shared" si="17"/>
        <v>2173.2800000000002</v>
      </c>
      <c r="J240" s="14">
        <f t="shared" si="18"/>
        <v>-2180</v>
      </c>
      <c r="K240" s="1">
        <v>0.68</v>
      </c>
      <c r="L240">
        <v>4</v>
      </c>
      <c r="M240" s="2">
        <v>2905</v>
      </c>
      <c r="N240" t="s">
        <v>634</v>
      </c>
      <c r="O240">
        <f t="shared" si="19"/>
        <v>4</v>
      </c>
      <c r="P240" s="12" t="e">
        <f>HYPERLINK(#REF!,"Link")</f>
        <v>#REF!</v>
      </c>
      <c r="Q240" s="12" t="e">
        <f>HYPERLINK(#REF!,"Link")</f>
        <v>#REF!</v>
      </c>
    </row>
    <row r="241" spans="1:17" x14ac:dyDescent="0.3">
      <c r="A241" t="s">
        <v>635</v>
      </c>
      <c r="B241" t="s">
        <v>636</v>
      </c>
      <c r="C241" s="10" t="s">
        <v>3768</v>
      </c>
      <c r="D241" s="10" t="s">
        <v>3769</v>
      </c>
      <c r="E241" s="14">
        <v>795</v>
      </c>
      <c r="F241" s="3">
        <v>399</v>
      </c>
      <c r="G241" s="3">
        <f t="shared" si="16"/>
        <v>2385</v>
      </c>
      <c r="H241" s="3">
        <f t="shared" si="15"/>
        <v>1197</v>
      </c>
      <c r="I241" s="14">
        <f t="shared" si="17"/>
        <v>1192.5</v>
      </c>
      <c r="J241" s="14">
        <f t="shared" si="18"/>
        <v>-1188</v>
      </c>
      <c r="K241" s="1">
        <v>0.5</v>
      </c>
      <c r="L241">
        <v>4.4000000000000004</v>
      </c>
      <c r="M241" s="2">
        <v>12091</v>
      </c>
      <c r="N241" t="s">
        <v>637</v>
      </c>
      <c r="O241">
        <f t="shared" si="19"/>
        <v>3</v>
      </c>
      <c r="P241" s="12" t="e">
        <f>HYPERLINK(#REF!,"Link")</f>
        <v>#REF!</v>
      </c>
      <c r="Q241" s="12" t="e">
        <f>HYPERLINK(#REF!,"Link")</f>
        <v>#REF!</v>
      </c>
    </row>
    <row r="242" spans="1:17" x14ac:dyDescent="0.3">
      <c r="A242" t="s">
        <v>638</v>
      </c>
      <c r="B242" t="s">
        <v>97</v>
      </c>
      <c r="C242" s="9" t="s">
        <v>3738</v>
      </c>
      <c r="D242" s="9"/>
      <c r="E242" s="14">
        <v>399</v>
      </c>
      <c r="F242" s="3">
        <v>179</v>
      </c>
      <c r="G242" s="3">
        <f t="shared" si="16"/>
        <v>798</v>
      </c>
      <c r="H242" s="3">
        <f t="shared" si="15"/>
        <v>358</v>
      </c>
      <c r="I242" s="14">
        <f t="shared" si="17"/>
        <v>438.90000000000003</v>
      </c>
      <c r="J242" s="14">
        <f t="shared" si="18"/>
        <v>-440</v>
      </c>
      <c r="K242" s="1">
        <v>0.55000000000000004</v>
      </c>
      <c r="L242">
        <v>4</v>
      </c>
      <c r="M242" s="2">
        <v>1423</v>
      </c>
      <c r="N242" t="s">
        <v>220</v>
      </c>
      <c r="O242">
        <f t="shared" si="19"/>
        <v>2</v>
      </c>
      <c r="P242" s="12" t="e">
        <f>HYPERLINK(#REF!,"Link")</f>
        <v>#REF!</v>
      </c>
      <c r="Q242" s="12" t="e">
        <f>HYPERLINK(#REF!,"Link")</f>
        <v>#REF!</v>
      </c>
    </row>
    <row r="243" spans="1:17" x14ac:dyDescent="0.3">
      <c r="A243" t="s">
        <v>639</v>
      </c>
      <c r="B243" t="s">
        <v>241</v>
      </c>
      <c r="C243" s="10" t="s">
        <v>3748</v>
      </c>
      <c r="D243" s="10" t="s">
        <v>3762</v>
      </c>
      <c r="E243" s="14">
        <v>999</v>
      </c>
      <c r="F243" s="3">
        <v>339</v>
      </c>
      <c r="G243" s="3">
        <f t="shared" si="16"/>
        <v>7992</v>
      </c>
      <c r="H243" s="3">
        <f t="shared" si="15"/>
        <v>2712</v>
      </c>
      <c r="I243" s="14">
        <f t="shared" si="17"/>
        <v>5274.72</v>
      </c>
      <c r="J243" s="14">
        <f t="shared" si="18"/>
        <v>-5280</v>
      </c>
      <c r="K243" s="1">
        <v>0.66</v>
      </c>
      <c r="L243">
        <v>4.3</v>
      </c>
      <c r="M243" s="2">
        <v>6255</v>
      </c>
      <c r="N243" t="s">
        <v>439</v>
      </c>
      <c r="O243">
        <f t="shared" si="19"/>
        <v>8</v>
      </c>
      <c r="P243" s="12" t="e">
        <f>HYPERLINK(#REF!,"Link")</f>
        <v>#REF!</v>
      </c>
      <c r="Q243" s="12" t="e">
        <f>HYPERLINK(#REF!,"Link")</f>
        <v>#REF!</v>
      </c>
    </row>
    <row r="244" spans="1:17" x14ac:dyDescent="0.3">
      <c r="A244" t="s">
        <v>640</v>
      </c>
      <c r="B244" t="s">
        <v>590</v>
      </c>
      <c r="C244" s="9" t="s">
        <v>3748</v>
      </c>
      <c r="D244" s="9" t="s">
        <v>3736</v>
      </c>
      <c r="E244" s="14">
        <v>999</v>
      </c>
      <c r="F244" s="3">
        <v>399</v>
      </c>
      <c r="G244" s="3">
        <f t="shared" si="16"/>
        <v>1998</v>
      </c>
      <c r="H244" s="3">
        <f t="shared" si="15"/>
        <v>798</v>
      </c>
      <c r="I244" s="14">
        <f t="shared" si="17"/>
        <v>1198.8</v>
      </c>
      <c r="J244" s="14">
        <f t="shared" si="18"/>
        <v>-1200</v>
      </c>
      <c r="K244" s="1">
        <v>0.6</v>
      </c>
      <c r="L244">
        <v>4</v>
      </c>
      <c r="M244" s="2">
        <v>1236</v>
      </c>
      <c r="N244" t="s">
        <v>641</v>
      </c>
      <c r="O244">
        <f t="shared" si="19"/>
        <v>2</v>
      </c>
      <c r="P244" s="12" t="e">
        <f>HYPERLINK(#REF!,"Link")</f>
        <v>#REF!</v>
      </c>
      <c r="Q244" s="12" t="e">
        <f>HYPERLINK(#REF!,"Link")</f>
        <v>#REF!</v>
      </c>
    </row>
    <row r="245" spans="1:17" x14ac:dyDescent="0.3">
      <c r="A245" t="s">
        <v>642</v>
      </c>
      <c r="B245" t="s">
        <v>643</v>
      </c>
      <c r="C245" s="10" t="s">
        <v>3770</v>
      </c>
      <c r="D245" s="10"/>
      <c r="E245" s="14">
        <v>399</v>
      </c>
      <c r="F245" s="3">
        <v>199</v>
      </c>
      <c r="G245" s="3">
        <f t="shared" si="16"/>
        <v>1197</v>
      </c>
      <c r="H245" s="3">
        <f t="shared" si="15"/>
        <v>597</v>
      </c>
      <c r="I245" s="14">
        <f t="shared" si="17"/>
        <v>598.5</v>
      </c>
      <c r="J245" s="14">
        <f t="shared" si="18"/>
        <v>-600</v>
      </c>
      <c r="K245" s="1">
        <v>0.5</v>
      </c>
      <c r="L245">
        <v>4.2</v>
      </c>
      <c r="M245" s="2">
        <v>1335</v>
      </c>
      <c r="N245" t="s">
        <v>644</v>
      </c>
      <c r="O245">
        <f t="shared" si="19"/>
        <v>3</v>
      </c>
      <c r="P245" s="12" t="e">
        <f>HYPERLINK(#REF!,"Link")</f>
        <v>#REF!</v>
      </c>
      <c r="Q245" s="12" t="e">
        <f>HYPERLINK(#REF!,"Link")</f>
        <v>#REF!</v>
      </c>
    </row>
    <row r="246" spans="1:17" x14ac:dyDescent="0.3">
      <c r="A246" t="s">
        <v>645</v>
      </c>
      <c r="B246" t="s">
        <v>646</v>
      </c>
      <c r="C246" s="9" t="s">
        <v>3771</v>
      </c>
      <c r="D246" s="9" t="s">
        <v>3772</v>
      </c>
      <c r="E246" s="14">
        <v>1999</v>
      </c>
      <c r="F246" s="3">
        <v>349</v>
      </c>
      <c r="G246" s="3">
        <f t="shared" si="16"/>
        <v>11994</v>
      </c>
      <c r="H246" s="3">
        <f t="shared" si="15"/>
        <v>2094</v>
      </c>
      <c r="I246" s="14">
        <f t="shared" si="17"/>
        <v>9955.0199999999986</v>
      </c>
      <c r="J246" s="14">
        <f t="shared" si="18"/>
        <v>-9900</v>
      </c>
      <c r="K246" s="1">
        <v>0.83</v>
      </c>
      <c r="L246">
        <v>3.8</v>
      </c>
      <c r="M246">
        <v>197</v>
      </c>
      <c r="N246" t="s">
        <v>647</v>
      </c>
      <c r="O246">
        <f t="shared" si="19"/>
        <v>6</v>
      </c>
      <c r="P246" s="12" t="e">
        <f>HYPERLINK(#REF!,"Link")</f>
        <v>#REF!</v>
      </c>
      <c r="Q246" s="12" t="e">
        <f>HYPERLINK(#REF!,"Link")</f>
        <v>#REF!</v>
      </c>
    </row>
    <row r="247" spans="1:17" x14ac:dyDescent="0.3">
      <c r="A247" t="s">
        <v>648</v>
      </c>
      <c r="B247" t="s">
        <v>649</v>
      </c>
      <c r="C247" s="10" t="s">
        <v>3771</v>
      </c>
      <c r="D247" s="10" t="s">
        <v>3773</v>
      </c>
      <c r="E247" s="14">
        <v>798</v>
      </c>
      <c r="F247" s="3">
        <v>299</v>
      </c>
      <c r="G247" s="3">
        <f t="shared" si="16"/>
        <v>5586</v>
      </c>
      <c r="H247" s="3">
        <f t="shared" si="15"/>
        <v>2093</v>
      </c>
      <c r="I247" s="14">
        <f t="shared" si="17"/>
        <v>3519.1800000000003</v>
      </c>
      <c r="J247" s="14">
        <f t="shared" si="18"/>
        <v>-3493</v>
      </c>
      <c r="K247" s="1">
        <v>0.63</v>
      </c>
      <c r="L247">
        <v>4.4000000000000004</v>
      </c>
      <c r="M247" s="2">
        <v>28791</v>
      </c>
      <c r="N247" t="s">
        <v>239</v>
      </c>
      <c r="O247">
        <f t="shared" si="19"/>
        <v>7</v>
      </c>
      <c r="P247" s="12" t="e">
        <f>HYPERLINK(#REF!,"Link")</f>
        <v>#REF!</v>
      </c>
      <c r="Q247" s="12" t="e">
        <f>HYPERLINK(#REF!,"Link")</f>
        <v>#REF!</v>
      </c>
    </row>
    <row r="248" spans="1:17" x14ac:dyDescent="0.3">
      <c r="A248" t="s">
        <v>650</v>
      </c>
      <c r="B248" t="s">
        <v>651</v>
      </c>
      <c r="C248" s="9" t="s">
        <v>3768</v>
      </c>
      <c r="D248" s="9" t="s">
        <v>3774</v>
      </c>
      <c r="E248" s="14">
        <v>800</v>
      </c>
      <c r="F248" s="3">
        <v>89</v>
      </c>
      <c r="G248" s="3">
        <f t="shared" si="16"/>
        <v>4000</v>
      </c>
      <c r="H248" s="3">
        <f t="shared" si="15"/>
        <v>445</v>
      </c>
      <c r="I248" s="14">
        <f t="shared" si="17"/>
        <v>3560</v>
      </c>
      <c r="J248" s="14">
        <f t="shared" si="18"/>
        <v>-3555</v>
      </c>
      <c r="K248" s="1">
        <v>0.89</v>
      </c>
      <c r="L248">
        <v>3.9</v>
      </c>
      <c r="M248" s="2">
        <v>1075</v>
      </c>
      <c r="N248" t="s">
        <v>107</v>
      </c>
      <c r="O248">
        <f t="shared" si="19"/>
        <v>5</v>
      </c>
      <c r="P248" s="12" t="e">
        <f>HYPERLINK(#REF!,"Link")</f>
        <v>#REF!</v>
      </c>
      <c r="Q248" s="12" t="e">
        <f>HYPERLINK(#REF!,"Link")</f>
        <v>#REF!</v>
      </c>
    </row>
    <row r="249" spans="1:17" x14ac:dyDescent="0.3">
      <c r="A249" t="s">
        <v>652</v>
      </c>
      <c r="B249" t="s">
        <v>185</v>
      </c>
      <c r="C249" s="10" t="s">
        <v>3768</v>
      </c>
      <c r="D249" s="10" t="s">
        <v>3775</v>
      </c>
      <c r="E249" s="14">
        <v>995</v>
      </c>
      <c r="F249" s="3">
        <v>549</v>
      </c>
      <c r="G249" s="3">
        <f t="shared" si="16"/>
        <v>1990</v>
      </c>
      <c r="H249" s="3">
        <f t="shared" si="15"/>
        <v>1098</v>
      </c>
      <c r="I249" s="14">
        <f t="shared" si="17"/>
        <v>895.5</v>
      </c>
      <c r="J249" s="14">
        <f t="shared" si="18"/>
        <v>-892</v>
      </c>
      <c r="K249" s="1">
        <v>0.45</v>
      </c>
      <c r="L249">
        <v>4.2</v>
      </c>
      <c r="M249" s="2">
        <v>29746</v>
      </c>
      <c r="N249" t="s">
        <v>186</v>
      </c>
      <c r="O249">
        <f t="shared" si="19"/>
        <v>2</v>
      </c>
      <c r="P249" s="12" t="e">
        <f>HYPERLINK(#REF!,"Link")</f>
        <v>#REF!</v>
      </c>
      <c r="Q249" s="12" t="e">
        <f>HYPERLINK(#REF!,"Link")</f>
        <v>#REF!</v>
      </c>
    </row>
    <row r="250" spans="1:17" x14ac:dyDescent="0.3">
      <c r="A250" t="s">
        <v>653</v>
      </c>
      <c r="B250" t="s">
        <v>654</v>
      </c>
      <c r="C250" s="9" t="s">
        <v>3771</v>
      </c>
      <c r="D250" s="9" t="s">
        <v>3776</v>
      </c>
      <c r="E250" s="14">
        <v>1000</v>
      </c>
      <c r="F250" s="3">
        <v>129</v>
      </c>
      <c r="G250" s="3">
        <f t="shared" si="16"/>
        <v>1000</v>
      </c>
      <c r="H250" s="3">
        <f t="shared" si="15"/>
        <v>129</v>
      </c>
      <c r="I250" s="14">
        <f t="shared" si="17"/>
        <v>870</v>
      </c>
      <c r="J250" s="14">
        <f t="shared" si="18"/>
        <v>-871</v>
      </c>
      <c r="K250" s="1">
        <v>0.87</v>
      </c>
      <c r="L250">
        <v>3.9</v>
      </c>
      <c r="M250">
        <v>295</v>
      </c>
      <c r="N250" t="s">
        <v>655</v>
      </c>
      <c r="O250">
        <f t="shared" si="19"/>
        <v>1</v>
      </c>
      <c r="P250" s="12" t="e">
        <f>HYPERLINK(#REF!,"Link")</f>
        <v>#REF!</v>
      </c>
      <c r="Q250" s="12" t="e">
        <f>HYPERLINK(#REF!,"Link")</f>
        <v>#REF!</v>
      </c>
    </row>
    <row r="251" spans="1:17" x14ac:dyDescent="0.3">
      <c r="A251" t="s">
        <v>656</v>
      </c>
      <c r="B251" t="s">
        <v>657</v>
      </c>
      <c r="C251" s="10" t="s">
        <v>3777</v>
      </c>
      <c r="D251" s="10"/>
      <c r="E251" s="14">
        <v>139900</v>
      </c>
      <c r="F251" s="3">
        <v>77990</v>
      </c>
      <c r="G251" s="3">
        <f t="shared" si="16"/>
        <v>279800</v>
      </c>
      <c r="H251" s="3">
        <f t="shared" si="15"/>
        <v>155980</v>
      </c>
      <c r="I251" s="14">
        <f t="shared" si="17"/>
        <v>123112</v>
      </c>
      <c r="J251" s="14">
        <f t="shared" si="18"/>
        <v>-123820</v>
      </c>
      <c r="K251" s="1">
        <v>0.44</v>
      </c>
      <c r="L251">
        <v>4.7</v>
      </c>
      <c r="M251" s="2">
        <v>5935</v>
      </c>
      <c r="N251" t="s">
        <v>658</v>
      </c>
      <c r="O251">
        <f t="shared" si="19"/>
        <v>2</v>
      </c>
      <c r="P251" s="12" t="e">
        <f>HYPERLINK(#REF!,"Link")</f>
        <v>#REF!</v>
      </c>
      <c r="Q251" s="12" t="e">
        <f>HYPERLINK(#REF!,"Link")</f>
        <v>#REF!</v>
      </c>
    </row>
    <row r="252" spans="1:17" x14ac:dyDescent="0.3">
      <c r="A252" t="s">
        <v>659</v>
      </c>
      <c r="B252" t="s">
        <v>660</v>
      </c>
      <c r="C252" s="9" t="s">
        <v>3778</v>
      </c>
      <c r="D252" s="9"/>
      <c r="E252" s="14">
        <v>799</v>
      </c>
      <c r="F252" s="3">
        <v>349</v>
      </c>
      <c r="G252" s="3">
        <f t="shared" si="16"/>
        <v>799</v>
      </c>
      <c r="H252" s="3">
        <f t="shared" si="15"/>
        <v>349</v>
      </c>
      <c r="I252" s="14">
        <f t="shared" si="17"/>
        <v>447.44000000000005</v>
      </c>
      <c r="J252" s="14">
        <f t="shared" si="18"/>
        <v>-450</v>
      </c>
      <c r="K252" s="1">
        <v>0.56000000000000005</v>
      </c>
      <c r="L252">
        <v>3.6</v>
      </c>
      <c r="M252">
        <v>323</v>
      </c>
      <c r="N252" t="s">
        <v>661</v>
      </c>
      <c r="O252">
        <f t="shared" si="19"/>
        <v>1</v>
      </c>
      <c r="P252" s="12" t="e">
        <f>HYPERLINK(#REF!,"Link")</f>
        <v>#REF!</v>
      </c>
      <c r="Q252" s="12" t="e">
        <f>HYPERLINK(#REF!,"Link")</f>
        <v>#REF!</v>
      </c>
    </row>
    <row r="253" spans="1:17" x14ac:dyDescent="0.3">
      <c r="A253" t="s">
        <v>662</v>
      </c>
      <c r="B253" t="s">
        <v>663</v>
      </c>
      <c r="C253" s="10" t="s">
        <v>3779</v>
      </c>
      <c r="D253" s="10" t="s">
        <v>3780</v>
      </c>
      <c r="E253" s="14">
        <v>899</v>
      </c>
      <c r="F253" s="3">
        <v>499</v>
      </c>
      <c r="G253" s="3">
        <f t="shared" si="16"/>
        <v>2697</v>
      </c>
      <c r="H253" s="3">
        <f t="shared" si="15"/>
        <v>1497</v>
      </c>
      <c r="I253" s="14">
        <f t="shared" si="17"/>
        <v>1186.68</v>
      </c>
      <c r="J253" s="14">
        <f t="shared" si="18"/>
        <v>-1200</v>
      </c>
      <c r="K253" s="1">
        <v>0.44</v>
      </c>
      <c r="L253">
        <v>3.7</v>
      </c>
      <c r="M253">
        <v>185</v>
      </c>
      <c r="N253" t="s">
        <v>664</v>
      </c>
      <c r="O253">
        <f t="shared" si="19"/>
        <v>3</v>
      </c>
      <c r="P253" s="12" t="e">
        <f>HYPERLINK(#REF!,"Link")</f>
        <v>#REF!</v>
      </c>
      <c r="Q253" s="12" t="e">
        <f>HYPERLINK(#REF!,"Link")</f>
        <v>#REF!</v>
      </c>
    </row>
    <row r="254" spans="1:17" x14ac:dyDescent="0.3">
      <c r="A254" t="s">
        <v>665</v>
      </c>
      <c r="B254" t="s">
        <v>666</v>
      </c>
      <c r="C254" s="9" t="s">
        <v>3781</v>
      </c>
      <c r="D254" s="9" t="s">
        <v>3782</v>
      </c>
      <c r="E254" s="14">
        <v>799</v>
      </c>
      <c r="F254" s="3">
        <v>299</v>
      </c>
      <c r="G254" s="3">
        <f t="shared" si="16"/>
        <v>1598</v>
      </c>
      <c r="H254" s="3">
        <f t="shared" si="15"/>
        <v>598</v>
      </c>
      <c r="I254" s="14">
        <f t="shared" si="17"/>
        <v>1006.74</v>
      </c>
      <c r="J254" s="14">
        <f t="shared" si="18"/>
        <v>-1000</v>
      </c>
      <c r="K254" s="1">
        <v>0.63</v>
      </c>
      <c r="L254">
        <v>4.2</v>
      </c>
      <c r="M254" s="2">
        <v>2117</v>
      </c>
      <c r="N254" t="s">
        <v>667</v>
      </c>
      <c r="O254">
        <f t="shared" si="19"/>
        <v>2</v>
      </c>
      <c r="P254" s="12" t="e">
        <f>HYPERLINK(#REF!,"Link")</f>
        <v>#REF!</v>
      </c>
      <c r="Q254" s="12" t="e">
        <f>HYPERLINK(#REF!,"Link")</f>
        <v>#REF!</v>
      </c>
    </row>
    <row r="255" spans="1:17" x14ac:dyDescent="0.3">
      <c r="A255" t="s">
        <v>668</v>
      </c>
      <c r="B255" t="s">
        <v>134</v>
      </c>
      <c r="C255" s="10" t="s">
        <v>3771</v>
      </c>
      <c r="D255" s="10" t="s">
        <v>3783</v>
      </c>
      <c r="E255" s="14">
        <v>599</v>
      </c>
      <c r="F255" s="3">
        <v>182</v>
      </c>
      <c r="G255" s="3">
        <f t="shared" si="16"/>
        <v>1797</v>
      </c>
      <c r="H255" s="3">
        <f t="shared" si="15"/>
        <v>546</v>
      </c>
      <c r="I255" s="14">
        <f t="shared" si="17"/>
        <v>1257.8999999999999</v>
      </c>
      <c r="J255" s="14">
        <f t="shared" si="18"/>
        <v>-1251</v>
      </c>
      <c r="K255" s="1">
        <v>0.7</v>
      </c>
      <c r="L255">
        <v>4</v>
      </c>
      <c r="M255" s="2">
        <v>9378</v>
      </c>
      <c r="N255" t="s">
        <v>74</v>
      </c>
      <c r="O255">
        <f t="shared" si="19"/>
        <v>3</v>
      </c>
      <c r="P255" s="12" t="e">
        <f>HYPERLINK(#REF!,"Link")</f>
        <v>#REF!</v>
      </c>
      <c r="Q255" s="12" t="e">
        <f>HYPERLINK(#REF!,"Link")</f>
        <v>#REF!</v>
      </c>
    </row>
    <row r="256" spans="1:17" x14ac:dyDescent="0.3">
      <c r="A256" t="s">
        <v>669</v>
      </c>
      <c r="B256" t="s">
        <v>670</v>
      </c>
      <c r="C256" s="9" t="s">
        <v>3784</v>
      </c>
      <c r="D256" s="9"/>
      <c r="E256" s="14">
        <v>399</v>
      </c>
      <c r="F256" s="3">
        <v>96</v>
      </c>
      <c r="G256" s="3">
        <f t="shared" si="16"/>
        <v>1596</v>
      </c>
      <c r="H256" s="3">
        <f t="shared" si="15"/>
        <v>384</v>
      </c>
      <c r="I256" s="14">
        <f t="shared" si="17"/>
        <v>1212.96</v>
      </c>
      <c r="J256" s="14">
        <f t="shared" si="18"/>
        <v>-1212</v>
      </c>
      <c r="K256" s="1">
        <v>0.76</v>
      </c>
      <c r="L256">
        <v>3.6</v>
      </c>
      <c r="M256" s="2">
        <v>1796</v>
      </c>
      <c r="N256" t="s">
        <v>671</v>
      </c>
      <c r="O256">
        <f t="shared" si="19"/>
        <v>4</v>
      </c>
      <c r="P256" s="12" t="e">
        <f>HYPERLINK(#REF!,"Link")</f>
        <v>#REF!</v>
      </c>
      <c r="Q256" s="12" t="e">
        <f>HYPERLINK(#REF!,"Link")</f>
        <v>#REF!</v>
      </c>
    </row>
    <row r="257" spans="1:17" x14ac:dyDescent="0.3">
      <c r="A257" t="s">
        <v>672</v>
      </c>
      <c r="B257" t="s">
        <v>673</v>
      </c>
      <c r="C257" s="10" t="s">
        <v>3785</v>
      </c>
      <c r="D257" s="10"/>
      <c r="E257" s="14">
        <v>85000</v>
      </c>
      <c r="F257" s="3">
        <v>54990</v>
      </c>
      <c r="G257" s="3">
        <f t="shared" si="16"/>
        <v>255000</v>
      </c>
      <c r="H257" s="3">
        <f t="shared" si="15"/>
        <v>164970</v>
      </c>
      <c r="I257" s="14">
        <f t="shared" si="17"/>
        <v>89249.999999999985</v>
      </c>
      <c r="J257" s="14">
        <f t="shared" si="18"/>
        <v>-90030</v>
      </c>
      <c r="K257" s="1">
        <v>0.35</v>
      </c>
      <c r="L257">
        <v>4.3</v>
      </c>
      <c r="M257" s="2">
        <v>3587</v>
      </c>
      <c r="N257" t="s">
        <v>302</v>
      </c>
      <c r="O257">
        <f t="shared" si="19"/>
        <v>3</v>
      </c>
      <c r="P257" s="12" t="e">
        <f>HYPERLINK(#REF!,"Link")</f>
        <v>#REF!</v>
      </c>
      <c r="Q257" s="12" t="e">
        <f>HYPERLINK(#REF!,"Link")</f>
        <v>#REF!</v>
      </c>
    </row>
    <row r="258" spans="1:17" x14ac:dyDescent="0.3">
      <c r="A258" t="s">
        <v>674</v>
      </c>
      <c r="B258" t="s">
        <v>675</v>
      </c>
      <c r="C258" s="9" t="s">
        <v>3729</v>
      </c>
      <c r="D258" s="9" t="s">
        <v>3786</v>
      </c>
      <c r="E258" s="14">
        <v>758</v>
      </c>
      <c r="F258" s="3">
        <v>439</v>
      </c>
      <c r="G258" s="3">
        <f t="shared" si="16"/>
        <v>1516</v>
      </c>
      <c r="H258" s="3">
        <f t="shared" ref="H258:H321" si="20">F258*O258</f>
        <v>878</v>
      </c>
      <c r="I258" s="14">
        <f t="shared" si="17"/>
        <v>636.72</v>
      </c>
      <c r="J258" s="14">
        <f t="shared" si="18"/>
        <v>-638</v>
      </c>
      <c r="K258" s="1">
        <v>0.42</v>
      </c>
      <c r="L258">
        <v>4.2</v>
      </c>
      <c r="M258" s="2">
        <v>4296</v>
      </c>
      <c r="N258" t="s">
        <v>676</v>
      </c>
      <c r="O258">
        <f t="shared" si="19"/>
        <v>2</v>
      </c>
      <c r="P258" s="12" t="e">
        <f>HYPERLINK(#REF!,"Link")</f>
        <v>#REF!</v>
      </c>
      <c r="Q258" s="12" t="e">
        <f>HYPERLINK(#REF!,"Link")</f>
        <v>#REF!</v>
      </c>
    </row>
    <row r="259" spans="1:17" x14ac:dyDescent="0.3">
      <c r="A259" t="s">
        <v>677</v>
      </c>
      <c r="B259" t="s">
        <v>466</v>
      </c>
      <c r="C259" s="10" t="s">
        <v>3787</v>
      </c>
      <c r="D259" s="10" t="s">
        <v>3788</v>
      </c>
      <c r="E259" s="14">
        <v>999</v>
      </c>
      <c r="F259" s="3">
        <v>299</v>
      </c>
      <c r="G259" s="3">
        <f t="shared" ref="G259:G322" si="21">E259*O259</f>
        <v>1998</v>
      </c>
      <c r="H259" s="3">
        <f t="shared" si="20"/>
        <v>598</v>
      </c>
      <c r="I259" s="14">
        <f t="shared" ref="I259:I322" si="22">(E259*K259)*O259</f>
        <v>1398.6</v>
      </c>
      <c r="J259" s="14">
        <f t="shared" ref="J259:J322" si="23">H259-G259</f>
        <v>-1400</v>
      </c>
      <c r="K259" s="1">
        <v>0.7</v>
      </c>
      <c r="L259">
        <v>4.3</v>
      </c>
      <c r="M259" s="2">
        <v>2651</v>
      </c>
      <c r="N259" t="s">
        <v>467</v>
      </c>
      <c r="O259">
        <f t="shared" ref="O259:O322" si="24">LEN(N259)-LEN(SUBSTITUTE(N259,",",""))+1</f>
        <v>2</v>
      </c>
      <c r="P259" s="12" t="e">
        <f>HYPERLINK(#REF!,"Link")</f>
        <v>#REF!</v>
      </c>
      <c r="Q259" s="12" t="e">
        <f>HYPERLINK(#REF!,"Link")</f>
        <v>#REF!</v>
      </c>
    </row>
    <row r="260" spans="1:17" x14ac:dyDescent="0.3">
      <c r="A260" t="s">
        <v>678</v>
      </c>
      <c r="B260" t="s">
        <v>679</v>
      </c>
      <c r="C260" s="9" t="s">
        <v>3789</v>
      </c>
      <c r="D260" s="9"/>
      <c r="E260" s="14">
        <v>799</v>
      </c>
      <c r="F260" s="3">
        <v>299</v>
      </c>
      <c r="G260" s="3">
        <f t="shared" si="21"/>
        <v>3196</v>
      </c>
      <c r="H260" s="3">
        <f t="shared" si="20"/>
        <v>1196</v>
      </c>
      <c r="I260" s="14">
        <f t="shared" si="22"/>
        <v>2013.48</v>
      </c>
      <c r="J260" s="14">
        <f t="shared" si="23"/>
        <v>-2000</v>
      </c>
      <c r="K260" s="1">
        <v>0.63</v>
      </c>
      <c r="L260">
        <v>4.2</v>
      </c>
      <c r="M260" s="2">
        <v>94363</v>
      </c>
      <c r="N260" t="s">
        <v>20</v>
      </c>
      <c r="O260">
        <f t="shared" si="24"/>
        <v>4</v>
      </c>
      <c r="P260" s="12" t="e">
        <f>HYPERLINK(#REF!,"Link")</f>
        <v>#REF!</v>
      </c>
      <c r="Q260" s="12" t="e">
        <f>HYPERLINK(#REF!,"Link")</f>
        <v>#REF!</v>
      </c>
    </row>
    <row r="261" spans="1:17" x14ac:dyDescent="0.3">
      <c r="A261" t="s">
        <v>680</v>
      </c>
      <c r="B261" t="s">
        <v>508</v>
      </c>
      <c r="C261" s="10" t="s">
        <v>3729</v>
      </c>
      <c r="D261" s="10" t="s">
        <v>3786</v>
      </c>
      <c r="E261" s="14">
        <v>1999</v>
      </c>
      <c r="F261" s="3">
        <v>789</v>
      </c>
      <c r="G261" s="3">
        <f t="shared" si="21"/>
        <v>15992</v>
      </c>
      <c r="H261" s="3">
        <f t="shared" si="20"/>
        <v>6312</v>
      </c>
      <c r="I261" s="14">
        <f t="shared" si="22"/>
        <v>9755.119999999999</v>
      </c>
      <c r="J261" s="14">
        <f t="shared" si="23"/>
        <v>-9680</v>
      </c>
      <c r="K261" s="1">
        <v>0.61</v>
      </c>
      <c r="L261">
        <v>4.2</v>
      </c>
      <c r="M261" s="2">
        <v>34540</v>
      </c>
      <c r="N261" t="s">
        <v>681</v>
      </c>
      <c r="O261">
        <f t="shared" si="24"/>
        <v>8</v>
      </c>
      <c r="P261" s="12" t="e">
        <f>HYPERLINK(#REF!,"Link")</f>
        <v>#REF!</v>
      </c>
      <c r="Q261" s="12" t="e">
        <f>HYPERLINK(#REF!,"Link")</f>
        <v>#REF!</v>
      </c>
    </row>
    <row r="262" spans="1:17" x14ac:dyDescent="0.3">
      <c r="A262" t="s">
        <v>682</v>
      </c>
      <c r="B262" t="s">
        <v>683</v>
      </c>
      <c r="C262" s="9" t="s">
        <v>3790</v>
      </c>
      <c r="D262" s="9" t="s">
        <v>3791</v>
      </c>
      <c r="E262" s="14">
        <v>700</v>
      </c>
      <c r="F262" s="3">
        <v>299</v>
      </c>
      <c r="G262" s="3">
        <f t="shared" si="21"/>
        <v>2100</v>
      </c>
      <c r="H262" s="3">
        <f t="shared" si="20"/>
        <v>897</v>
      </c>
      <c r="I262" s="14">
        <f t="shared" si="22"/>
        <v>1196.9999999999998</v>
      </c>
      <c r="J262" s="14">
        <f t="shared" si="23"/>
        <v>-1203</v>
      </c>
      <c r="K262" s="1">
        <v>0.56999999999999995</v>
      </c>
      <c r="L262">
        <v>4.4000000000000004</v>
      </c>
      <c r="M262" s="2">
        <v>8714</v>
      </c>
      <c r="N262" t="s">
        <v>684</v>
      </c>
      <c r="O262">
        <f t="shared" si="24"/>
        <v>3</v>
      </c>
      <c r="P262" s="12" t="e">
        <f>HYPERLINK(#REF!,"Link")</f>
        <v>#REF!</v>
      </c>
      <c r="Q262" s="12" t="e">
        <f>HYPERLINK(#REF!,"Link")</f>
        <v>#REF!</v>
      </c>
    </row>
    <row r="263" spans="1:17" x14ac:dyDescent="0.3">
      <c r="A263" t="s">
        <v>685</v>
      </c>
      <c r="B263" t="s">
        <v>585</v>
      </c>
      <c r="C263" s="10" t="s">
        <v>3771</v>
      </c>
      <c r="D263" s="10" t="s">
        <v>3792</v>
      </c>
      <c r="E263" s="14">
        <v>1099</v>
      </c>
      <c r="F263" s="3">
        <v>325</v>
      </c>
      <c r="G263" s="3">
        <f t="shared" si="21"/>
        <v>2198</v>
      </c>
      <c r="H263" s="3">
        <f t="shared" si="20"/>
        <v>650</v>
      </c>
      <c r="I263" s="14">
        <f t="shared" si="22"/>
        <v>1538.6</v>
      </c>
      <c r="J263" s="14">
        <f t="shared" si="23"/>
        <v>-1548</v>
      </c>
      <c r="K263" s="1">
        <v>0.7</v>
      </c>
      <c r="L263">
        <v>4.2</v>
      </c>
      <c r="M263" s="2">
        <v>10576</v>
      </c>
      <c r="N263" t="s">
        <v>242</v>
      </c>
      <c r="O263">
        <f t="shared" si="24"/>
        <v>2</v>
      </c>
      <c r="P263" s="12" t="e">
        <f>HYPERLINK(#REF!,"Link")</f>
        <v>#REF!</v>
      </c>
      <c r="Q263" s="12" t="e">
        <f>HYPERLINK(#REF!,"Link")</f>
        <v>#REF!</v>
      </c>
    </row>
    <row r="264" spans="1:17" x14ac:dyDescent="0.3">
      <c r="A264" t="s">
        <v>686</v>
      </c>
      <c r="B264" t="s">
        <v>331</v>
      </c>
      <c r="C264" s="9" t="s">
        <v>3793</v>
      </c>
      <c r="D264" s="9" t="s">
        <v>3794</v>
      </c>
      <c r="E264" s="14">
        <v>1999</v>
      </c>
      <c r="F264" s="3">
        <v>1299</v>
      </c>
      <c r="G264" s="3">
        <f t="shared" si="21"/>
        <v>5997</v>
      </c>
      <c r="H264" s="3">
        <f t="shared" si="20"/>
        <v>3897</v>
      </c>
      <c r="I264" s="14">
        <f t="shared" si="22"/>
        <v>2098.9499999999998</v>
      </c>
      <c r="J264" s="14">
        <f t="shared" si="23"/>
        <v>-2100</v>
      </c>
      <c r="K264" s="1">
        <v>0.35</v>
      </c>
      <c r="L264">
        <v>4.4000000000000004</v>
      </c>
      <c r="M264" s="2">
        <v>7318</v>
      </c>
      <c r="N264" t="s">
        <v>524</v>
      </c>
      <c r="O264">
        <f t="shared" si="24"/>
        <v>3</v>
      </c>
      <c r="P264" s="12" t="e">
        <f>HYPERLINK(#REF!,"Link")</f>
        <v>#REF!</v>
      </c>
      <c r="Q264" s="12" t="e">
        <f>HYPERLINK(#REF!,"Link")</f>
        <v>#REF!</v>
      </c>
    </row>
    <row r="265" spans="1:17" x14ac:dyDescent="0.3">
      <c r="A265" t="s">
        <v>687</v>
      </c>
      <c r="B265" t="s">
        <v>688</v>
      </c>
      <c r="C265" s="10" t="s">
        <v>3795</v>
      </c>
      <c r="D265" s="10" t="s">
        <v>3796</v>
      </c>
      <c r="E265" s="14">
        <v>1999</v>
      </c>
      <c r="F265" s="3">
        <v>790</v>
      </c>
      <c r="G265" s="3">
        <f t="shared" si="21"/>
        <v>5997</v>
      </c>
      <c r="H265" s="3">
        <f t="shared" si="20"/>
        <v>2370</v>
      </c>
      <c r="I265" s="14">
        <f t="shared" si="22"/>
        <v>3598.2</v>
      </c>
      <c r="J265" s="14">
        <f t="shared" si="23"/>
        <v>-3627</v>
      </c>
      <c r="K265" s="1">
        <v>0.6</v>
      </c>
      <c r="L265">
        <v>3</v>
      </c>
      <c r="M265">
        <v>103</v>
      </c>
      <c r="N265" t="s">
        <v>689</v>
      </c>
      <c r="O265">
        <f t="shared" si="24"/>
        <v>3</v>
      </c>
      <c r="P265" s="12" t="e">
        <f>HYPERLINK(#REF!,"Link")</f>
        <v>#REF!</v>
      </c>
      <c r="Q265" s="12" t="e">
        <f>HYPERLINK(#REF!,"Link")</f>
        <v>#REF!</v>
      </c>
    </row>
    <row r="266" spans="1:17" x14ac:dyDescent="0.3">
      <c r="A266" t="s">
        <v>690</v>
      </c>
      <c r="B266" t="s">
        <v>691</v>
      </c>
      <c r="C266" s="9" t="s">
        <v>3771</v>
      </c>
      <c r="D266" s="9" t="s">
        <v>3792</v>
      </c>
      <c r="E266" s="14">
        <v>4699</v>
      </c>
      <c r="F266" s="3">
        <v>4699</v>
      </c>
      <c r="G266" s="3">
        <f t="shared" si="21"/>
        <v>14097</v>
      </c>
      <c r="H266" s="3">
        <f t="shared" si="20"/>
        <v>14097</v>
      </c>
      <c r="I266" s="14">
        <f t="shared" si="22"/>
        <v>0</v>
      </c>
      <c r="J266" s="14">
        <f t="shared" si="23"/>
        <v>0</v>
      </c>
      <c r="K266" s="1">
        <v>0</v>
      </c>
      <c r="L266">
        <v>4.5</v>
      </c>
      <c r="M266">
        <v>224</v>
      </c>
      <c r="N266" t="s">
        <v>692</v>
      </c>
      <c r="O266">
        <f t="shared" si="24"/>
        <v>3</v>
      </c>
      <c r="P266" s="12" t="e">
        <f>HYPERLINK(#REF!,"Link")</f>
        <v>#REF!</v>
      </c>
      <c r="Q266" s="12" t="e">
        <f>HYPERLINK(#REF!,"Link")</f>
        <v>#REF!</v>
      </c>
    </row>
    <row r="267" spans="1:17" x14ac:dyDescent="0.3">
      <c r="A267" t="s">
        <v>693</v>
      </c>
      <c r="B267" t="s">
        <v>694</v>
      </c>
      <c r="C267" s="10" t="s">
        <v>3797</v>
      </c>
      <c r="D267" s="10"/>
      <c r="E267" s="14">
        <v>24990</v>
      </c>
      <c r="F267" s="3">
        <v>18999</v>
      </c>
      <c r="G267" s="3">
        <f t="shared" si="21"/>
        <v>124950</v>
      </c>
      <c r="H267" s="3">
        <f t="shared" si="20"/>
        <v>94995</v>
      </c>
      <c r="I267" s="14">
        <f t="shared" si="22"/>
        <v>29987.999999999996</v>
      </c>
      <c r="J267" s="14">
        <f t="shared" si="23"/>
        <v>-29955</v>
      </c>
      <c r="K267" s="1">
        <v>0.24</v>
      </c>
      <c r="L267">
        <v>4.3</v>
      </c>
      <c r="M267" s="2">
        <v>4702</v>
      </c>
      <c r="N267" t="s">
        <v>77</v>
      </c>
      <c r="O267">
        <f t="shared" si="24"/>
        <v>5</v>
      </c>
      <c r="P267" s="12" t="e">
        <f>HYPERLINK(#REF!,"Link")</f>
        <v>#REF!</v>
      </c>
      <c r="Q267" s="12" t="e">
        <f>HYPERLINK(#REF!,"Link")</f>
        <v>#REF!</v>
      </c>
    </row>
    <row r="268" spans="1:17" x14ac:dyDescent="0.3">
      <c r="A268" t="s">
        <v>695</v>
      </c>
      <c r="B268" t="s">
        <v>696</v>
      </c>
      <c r="C268" s="9" t="s">
        <v>3798</v>
      </c>
      <c r="D268" s="9" t="s">
        <v>3799</v>
      </c>
      <c r="E268" s="14">
        <v>999</v>
      </c>
      <c r="F268" s="3">
        <v>199</v>
      </c>
      <c r="G268" s="3">
        <f t="shared" si="21"/>
        <v>1998</v>
      </c>
      <c r="H268" s="3">
        <f t="shared" si="20"/>
        <v>398</v>
      </c>
      <c r="I268" s="14">
        <f t="shared" si="22"/>
        <v>1598.4</v>
      </c>
      <c r="J268" s="14">
        <f t="shared" si="23"/>
        <v>-1600</v>
      </c>
      <c r="K268" s="1">
        <v>0.8</v>
      </c>
      <c r="L268">
        <v>4.2</v>
      </c>
      <c r="M268">
        <v>85</v>
      </c>
      <c r="N268" t="s">
        <v>697</v>
      </c>
      <c r="O268">
        <f t="shared" si="24"/>
        <v>2</v>
      </c>
      <c r="P268" s="12" t="e">
        <f>HYPERLINK(#REF!,"Link")</f>
        <v>#REF!</v>
      </c>
      <c r="Q268" s="12" t="e">
        <f>HYPERLINK(#REF!,"Link")</f>
        <v>#REF!</v>
      </c>
    </row>
    <row r="269" spans="1:17" x14ac:dyDescent="0.3">
      <c r="A269" t="s">
        <v>698</v>
      </c>
      <c r="B269" t="s">
        <v>699</v>
      </c>
      <c r="C269" s="10"/>
      <c r="D269" s="10"/>
      <c r="E269" s="14">
        <v>650</v>
      </c>
      <c r="F269" s="3">
        <v>269</v>
      </c>
      <c r="G269" s="3">
        <f t="shared" si="21"/>
        <v>3250</v>
      </c>
      <c r="H269" s="3">
        <f t="shared" si="20"/>
        <v>1345</v>
      </c>
      <c r="I269" s="14">
        <f t="shared" si="22"/>
        <v>1917.5</v>
      </c>
      <c r="J269" s="14">
        <f t="shared" si="23"/>
        <v>-1905</v>
      </c>
      <c r="K269" s="1">
        <v>0.59</v>
      </c>
      <c r="L269">
        <v>4.4000000000000004</v>
      </c>
      <c r="M269" s="2">
        <v>35877</v>
      </c>
      <c r="N269" t="s">
        <v>700</v>
      </c>
      <c r="O269">
        <f t="shared" si="24"/>
        <v>5</v>
      </c>
      <c r="P269" s="12" t="e">
        <f>HYPERLINK(#REF!,"Link")</f>
        <v>#REF!</v>
      </c>
      <c r="Q269" s="12" t="e">
        <f>HYPERLINK(#REF!,"Link")</f>
        <v>#REF!</v>
      </c>
    </row>
    <row r="270" spans="1:17" x14ac:dyDescent="0.3">
      <c r="A270" t="s">
        <v>701</v>
      </c>
      <c r="B270" t="s">
        <v>702</v>
      </c>
      <c r="C270" s="9" t="s">
        <v>3800</v>
      </c>
      <c r="D270" s="9"/>
      <c r="E270" s="14">
        <v>3100</v>
      </c>
      <c r="F270" s="3">
        <v>1990</v>
      </c>
      <c r="G270" s="3">
        <f t="shared" si="21"/>
        <v>12400</v>
      </c>
      <c r="H270" s="3">
        <f t="shared" si="20"/>
        <v>7960</v>
      </c>
      <c r="I270" s="14">
        <f t="shared" si="22"/>
        <v>4464</v>
      </c>
      <c r="J270" s="14">
        <f t="shared" si="23"/>
        <v>-4440</v>
      </c>
      <c r="K270" s="1">
        <v>0.36</v>
      </c>
      <c r="L270">
        <v>4</v>
      </c>
      <c r="M270">
        <v>897</v>
      </c>
      <c r="N270" t="s">
        <v>703</v>
      </c>
      <c r="O270">
        <f t="shared" si="24"/>
        <v>4</v>
      </c>
      <c r="P270" s="12" t="e">
        <f>HYPERLINK(#REF!,"Link")</f>
        <v>#REF!</v>
      </c>
      <c r="Q270" s="12" t="e">
        <f>HYPERLINK(#REF!,"Link")</f>
        <v>#REF!</v>
      </c>
    </row>
    <row r="271" spans="1:17" x14ac:dyDescent="0.3">
      <c r="A271" t="s">
        <v>704</v>
      </c>
      <c r="B271" t="s">
        <v>705</v>
      </c>
      <c r="C271" s="10" t="s">
        <v>3755</v>
      </c>
      <c r="D271" s="10" t="s">
        <v>3801</v>
      </c>
      <c r="E271" s="14">
        <v>3999</v>
      </c>
      <c r="F271" s="3">
        <v>2299</v>
      </c>
      <c r="G271" s="3">
        <f t="shared" si="21"/>
        <v>15996</v>
      </c>
      <c r="H271" s="3">
        <f t="shared" si="20"/>
        <v>9196</v>
      </c>
      <c r="I271" s="14">
        <f t="shared" si="22"/>
        <v>6878.28</v>
      </c>
      <c r="J271" s="14">
        <f t="shared" si="23"/>
        <v>-6800</v>
      </c>
      <c r="K271" s="1">
        <v>0.43</v>
      </c>
      <c r="L271">
        <v>3.8</v>
      </c>
      <c r="M271">
        <v>282</v>
      </c>
      <c r="N271" t="s">
        <v>706</v>
      </c>
      <c r="O271">
        <f t="shared" si="24"/>
        <v>4</v>
      </c>
      <c r="P271" s="12" t="e">
        <f>HYPERLINK(#REF!,"Link")</f>
        <v>#REF!</v>
      </c>
      <c r="Q271" s="12" t="e">
        <f>HYPERLINK(#REF!,"Link")</f>
        <v>#REF!</v>
      </c>
    </row>
    <row r="272" spans="1:17" x14ac:dyDescent="0.3">
      <c r="A272" t="s">
        <v>707</v>
      </c>
      <c r="B272" t="s">
        <v>463</v>
      </c>
      <c r="C272" s="9" t="s">
        <v>3744</v>
      </c>
      <c r="D272" s="9" t="s">
        <v>3802</v>
      </c>
      <c r="E272" s="14">
        <v>49990</v>
      </c>
      <c r="F272" s="3">
        <v>35999</v>
      </c>
      <c r="G272" s="3">
        <f t="shared" si="21"/>
        <v>99980</v>
      </c>
      <c r="H272" s="3">
        <f t="shared" si="20"/>
        <v>71998</v>
      </c>
      <c r="I272" s="14">
        <f t="shared" si="22"/>
        <v>27994.400000000001</v>
      </c>
      <c r="J272" s="14">
        <f t="shared" si="23"/>
        <v>-27982</v>
      </c>
      <c r="K272" s="1">
        <v>0.28000000000000003</v>
      </c>
      <c r="L272">
        <v>4.3</v>
      </c>
      <c r="M272" s="2">
        <v>1611</v>
      </c>
      <c r="N272" t="s">
        <v>455</v>
      </c>
      <c r="O272">
        <f t="shared" si="24"/>
        <v>2</v>
      </c>
      <c r="P272" s="12" t="e">
        <f>HYPERLINK(#REF!,"Link")</f>
        <v>#REF!</v>
      </c>
      <c r="Q272" s="12" t="e">
        <f>HYPERLINK(#REF!,"Link")</f>
        <v>#REF!</v>
      </c>
    </row>
    <row r="273" spans="1:17" x14ac:dyDescent="0.3">
      <c r="A273" t="s">
        <v>708</v>
      </c>
      <c r="B273" t="s">
        <v>709</v>
      </c>
      <c r="C273" s="10"/>
      <c r="D273" s="10"/>
      <c r="E273" s="14">
        <v>999</v>
      </c>
      <c r="F273" s="3">
        <v>349</v>
      </c>
      <c r="G273" s="3">
        <f t="shared" si="21"/>
        <v>1998</v>
      </c>
      <c r="H273" s="3">
        <f t="shared" si="20"/>
        <v>698</v>
      </c>
      <c r="I273" s="14">
        <f t="shared" si="22"/>
        <v>1298.7</v>
      </c>
      <c r="J273" s="14">
        <f t="shared" si="23"/>
        <v>-1300</v>
      </c>
      <c r="K273" s="1">
        <v>0.65</v>
      </c>
      <c r="L273">
        <v>4.2</v>
      </c>
      <c r="M273">
        <v>513</v>
      </c>
      <c r="N273" t="s">
        <v>710</v>
      </c>
      <c r="O273">
        <f t="shared" si="24"/>
        <v>2</v>
      </c>
      <c r="P273" s="12" t="e">
        <f>HYPERLINK(#REF!,"Link")</f>
        <v>#REF!</v>
      </c>
      <c r="Q273" s="12" t="e">
        <f>HYPERLINK(#REF!,"Link")</f>
        <v>#REF!</v>
      </c>
    </row>
    <row r="274" spans="1:17" x14ac:dyDescent="0.3">
      <c r="A274" t="s">
        <v>711</v>
      </c>
      <c r="B274" t="s">
        <v>277</v>
      </c>
      <c r="C274" s="9" t="s">
        <v>3779</v>
      </c>
      <c r="D274" s="9" t="s">
        <v>3780</v>
      </c>
      <c r="E274" s="14">
        <v>1499</v>
      </c>
      <c r="F274" s="3">
        <v>719</v>
      </c>
      <c r="G274" s="3">
        <f t="shared" si="21"/>
        <v>2998</v>
      </c>
      <c r="H274" s="3">
        <f t="shared" si="20"/>
        <v>1438</v>
      </c>
      <c r="I274" s="14">
        <f t="shared" si="22"/>
        <v>1558.96</v>
      </c>
      <c r="J274" s="14">
        <f t="shared" si="23"/>
        <v>-1560</v>
      </c>
      <c r="K274" s="1">
        <v>0.52</v>
      </c>
      <c r="L274">
        <v>4.0999999999999996</v>
      </c>
      <c r="M274" s="2">
        <v>1045</v>
      </c>
      <c r="N274" t="s">
        <v>278</v>
      </c>
      <c r="O274">
        <f t="shared" si="24"/>
        <v>2</v>
      </c>
      <c r="P274" s="12" t="e">
        <f>HYPERLINK(#REF!,"Link")</f>
        <v>#REF!</v>
      </c>
      <c r="Q274" s="12" t="e">
        <f>HYPERLINK(#REF!,"Link")</f>
        <v>#REF!</v>
      </c>
    </row>
    <row r="275" spans="1:17" x14ac:dyDescent="0.3">
      <c r="A275" t="s">
        <v>712</v>
      </c>
      <c r="B275" t="s">
        <v>158</v>
      </c>
      <c r="C275" s="10" t="s">
        <v>3803</v>
      </c>
      <c r="D275" s="10"/>
      <c r="E275" s="14">
        <v>18999</v>
      </c>
      <c r="F275" s="3">
        <v>8999</v>
      </c>
      <c r="G275" s="3">
        <f t="shared" si="21"/>
        <v>56997</v>
      </c>
      <c r="H275" s="3">
        <f t="shared" si="20"/>
        <v>26997</v>
      </c>
      <c r="I275" s="14">
        <f t="shared" si="22"/>
        <v>30208.410000000003</v>
      </c>
      <c r="J275" s="14">
        <f t="shared" si="23"/>
        <v>-30000</v>
      </c>
      <c r="K275" s="1">
        <v>0.53</v>
      </c>
      <c r="L275">
        <v>4</v>
      </c>
      <c r="M275" s="2">
        <v>6347</v>
      </c>
      <c r="N275" t="s">
        <v>713</v>
      </c>
      <c r="O275">
        <f t="shared" si="24"/>
        <v>3</v>
      </c>
      <c r="P275" s="12" t="e">
        <f>HYPERLINK(#REF!,"Link")</f>
        <v>#REF!</v>
      </c>
      <c r="Q275" s="12" t="e">
        <f>HYPERLINK(#REF!,"Link")</f>
        <v>#REF!</v>
      </c>
    </row>
    <row r="276" spans="1:17" x14ac:dyDescent="0.3">
      <c r="A276" t="s">
        <v>714</v>
      </c>
      <c r="B276" t="s">
        <v>715</v>
      </c>
      <c r="C276" s="9" t="s">
        <v>3727</v>
      </c>
      <c r="D276" s="9" t="s">
        <v>3804</v>
      </c>
      <c r="E276" s="14">
        <v>2299</v>
      </c>
      <c r="F276" s="3">
        <v>917</v>
      </c>
      <c r="G276" s="3">
        <f t="shared" si="21"/>
        <v>6897</v>
      </c>
      <c r="H276" s="3">
        <f t="shared" si="20"/>
        <v>2751</v>
      </c>
      <c r="I276" s="14">
        <f t="shared" si="22"/>
        <v>4138.2</v>
      </c>
      <c r="J276" s="14">
        <f t="shared" si="23"/>
        <v>-4146</v>
      </c>
      <c r="K276" s="1">
        <v>0.6</v>
      </c>
      <c r="L276">
        <v>4.2</v>
      </c>
      <c r="M276" s="2">
        <v>3300</v>
      </c>
      <c r="N276" t="s">
        <v>716</v>
      </c>
      <c r="O276">
        <f t="shared" si="24"/>
        <v>3</v>
      </c>
      <c r="P276" s="12" t="e">
        <f>HYPERLINK(#REF!,"Link")</f>
        <v>#REF!</v>
      </c>
      <c r="Q276" s="12" t="e">
        <f>HYPERLINK(#REF!,"Link")</f>
        <v>#REF!</v>
      </c>
    </row>
    <row r="277" spans="1:17" x14ac:dyDescent="0.3">
      <c r="A277" t="s">
        <v>717</v>
      </c>
      <c r="B277" t="s">
        <v>718</v>
      </c>
      <c r="C277" s="10" t="s">
        <v>3738</v>
      </c>
      <c r="D277" s="10" t="s">
        <v>3805</v>
      </c>
      <c r="E277" s="14">
        <v>999</v>
      </c>
      <c r="F277" s="3">
        <v>399</v>
      </c>
      <c r="G277" s="3">
        <f t="shared" si="21"/>
        <v>1998</v>
      </c>
      <c r="H277" s="3">
        <f t="shared" si="20"/>
        <v>798</v>
      </c>
      <c r="I277" s="14">
        <f t="shared" si="22"/>
        <v>1198.8</v>
      </c>
      <c r="J277" s="14">
        <f t="shared" si="23"/>
        <v>-1200</v>
      </c>
      <c r="K277" s="1">
        <v>0.6</v>
      </c>
      <c r="L277">
        <v>3.3</v>
      </c>
      <c r="M277">
        <v>23</v>
      </c>
      <c r="N277" t="s">
        <v>719</v>
      </c>
      <c r="O277">
        <f t="shared" si="24"/>
        <v>2</v>
      </c>
      <c r="P277" s="12" t="e">
        <f>HYPERLINK(#REF!,"Link")</f>
        <v>#REF!</v>
      </c>
      <c r="Q277" s="12" t="e">
        <f>HYPERLINK(#REF!,"Link")</f>
        <v>#REF!</v>
      </c>
    </row>
    <row r="278" spans="1:17" x14ac:dyDescent="0.3">
      <c r="A278" t="s">
        <v>720</v>
      </c>
      <c r="B278" t="s">
        <v>511</v>
      </c>
      <c r="C278" s="9" t="s">
        <v>3729</v>
      </c>
      <c r="D278" s="9" t="s">
        <v>3786</v>
      </c>
      <c r="E278" s="14">
        <v>69900</v>
      </c>
      <c r="F278" s="3">
        <v>45999</v>
      </c>
      <c r="G278" s="3">
        <f t="shared" si="21"/>
        <v>489300</v>
      </c>
      <c r="H278" s="3">
        <f t="shared" si="20"/>
        <v>321993</v>
      </c>
      <c r="I278" s="14">
        <f t="shared" si="22"/>
        <v>166362</v>
      </c>
      <c r="J278" s="14">
        <f t="shared" si="23"/>
        <v>-167307</v>
      </c>
      <c r="K278" s="1">
        <v>0.34</v>
      </c>
      <c r="L278">
        <v>4.3</v>
      </c>
      <c r="M278" s="2">
        <v>7109</v>
      </c>
      <c r="N278" t="s">
        <v>180</v>
      </c>
      <c r="O278">
        <f t="shared" si="24"/>
        <v>7</v>
      </c>
      <c r="P278" s="12" t="e">
        <f>HYPERLINK(#REF!,"Link")</f>
        <v>#REF!</v>
      </c>
      <c r="Q278" s="12" t="e">
        <f>HYPERLINK(#REF!,"Link")</f>
        <v>#REF!</v>
      </c>
    </row>
    <row r="279" spans="1:17" x14ac:dyDescent="0.3">
      <c r="A279" t="s">
        <v>721</v>
      </c>
      <c r="B279" t="s">
        <v>722</v>
      </c>
      <c r="C279" s="10" t="s">
        <v>3729</v>
      </c>
      <c r="D279" s="10" t="s">
        <v>3806</v>
      </c>
      <c r="E279" s="14">
        <v>299</v>
      </c>
      <c r="F279" s="3">
        <v>119</v>
      </c>
      <c r="G279" s="3">
        <f t="shared" si="21"/>
        <v>598</v>
      </c>
      <c r="H279" s="3">
        <f t="shared" si="20"/>
        <v>238</v>
      </c>
      <c r="I279" s="14">
        <f t="shared" si="22"/>
        <v>358.8</v>
      </c>
      <c r="J279" s="14">
        <f t="shared" si="23"/>
        <v>-360</v>
      </c>
      <c r="K279" s="1">
        <v>0.6</v>
      </c>
      <c r="L279">
        <v>3.8</v>
      </c>
      <c r="M279">
        <v>51</v>
      </c>
      <c r="N279" t="s">
        <v>723</v>
      </c>
      <c r="O279">
        <f t="shared" si="24"/>
        <v>2</v>
      </c>
      <c r="P279" s="12" t="e">
        <f>HYPERLINK(#REF!,"Link")</f>
        <v>#REF!</v>
      </c>
      <c r="Q279" s="12" t="e">
        <f>HYPERLINK(#REF!,"Link")</f>
        <v>#REF!</v>
      </c>
    </row>
    <row r="280" spans="1:17" x14ac:dyDescent="0.3">
      <c r="A280" t="s">
        <v>724</v>
      </c>
      <c r="B280" t="s">
        <v>725</v>
      </c>
      <c r="C280" s="9"/>
      <c r="D280" s="9"/>
      <c r="E280" s="14">
        <v>29999</v>
      </c>
      <c r="F280" s="3">
        <v>21999</v>
      </c>
      <c r="G280" s="3">
        <f t="shared" si="21"/>
        <v>59998</v>
      </c>
      <c r="H280" s="3">
        <f t="shared" si="20"/>
        <v>43998</v>
      </c>
      <c r="I280" s="14">
        <f t="shared" si="22"/>
        <v>16199.460000000001</v>
      </c>
      <c r="J280" s="14">
        <f t="shared" si="23"/>
        <v>-16000</v>
      </c>
      <c r="K280" s="1">
        <v>0.27</v>
      </c>
      <c r="L280">
        <v>4.2</v>
      </c>
      <c r="M280" s="2">
        <v>32840</v>
      </c>
      <c r="N280" t="s">
        <v>55</v>
      </c>
      <c r="O280">
        <f t="shared" si="24"/>
        <v>2</v>
      </c>
      <c r="P280" s="12" t="e">
        <f>HYPERLINK(#REF!,"Link")</f>
        <v>#REF!</v>
      </c>
      <c r="Q280" s="12" t="e">
        <f>HYPERLINK(#REF!,"Link")</f>
        <v>#REF!</v>
      </c>
    </row>
    <row r="281" spans="1:17" x14ac:dyDescent="0.3">
      <c r="A281" t="s">
        <v>726</v>
      </c>
      <c r="B281" t="s">
        <v>727</v>
      </c>
      <c r="C281" s="10" t="s">
        <v>3807</v>
      </c>
      <c r="D281" s="10" t="s">
        <v>3808</v>
      </c>
      <c r="E281" s="14">
        <v>599</v>
      </c>
      <c r="F281" s="3">
        <v>299</v>
      </c>
      <c r="G281" s="3">
        <f t="shared" si="21"/>
        <v>1198</v>
      </c>
      <c r="H281" s="3">
        <f t="shared" si="20"/>
        <v>598</v>
      </c>
      <c r="I281" s="14">
        <f t="shared" si="22"/>
        <v>599</v>
      </c>
      <c r="J281" s="14">
        <f t="shared" si="23"/>
        <v>-600</v>
      </c>
      <c r="K281" s="1">
        <v>0.5</v>
      </c>
      <c r="L281">
        <v>3.7</v>
      </c>
      <c r="M281">
        <v>708</v>
      </c>
      <c r="N281" t="s">
        <v>728</v>
      </c>
      <c r="O281">
        <f t="shared" si="24"/>
        <v>2</v>
      </c>
      <c r="P281" s="12" t="e">
        <f>HYPERLINK(#REF!,"Link")</f>
        <v>#REF!</v>
      </c>
      <c r="Q281" s="12" t="e">
        <f>HYPERLINK(#REF!,"Link")</f>
        <v>#REF!</v>
      </c>
    </row>
    <row r="282" spans="1:17" x14ac:dyDescent="0.3">
      <c r="A282" t="s">
        <v>729</v>
      </c>
      <c r="B282" t="s">
        <v>730</v>
      </c>
      <c r="C282" s="9" t="s">
        <v>3729</v>
      </c>
      <c r="D282" s="9" t="s">
        <v>3809</v>
      </c>
      <c r="E282" s="14">
        <v>34990</v>
      </c>
      <c r="F282" s="3">
        <v>21990</v>
      </c>
      <c r="G282" s="3">
        <f t="shared" si="21"/>
        <v>104970</v>
      </c>
      <c r="H282" s="3">
        <f t="shared" si="20"/>
        <v>65970</v>
      </c>
      <c r="I282" s="14">
        <f t="shared" si="22"/>
        <v>38838.899999999994</v>
      </c>
      <c r="J282" s="14">
        <f t="shared" si="23"/>
        <v>-39000</v>
      </c>
      <c r="K282" s="1">
        <v>0.37</v>
      </c>
      <c r="L282">
        <v>4.3</v>
      </c>
      <c r="M282" s="2">
        <v>1657</v>
      </c>
      <c r="N282" t="s">
        <v>731</v>
      </c>
      <c r="O282">
        <f t="shared" si="24"/>
        <v>3</v>
      </c>
      <c r="P282" s="12" t="e">
        <f>HYPERLINK(#REF!,"Link")</f>
        <v>#REF!</v>
      </c>
      <c r="Q282" s="12" t="e">
        <f>HYPERLINK(#REF!,"Link")</f>
        <v>#REF!</v>
      </c>
    </row>
    <row r="283" spans="1:17" x14ac:dyDescent="0.3">
      <c r="A283" t="s">
        <v>732</v>
      </c>
      <c r="B283" t="s">
        <v>733</v>
      </c>
      <c r="C283" s="10" t="s">
        <v>3810</v>
      </c>
      <c r="D283" s="10" t="s">
        <v>3811</v>
      </c>
      <c r="E283" s="14">
        <v>670</v>
      </c>
      <c r="F283" s="3">
        <v>417.44</v>
      </c>
      <c r="G283" s="3">
        <f t="shared" si="21"/>
        <v>1340</v>
      </c>
      <c r="H283" s="3">
        <f t="shared" si="20"/>
        <v>834.88</v>
      </c>
      <c r="I283" s="14">
        <f t="shared" si="22"/>
        <v>509.2</v>
      </c>
      <c r="J283" s="14">
        <f t="shared" si="23"/>
        <v>-505.12</v>
      </c>
      <c r="K283" s="1">
        <v>0.38</v>
      </c>
      <c r="L283">
        <v>3.9</v>
      </c>
      <c r="M283">
        <v>523</v>
      </c>
      <c r="N283" t="s">
        <v>734</v>
      </c>
      <c r="O283">
        <f t="shared" si="24"/>
        <v>2</v>
      </c>
      <c r="P283" s="12" t="e">
        <f>HYPERLINK(#REF!,"Link")</f>
        <v>#REF!</v>
      </c>
      <c r="Q283" s="12" t="e">
        <f>HYPERLINK(#REF!,"Link")</f>
        <v>#REF!</v>
      </c>
    </row>
    <row r="284" spans="1:17" x14ac:dyDescent="0.3">
      <c r="A284" t="s">
        <v>735</v>
      </c>
      <c r="B284" t="s">
        <v>722</v>
      </c>
      <c r="C284" s="9" t="s">
        <v>3812</v>
      </c>
      <c r="D284" s="9" t="s">
        <v>3764</v>
      </c>
      <c r="E284" s="14">
        <v>999</v>
      </c>
      <c r="F284" s="3">
        <v>199</v>
      </c>
      <c r="G284" s="3">
        <f t="shared" si="21"/>
        <v>999</v>
      </c>
      <c r="H284" s="3">
        <f t="shared" si="20"/>
        <v>199</v>
      </c>
      <c r="I284" s="14">
        <f t="shared" si="22"/>
        <v>799.2</v>
      </c>
      <c r="J284" s="14">
        <f t="shared" si="23"/>
        <v>-800</v>
      </c>
      <c r="K284" s="1">
        <v>0.8</v>
      </c>
      <c r="L284">
        <v>3</v>
      </c>
      <c r="N284" t="s">
        <v>736</v>
      </c>
      <c r="O284">
        <f t="shared" si="24"/>
        <v>1</v>
      </c>
      <c r="P284" s="12" t="e">
        <f>HYPERLINK(#REF!,"Link")</f>
        <v>#REF!</v>
      </c>
      <c r="Q284" s="12" t="e">
        <f>HYPERLINK(#REF!,"Link")</f>
        <v>#REF!</v>
      </c>
    </row>
    <row r="285" spans="1:17" x14ac:dyDescent="0.3">
      <c r="A285" t="s">
        <v>737</v>
      </c>
      <c r="B285" t="s">
        <v>738</v>
      </c>
      <c r="C285" s="10" t="s">
        <v>3793</v>
      </c>
      <c r="D285" s="10" t="s">
        <v>3813</v>
      </c>
      <c r="E285" s="14">
        <v>79990</v>
      </c>
      <c r="F285" s="3">
        <v>47990</v>
      </c>
      <c r="G285" s="3">
        <f t="shared" si="21"/>
        <v>239970</v>
      </c>
      <c r="H285" s="3">
        <f t="shared" si="20"/>
        <v>143970</v>
      </c>
      <c r="I285" s="14">
        <f t="shared" si="22"/>
        <v>95988</v>
      </c>
      <c r="J285" s="14">
        <f t="shared" si="23"/>
        <v>-96000</v>
      </c>
      <c r="K285" s="1">
        <v>0.4</v>
      </c>
      <c r="L285">
        <v>4.3</v>
      </c>
      <c r="M285" s="2">
        <v>1376</v>
      </c>
      <c r="N285" t="s">
        <v>372</v>
      </c>
      <c r="O285">
        <f t="shared" si="24"/>
        <v>3</v>
      </c>
      <c r="P285" s="12" t="e">
        <f>HYPERLINK(#REF!,"Link")</f>
        <v>#REF!</v>
      </c>
      <c r="Q285" s="12" t="e">
        <f>HYPERLINK(#REF!,"Link")</f>
        <v>#REF!</v>
      </c>
    </row>
    <row r="286" spans="1:17" x14ac:dyDescent="0.3">
      <c r="A286" t="s">
        <v>739</v>
      </c>
      <c r="B286" t="s">
        <v>740</v>
      </c>
      <c r="C286" s="9" t="s">
        <v>3787</v>
      </c>
      <c r="D286" s="9" t="s">
        <v>3814</v>
      </c>
      <c r="E286" s="14">
        <v>499</v>
      </c>
      <c r="F286" s="3">
        <v>215</v>
      </c>
      <c r="G286" s="3">
        <f t="shared" si="21"/>
        <v>998</v>
      </c>
      <c r="H286" s="3">
        <f t="shared" si="20"/>
        <v>430</v>
      </c>
      <c r="I286" s="14">
        <f t="shared" si="22"/>
        <v>568.8599999999999</v>
      </c>
      <c r="J286" s="14">
        <f t="shared" si="23"/>
        <v>-568</v>
      </c>
      <c r="K286" s="1">
        <v>0.56999999999999995</v>
      </c>
      <c r="L286">
        <v>3.5</v>
      </c>
      <c r="M286">
        <v>121</v>
      </c>
      <c r="N286" t="s">
        <v>741</v>
      </c>
      <c r="O286">
        <f t="shared" si="24"/>
        <v>2</v>
      </c>
      <c r="P286" s="12" t="e">
        <f>HYPERLINK(#REF!,"Link")</f>
        <v>#REF!</v>
      </c>
      <c r="Q286" s="12" t="e">
        <f>HYPERLINK(#REF!,"Link")</f>
        <v>#REF!</v>
      </c>
    </row>
    <row r="287" spans="1:17" x14ac:dyDescent="0.3">
      <c r="A287" t="s">
        <v>742</v>
      </c>
      <c r="B287" t="s">
        <v>743</v>
      </c>
      <c r="C287" s="10" t="s">
        <v>3815</v>
      </c>
      <c r="D287" s="10"/>
      <c r="E287" s="14">
        <v>800</v>
      </c>
      <c r="F287" s="3">
        <v>99</v>
      </c>
      <c r="G287" s="3">
        <f t="shared" si="21"/>
        <v>4000</v>
      </c>
      <c r="H287" s="3">
        <f t="shared" si="20"/>
        <v>495</v>
      </c>
      <c r="I287" s="14">
        <f t="shared" si="22"/>
        <v>3520</v>
      </c>
      <c r="J287" s="14">
        <f t="shared" si="23"/>
        <v>-3505</v>
      </c>
      <c r="K287" s="1">
        <v>0.88</v>
      </c>
      <c r="L287">
        <v>3.9</v>
      </c>
      <c r="M287" s="2">
        <v>1075</v>
      </c>
      <c r="N287" t="s">
        <v>107</v>
      </c>
      <c r="O287">
        <f t="shared" si="24"/>
        <v>5</v>
      </c>
      <c r="P287" s="12" t="e">
        <f>HYPERLINK(#REF!,"Link")</f>
        <v>#REF!</v>
      </c>
      <c r="Q287" s="12" t="e">
        <f>HYPERLINK(#REF!,"Link")</f>
        <v>#REF!</v>
      </c>
    </row>
    <row r="288" spans="1:17" x14ac:dyDescent="0.3">
      <c r="A288" t="s">
        <v>744</v>
      </c>
      <c r="B288" t="s">
        <v>745</v>
      </c>
      <c r="C288" s="9" t="s">
        <v>3816</v>
      </c>
      <c r="D288" s="9" t="s">
        <v>3817</v>
      </c>
      <c r="E288" s="14">
        <v>35000</v>
      </c>
      <c r="F288" s="3">
        <v>18999</v>
      </c>
      <c r="G288" s="3">
        <f t="shared" si="21"/>
        <v>70000</v>
      </c>
      <c r="H288" s="3">
        <f t="shared" si="20"/>
        <v>37998</v>
      </c>
      <c r="I288" s="14">
        <f t="shared" si="22"/>
        <v>32200</v>
      </c>
      <c r="J288" s="14">
        <f t="shared" si="23"/>
        <v>-32002</v>
      </c>
      <c r="K288" s="1">
        <v>0.46</v>
      </c>
      <c r="L288">
        <v>4</v>
      </c>
      <c r="M288" s="2">
        <v>1001</v>
      </c>
      <c r="N288" t="s">
        <v>746</v>
      </c>
      <c r="O288">
        <f t="shared" si="24"/>
        <v>2</v>
      </c>
      <c r="P288" s="12" t="e">
        <f>HYPERLINK(#REF!,"Link")</f>
        <v>#REF!</v>
      </c>
      <c r="Q288" s="12" t="e">
        <f>HYPERLINK(#REF!,"Link")</f>
        <v>#REF!</v>
      </c>
    </row>
    <row r="289" spans="1:17" x14ac:dyDescent="0.3">
      <c r="A289" t="s">
        <v>747</v>
      </c>
      <c r="B289" t="s">
        <v>748</v>
      </c>
      <c r="C289" s="10" t="s">
        <v>3744</v>
      </c>
      <c r="D289" s="10" t="s">
        <v>3818</v>
      </c>
      <c r="E289" s="14">
        <v>999</v>
      </c>
      <c r="F289" s="3">
        <v>249</v>
      </c>
      <c r="G289" s="3">
        <f t="shared" si="21"/>
        <v>3996</v>
      </c>
      <c r="H289" s="3">
        <f t="shared" si="20"/>
        <v>996</v>
      </c>
      <c r="I289" s="14">
        <f t="shared" si="22"/>
        <v>2997</v>
      </c>
      <c r="J289" s="14">
        <f t="shared" si="23"/>
        <v>-3000</v>
      </c>
      <c r="K289" s="1">
        <v>0.75</v>
      </c>
      <c r="L289">
        <v>4.3</v>
      </c>
      <c r="M289">
        <v>112</v>
      </c>
      <c r="N289" t="s">
        <v>749</v>
      </c>
      <c r="O289">
        <f t="shared" si="24"/>
        <v>4</v>
      </c>
      <c r="P289" s="12" t="e">
        <f>HYPERLINK(#REF!,"Link")</f>
        <v>#REF!</v>
      </c>
      <c r="Q289" s="12" t="e">
        <f>HYPERLINK(#REF!,"Link")</f>
        <v>#REF!</v>
      </c>
    </row>
    <row r="290" spans="1:17" x14ac:dyDescent="0.3">
      <c r="A290" t="s">
        <v>750</v>
      </c>
      <c r="B290" t="s">
        <v>394</v>
      </c>
      <c r="C290" s="9" t="s">
        <v>3768</v>
      </c>
      <c r="D290" s="9" t="s">
        <v>3819</v>
      </c>
      <c r="E290" s="14">
        <v>15999</v>
      </c>
      <c r="F290" s="3">
        <v>7999</v>
      </c>
      <c r="G290" s="3">
        <f t="shared" si="21"/>
        <v>31998</v>
      </c>
      <c r="H290" s="3">
        <f t="shared" si="20"/>
        <v>15998</v>
      </c>
      <c r="I290" s="14">
        <f t="shared" si="22"/>
        <v>15999</v>
      </c>
      <c r="J290" s="14">
        <f t="shared" si="23"/>
        <v>-16000</v>
      </c>
      <c r="K290" s="1">
        <v>0.5</v>
      </c>
      <c r="L290">
        <v>3.8</v>
      </c>
      <c r="M290" s="2">
        <v>3022</v>
      </c>
      <c r="N290" t="s">
        <v>751</v>
      </c>
      <c r="O290">
        <f t="shared" si="24"/>
        <v>2</v>
      </c>
      <c r="P290" s="12" t="e">
        <f>HYPERLINK(#REF!,"Link")</f>
        <v>#REF!</v>
      </c>
      <c r="Q290" s="12" t="e">
        <f>HYPERLINK(#REF!,"Link")</f>
        <v>#REF!</v>
      </c>
    </row>
    <row r="291" spans="1:17" x14ac:dyDescent="0.3">
      <c r="A291" t="s">
        <v>752</v>
      </c>
      <c r="B291" t="s">
        <v>493</v>
      </c>
      <c r="C291" s="10" t="s">
        <v>3820</v>
      </c>
      <c r="D291" s="10"/>
      <c r="E291" s="14">
        <v>1600</v>
      </c>
      <c r="F291" s="3">
        <v>649</v>
      </c>
      <c r="G291" s="3">
        <f t="shared" si="21"/>
        <v>3200</v>
      </c>
      <c r="H291" s="3">
        <f t="shared" si="20"/>
        <v>1298</v>
      </c>
      <c r="I291" s="14">
        <f t="shared" si="22"/>
        <v>1888</v>
      </c>
      <c r="J291" s="14">
        <f t="shared" si="23"/>
        <v>-1902</v>
      </c>
      <c r="K291" s="1">
        <v>0.59</v>
      </c>
      <c r="L291">
        <v>4.3</v>
      </c>
      <c r="M291" s="2">
        <v>5451</v>
      </c>
      <c r="N291" t="s">
        <v>494</v>
      </c>
      <c r="O291">
        <f t="shared" si="24"/>
        <v>2</v>
      </c>
      <c r="P291" s="12" t="e">
        <f>HYPERLINK(#REF!,"Link")</f>
        <v>#REF!</v>
      </c>
      <c r="Q291" s="12" t="e">
        <f>HYPERLINK(#REF!,"Link")</f>
        <v>#REF!</v>
      </c>
    </row>
    <row r="292" spans="1:17" x14ac:dyDescent="0.3">
      <c r="A292" t="s">
        <v>753</v>
      </c>
      <c r="B292" t="s">
        <v>228</v>
      </c>
      <c r="C292" s="9" t="s">
        <v>3725</v>
      </c>
      <c r="D292" s="9" t="s">
        <v>3726</v>
      </c>
      <c r="E292" s="14">
        <v>2499</v>
      </c>
      <c r="F292" s="3">
        <v>1289</v>
      </c>
      <c r="G292" s="3">
        <f t="shared" si="21"/>
        <v>4998</v>
      </c>
      <c r="H292" s="3">
        <f t="shared" si="20"/>
        <v>2578</v>
      </c>
      <c r="I292" s="14">
        <f t="shared" si="22"/>
        <v>2399.04</v>
      </c>
      <c r="J292" s="14">
        <f t="shared" si="23"/>
        <v>-2420</v>
      </c>
      <c r="K292" s="1">
        <v>0.48</v>
      </c>
      <c r="L292">
        <v>3.3</v>
      </c>
      <c r="M292">
        <v>73</v>
      </c>
      <c r="N292" t="s">
        <v>754</v>
      </c>
      <c r="O292">
        <f t="shared" si="24"/>
        <v>2</v>
      </c>
      <c r="P292" s="12" t="e">
        <f>HYPERLINK(#REF!,"Link")</f>
        <v>#REF!</v>
      </c>
      <c r="Q292" s="12" t="e">
        <f>HYPERLINK(#REF!,"Link")</f>
        <v>#REF!</v>
      </c>
    </row>
    <row r="293" spans="1:17" x14ac:dyDescent="0.3">
      <c r="A293" t="s">
        <v>755</v>
      </c>
      <c r="B293" t="s">
        <v>756</v>
      </c>
      <c r="C293" s="10" t="s">
        <v>3821</v>
      </c>
      <c r="D293" s="10"/>
      <c r="E293" s="14">
        <v>1500</v>
      </c>
      <c r="F293" s="3">
        <v>609</v>
      </c>
      <c r="G293" s="3">
        <f t="shared" si="21"/>
        <v>6000</v>
      </c>
      <c r="H293" s="3">
        <f t="shared" si="20"/>
        <v>2436</v>
      </c>
      <c r="I293" s="14">
        <f t="shared" si="22"/>
        <v>3540</v>
      </c>
      <c r="J293" s="14">
        <f t="shared" si="23"/>
        <v>-3564</v>
      </c>
      <c r="K293" s="1">
        <v>0.59</v>
      </c>
      <c r="L293">
        <v>4.5</v>
      </c>
      <c r="M293" s="2">
        <v>1029</v>
      </c>
      <c r="N293" t="s">
        <v>757</v>
      </c>
      <c r="O293">
        <f t="shared" si="24"/>
        <v>4</v>
      </c>
      <c r="P293" s="12" t="e">
        <f>HYPERLINK(#REF!,"Link")</f>
        <v>#REF!</v>
      </c>
      <c r="Q293" s="12" t="e">
        <f>HYPERLINK(#REF!,"Link")</f>
        <v>#REF!</v>
      </c>
    </row>
    <row r="294" spans="1:17" x14ac:dyDescent="0.3">
      <c r="A294" t="s">
        <v>758</v>
      </c>
      <c r="B294" t="s">
        <v>759</v>
      </c>
      <c r="C294" s="9" t="s">
        <v>3822</v>
      </c>
      <c r="D294" s="9"/>
      <c r="E294" s="14">
        <v>54990</v>
      </c>
      <c r="F294" s="3">
        <v>32990</v>
      </c>
      <c r="G294" s="3">
        <f t="shared" si="21"/>
        <v>219960</v>
      </c>
      <c r="H294" s="3">
        <f t="shared" si="20"/>
        <v>131960</v>
      </c>
      <c r="I294" s="14">
        <f t="shared" si="22"/>
        <v>87984</v>
      </c>
      <c r="J294" s="14">
        <f t="shared" si="23"/>
        <v>-88000</v>
      </c>
      <c r="K294" s="1">
        <v>0.4</v>
      </c>
      <c r="L294">
        <v>4.0999999999999996</v>
      </c>
      <c r="M294" s="2">
        <v>1555</v>
      </c>
      <c r="N294" t="s">
        <v>760</v>
      </c>
      <c r="O294">
        <f t="shared" si="24"/>
        <v>4</v>
      </c>
      <c r="P294" s="12" t="e">
        <f>HYPERLINK(#REF!,"Link")</f>
        <v>#REF!</v>
      </c>
      <c r="Q294" s="12" t="e">
        <f>HYPERLINK(#REF!,"Link")</f>
        <v>#REF!</v>
      </c>
    </row>
    <row r="295" spans="1:17" x14ac:dyDescent="0.3">
      <c r="A295" t="s">
        <v>761</v>
      </c>
      <c r="B295" t="s">
        <v>762</v>
      </c>
      <c r="C295" s="10" t="s">
        <v>3823</v>
      </c>
      <c r="D295" s="10"/>
      <c r="E295" s="14">
        <v>1999</v>
      </c>
      <c r="F295" s="3">
        <v>599</v>
      </c>
      <c r="G295" s="3">
        <f t="shared" si="21"/>
        <v>5997</v>
      </c>
      <c r="H295" s="3">
        <f t="shared" si="20"/>
        <v>1797</v>
      </c>
      <c r="I295" s="14">
        <f t="shared" si="22"/>
        <v>4197.8999999999996</v>
      </c>
      <c r="J295" s="14">
        <f t="shared" si="23"/>
        <v>-4200</v>
      </c>
      <c r="K295" s="1">
        <v>0.7</v>
      </c>
      <c r="L295">
        <v>4.2</v>
      </c>
      <c r="M295">
        <v>47</v>
      </c>
      <c r="N295" t="s">
        <v>763</v>
      </c>
      <c r="O295">
        <f t="shared" si="24"/>
        <v>3</v>
      </c>
      <c r="P295" s="12" t="e">
        <f>HYPERLINK(#REF!,"Link")</f>
        <v>#REF!</v>
      </c>
      <c r="Q295" s="12" t="e">
        <f>HYPERLINK(#REF!,"Link")</f>
        <v>#REF!</v>
      </c>
    </row>
    <row r="296" spans="1:17" x14ac:dyDescent="0.3">
      <c r="A296" t="s">
        <v>764</v>
      </c>
      <c r="B296" t="s">
        <v>185</v>
      </c>
      <c r="C296" s="9" t="s">
        <v>3752</v>
      </c>
      <c r="D296" s="9" t="s">
        <v>3824</v>
      </c>
      <c r="E296" s="14">
        <v>899</v>
      </c>
      <c r="F296" s="3">
        <v>349</v>
      </c>
      <c r="G296" s="3">
        <f t="shared" si="21"/>
        <v>2697</v>
      </c>
      <c r="H296" s="3">
        <f t="shared" si="20"/>
        <v>1047</v>
      </c>
      <c r="I296" s="14">
        <f t="shared" si="22"/>
        <v>1645.17</v>
      </c>
      <c r="J296" s="14">
        <f t="shared" si="23"/>
        <v>-1650</v>
      </c>
      <c r="K296" s="1">
        <v>0.61</v>
      </c>
      <c r="L296">
        <v>4.0999999999999996</v>
      </c>
      <c r="M296" s="2">
        <v>14896</v>
      </c>
      <c r="N296" t="s">
        <v>765</v>
      </c>
      <c r="O296">
        <f t="shared" si="24"/>
        <v>3</v>
      </c>
      <c r="P296" s="12" t="e">
        <f>HYPERLINK(#REF!,"Link")</f>
        <v>#REF!</v>
      </c>
      <c r="Q296" s="12" t="e">
        <f>HYPERLINK(#REF!,"Link")</f>
        <v>#REF!</v>
      </c>
    </row>
    <row r="297" spans="1:17" x14ac:dyDescent="0.3">
      <c r="A297" t="s">
        <v>766</v>
      </c>
      <c r="B297" t="s">
        <v>767</v>
      </c>
      <c r="C297" s="10" t="s">
        <v>3748</v>
      </c>
      <c r="D297" s="10" t="s">
        <v>3759</v>
      </c>
      <c r="E297" s="14">
        <v>50999</v>
      </c>
      <c r="F297" s="3">
        <v>29999</v>
      </c>
      <c r="G297" s="3">
        <f t="shared" si="21"/>
        <v>101998</v>
      </c>
      <c r="H297" s="3">
        <f t="shared" si="20"/>
        <v>59998</v>
      </c>
      <c r="I297" s="14">
        <f t="shared" si="22"/>
        <v>41819.18</v>
      </c>
      <c r="J297" s="14">
        <f t="shared" si="23"/>
        <v>-42000</v>
      </c>
      <c r="K297" s="1">
        <v>0.41</v>
      </c>
      <c r="L297">
        <v>4.4000000000000004</v>
      </c>
      <c r="M297" s="2">
        <v>1712</v>
      </c>
      <c r="N297" t="s">
        <v>768</v>
      </c>
      <c r="O297">
        <f t="shared" si="24"/>
        <v>2</v>
      </c>
      <c r="P297" s="12" t="e">
        <f>HYPERLINK(#REF!,"Link")</f>
        <v>#REF!</v>
      </c>
      <c r="Q297" s="12" t="e">
        <f>HYPERLINK(#REF!,"Link")</f>
        <v>#REF!</v>
      </c>
    </row>
    <row r="298" spans="1:17" x14ac:dyDescent="0.3">
      <c r="A298" t="s">
        <v>769</v>
      </c>
      <c r="B298" t="s">
        <v>643</v>
      </c>
      <c r="C298" s="9" t="s">
        <v>3816</v>
      </c>
      <c r="D298" s="9" t="s">
        <v>3825</v>
      </c>
      <c r="E298" s="14">
        <v>399</v>
      </c>
      <c r="F298" s="3">
        <v>199</v>
      </c>
      <c r="G298" s="3">
        <f t="shared" si="21"/>
        <v>1197</v>
      </c>
      <c r="H298" s="3">
        <f t="shared" si="20"/>
        <v>597</v>
      </c>
      <c r="I298" s="14">
        <f t="shared" si="22"/>
        <v>598.5</v>
      </c>
      <c r="J298" s="14">
        <f t="shared" si="23"/>
        <v>-600</v>
      </c>
      <c r="K298" s="1">
        <v>0.5</v>
      </c>
      <c r="L298">
        <v>4.2</v>
      </c>
      <c r="M298" s="2">
        <v>1335</v>
      </c>
      <c r="N298" t="s">
        <v>644</v>
      </c>
      <c r="O298">
        <f t="shared" si="24"/>
        <v>3</v>
      </c>
      <c r="P298" s="12" t="e">
        <f>HYPERLINK(#REF!,"Link")</f>
        <v>#REF!</v>
      </c>
      <c r="Q298" s="12" t="e">
        <f>HYPERLINK(#REF!,"Link")</f>
        <v>#REF!</v>
      </c>
    </row>
    <row r="299" spans="1:17" x14ac:dyDescent="0.3">
      <c r="A299" t="s">
        <v>770</v>
      </c>
      <c r="B299" t="s">
        <v>771</v>
      </c>
      <c r="C299" s="10" t="s">
        <v>3768</v>
      </c>
      <c r="D299" s="10" t="s">
        <v>3826</v>
      </c>
      <c r="E299" s="14">
        <v>699</v>
      </c>
      <c r="F299" s="3">
        <v>349</v>
      </c>
      <c r="G299" s="3">
        <f t="shared" si="21"/>
        <v>1398</v>
      </c>
      <c r="H299" s="3">
        <f t="shared" si="20"/>
        <v>698</v>
      </c>
      <c r="I299" s="14">
        <f t="shared" si="22"/>
        <v>699</v>
      </c>
      <c r="J299" s="14">
        <f t="shared" si="23"/>
        <v>-700</v>
      </c>
      <c r="K299" s="1">
        <v>0.5</v>
      </c>
      <c r="L299">
        <v>3.9</v>
      </c>
      <c r="M299">
        <v>214</v>
      </c>
      <c r="N299" t="s">
        <v>772</v>
      </c>
      <c r="O299">
        <f t="shared" si="24"/>
        <v>2</v>
      </c>
      <c r="P299" s="12" t="e">
        <f>HYPERLINK(#REF!,"Link")</f>
        <v>#REF!</v>
      </c>
      <c r="Q299" s="12" t="e">
        <f>HYPERLINK(#REF!,"Link")</f>
        <v>#REF!</v>
      </c>
    </row>
    <row r="300" spans="1:17" x14ac:dyDescent="0.3">
      <c r="A300" t="s">
        <v>773</v>
      </c>
      <c r="B300" t="s">
        <v>774</v>
      </c>
      <c r="C300" s="9" t="s">
        <v>3768</v>
      </c>
      <c r="D300" s="9"/>
      <c r="E300" s="14">
        <v>4500</v>
      </c>
      <c r="F300" s="3">
        <v>1850</v>
      </c>
      <c r="G300" s="3">
        <f t="shared" si="21"/>
        <v>13500</v>
      </c>
      <c r="H300" s="3">
        <f t="shared" si="20"/>
        <v>5550</v>
      </c>
      <c r="I300" s="14">
        <f t="shared" si="22"/>
        <v>7965</v>
      </c>
      <c r="J300" s="14">
        <f t="shared" si="23"/>
        <v>-7950</v>
      </c>
      <c r="K300" s="1">
        <v>0.59</v>
      </c>
      <c r="L300">
        <v>4</v>
      </c>
      <c r="M300">
        <v>184</v>
      </c>
      <c r="N300" t="s">
        <v>775</v>
      </c>
      <c r="O300">
        <f t="shared" si="24"/>
        <v>3</v>
      </c>
      <c r="P300" s="12" t="e">
        <f>HYPERLINK(#REF!,"Link")</f>
        <v>#REF!</v>
      </c>
      <c r="Q300" s="12" t="e">
        <f>HYPERLINK(#REF!,"Link")</f>
        <v>#REF!</v>
      </c>
    </row>
    <row r="301" spans="1:17" x14ac:dyDescent="0.3">
      <c r="A301" t="s">
        <v>776</v>
      </c>
      <c r="B301" t="s">
        <v>777</v>
      </c>
      <c r="C301" s="10" t="s">
        <v>3812</v>
      </c>
      <c r="D301" s="10" t="s">
        <v>3760</v>
      </c>
      <c r="E301" s="14">
        <v>28900</v>
      </c>
      <c r="F301" s="3">
        <v>13990</v>
      </c>
      <c r="G301" s="3">
        <f t="shared" si="21"/>
        <v>115600</v>
      </c>
      <c r="H301" s="3">
        <f t="shared" si="20"/>
        <v>55960</v>
      </c>
      <c r="I301" s="14">
        <f t="shared" si="22"/>
        <v>60112</v>
      </c>
      <c r="J301" s="14">
        <f t="shared" si="23"/>
        <v>-59640</v>
      </c>
      <c r="K301" s="1">
        <v>0.52</v>
      </c>
      <c r="L301">
        <v>4.5</v>
      </c>
      <c r="M301">
        <v>7</v>
      </c>
      <c r="N301" t="s">
        <v>778</v>
      </c>
      <c r="O301">
        <f t="shared" si="24"/>
        <v>4</v>
      </c>
      <c r="P301" s="12" t="e">
        <f>HYPERLINK(#REF!,"Link")</f>
        <v>#REF!</v>
      </c>
      <c r="Q301" s="12" t="e">
        <f>HYPERLINK(#REF!,"Link")</f>
        <v>#REF!</v>
      </c>
    </row>
    <row r="302" spans="1:17" x14ac:dyDescent="0.3">
      <c r="A302" t="s">
        <v>779</v>
      </c>
      <c r="B302" t="s">
        <v>780</v>
      </c>
      <c r="C302" s="9" t="s">
        <v>3827</v>
      </c>
      <c r="D302" s="9"/>
      <c r="E302" s="14">
        <v>449</v>
      </c>
      <c r="F302" s="3">
        <v>129</v>
      </c>
      <c r="G302" s="3">
        <f t="shared" si="21"/>
        <v>898</v>
      </c>
      <c r="H302" s="3">
        <f t="shared" si="20"/>
        <v>258</v>
      </c>
      <c r="I302" s="14">
        <f t="shared" si="22"/>
        <v>637.57999999999993</v>
      </c>
      <c r="J302" s="14">
        <f t="shared" si="23"/>
        <v>-640</v>
      </c>
      <c r="K302" s="1">
        <v>0.71</v>
      </c>
      <c r="L302">
        <v>3.7</v>
      </c>
      <c r="M302">
        <v>41</v>
      </c>
      <c r="N302" t="s">
        <v>781</v>
      </c>
      <c r="O302">
        <f t="shared" si="24"/>
        <v>2</v>
      </c>
      <c r="P302" s="12" t="e">
        <f>HYPERLINK(#REF!,"Link")</f>
        <v>#REF!</v>
      </c>
      <c r="Q302" s="12" t="e">
        <f>HYPERLINK(#REF!,"Link")</f>
        <v>#REF!</v>
      </c>
    </row>
    <row r="303" spans="1:17" x14ac:dyDescent="0.3">
      <c r="A303" t="s">
        <v>782</v>
      </c>
      <c r="B303" t="s">
        <v>783</v>
      </c>
      <c r="C303" s="10" t="s">
        <v>3779</v>
      </c>
      <c r="D303" s="10" t="s">
        <v>3828</v>
      </c>
      <c r="E303" s="14">
        <v>999</v>
      </c>
      <c r="F303" s="3">
        <v>379</v>
      </c>
      <c r="G303" s="3">
        <f t="shared" si="21"/>
        <v>2997</v>
      </c>
      <c r="H303" s="3">
        <f t="shared" si="20"/>
        <v>1137</v>
      </c>
      <c r="I303" s="14">
        <f t="shared" si="22"/>
        <v>1858.1399999999999</v>
      </c>
      <c r="J303" s="14">
        <f t="shared" si="23"/>
        <v>-1860</v>
      </c>
      <c r="K303" s="1">
        <v>0.62</v>
      </c>
      <c r="L303">
        <v>4.2</v>
      </c>
      <c r="M303" s="2">
        <v>12153</v>
      </c>
      <c r="N303" t="s">
        <v>80</v>
      </c>
      <c r="O303">
        <f t="shared" si="24"/>
        <v>3</v>
      </c>
      <c r="P303" s="12" t="e">
        <f>HYPERLINK(#REF!,"Link")</f>
        <v>#REF!</v>
      </c>
      <c r="Q303" s="12" t="e">
        <f>HYPERLINK(#REF!,"Link")</f>
        <v>#REF!</v>
      </c>
    </row>
    <row r="304" spans="1:17" x14ac:dyDescent="0.3">
      <c r="A304" t="s">
        <v>784</v>
      </c>
      <c r="B304" t="s">
        <v>785</v>
      </c>
      <c r="C304" s="9" t="s">
        <v>3829</v>
      </c>
      <c r="D304" s="9"/>
      <c r="E304" s="14">
        <v>499</v>
      </c>
      <c r="F304" s="3">
        <v>185</v>
      </c>
      <c r="G304" s="3">
        <f t="shared" si="21"/>
        <v>1996</v>
      </c>
      <c r="H304" s="3">
        <f t="shared" si="20"/>
        <v>740</v>
      </c>
      <c r="I304" s="14">
        <f t="shared" si="22"/>
        <v>1257.48</v>
      </c>
      <c r="J304" s="14">
        <f t="shared" si="23"/>
        <v>-1256</v>
      </c>
      <c r="K304" s="1">
        <v>0.63</v>
      </c>
      <c r="L304">
        <v>4.2</v>
      </c>
      <c r="M304">
        <v>25</v>
      </c>
      <c r="N304" t="s">
        <v>786</v>
      </c>
      <c r="O304">
        <f t="shared" si="24"/>
        <v>4</v>
      </c>
      <c r="P304" s="12" t="e">
        <f>HYPERLINK(#REF!,"Link")</f>
        <v>#REF!</v>
      </c>
      <c r="Q304" s="12" t="e">
        <f>HYPERLINK(#REF!,"Link")</f>
        <v>#REF!</v>
      </c>
    </row>
    <row r="305" spans="1:17" x14ac:dyDescent="0.3">
      <c r="A305" t="s">
        <v>787</v>
      </c>
      <c r="B305" t="s">
        <v>788</v>
      </c>
      <c r="C305" s="10" t="s">
        <v>3744</v>
      </c>
      <c r="D305" s="10" t="s">
        <v>3830</v>
      </c>
      <c r="E305" s="14">
        <v>999</v>
      </c>
      <c r="F305" s="3">
        <v>218</v>
      </c>
      <c r="G305" s="3">
        <f t="shared" si="21"/>
        <v>2997</v>
      </c>
      <c r="H305" s="3">
        <f t="shared" si="20"/>
        <v>654</v>
      </c>
      <c r="I305" s="14">
        <f t="shared" si="22"/>
        <v>2337.66</v>
      </c>
      <c r="J305" s="14">
        <f t="shared" si="23"/>
        <v>-2343</v>
      </c>
      <c r="K305" s="1">
        <v>0.78</v>
      </c>
      <c r="L305">
        <v>4.2</v>
      </c>
      <c r="M305">
        <v>163</v>
      </c>
      <c r="N305" t="s">
        <v>789</v>
      </c>
      <c r="O305">
        <f t="shared" si="24"/>
        <v>3</v>
      </c>
      <c r="P305" s="12" t="e">
        <f>HYPERLINK(#REF!,"Link")</f>
        <v>#REF!</v>
      </c>
      <c r="Q305" s="12" t="e">
        <f>HYPERLINK(#REF!,"Link")</f>
        <v>#REF!</v>
      </c>
    </row>
    <row r="306" spans="1:17" x14ac:dyDescent="0.3">
      <c r="A306" t="s">
        <v>790</v>
      </c>
      <c r="B306" t="s">
        <v>791</v>
      </c>
      <c r="C306" s="9" t="s">
        <v>3831</v>
      </c>
      <c r="D306" s="9"/>
      <c r="E306" s="14">
        <v>999</v>
      </c>
      <c r="F306" s="3">
        <v>199</v>
      </c>
      <c r="G306" s="3">
        <f t="shared" si="21"/>
        <v>1998</v>
      </c>
      <c r="H306" s="3">
        <f t="shared" si="20"/>
        <v>398</v>
      </c>
      <c r="I306" s="14">
        <f t="shared" si="22"/>
        <v>1598.4</v>
      </c>
      <c r="J306" s="14">
        <f t="shared" si="23"/>
        <v>-1600</v>
      </c>
      <c r="K306" s="1">
        <v>0.8</v>
      </c>
      <c r="L306">
        <v>4.3</v>
      </c>
      <c r="M306">
        <v>87</v>
      </c>
      <c r="N306" t="s">
        <v>792</v>
      </c>
      <c r="O306">
        <f t="shared" si="24"/>
        <v>2</v>
      </c>
      <c r="P306" s="12" t="e">
        <f>HYPERLINK(#REF!,"Link")</f>
        <v>#REF!</v>
      </c>
      <c r="Q306" s="12" t="e">
        <f>HYPERLINK(#REF!,"Link")</f>
        <v>#REF!</v>
      </c>
    </row>
    <row r="307" spans="1:17" x14ac:dyDescent="0.3">
      <c r="A307" t="s">
        <v>793</v>
      </c>
      <c r="B307" t="s">
        <v>794</v>
      </c>
      <c r="C307" s="10" t="s">
        <v>3768</v>
      </c>
      <c r="D307" s="10" t="s">
        <v>3832</v>
      </c>
      <c r="E307" s="14">
        <v>900</v>
      </c>
      <c r="F307" s="3">
        <v>499</v>
      </c>
      <c r="G307" s="3">
        <f t="shared" si="21"/>
        <v>2700</v>
      </c>
      <c r="H307" s="3">
        <f t="shared" si="20"/>
        <v>1497</v>
      </c>
      <c r="I307" s="14">
        <f t="shared" si="22"/>
        <v>1215</v>
      </c>
      <c r="J307" s="14">
        <f t="shared" si="23"/>
        <v>-1203</v>
      </c>
      <c r="K307" s="1">
        <v>0.45</v>
      </c>
      <c r="L307">
        <v>4.4000000000000004</v>
      </c>
      <c r="M307" s="2">
        <v>2165</v>
      </c>
      <c r="N307" t="s">
        <v>795</v>
      </c>
      <c r="O307">
        <f t="shared" si="24"/>
        <v>3</v>
      </c>
      <c r="P307" s="12" t="e">
        <f>HYPERLINK(#REF!,"Link")</f>
        <v>#REF!</v>
      </c>
      <c r="Q307" s="12" t="e">
        <f>HYPERLINK(#REF!,"Link")</f>
        <v>#REF!</v>
      </c>
    </row>
    <row r="308" spans="1:17" x14ac:dyDescent="0.3">
      <c r="A308" t="s">
        <v>796</v>
      </c>
      <c r="B308" t="s">
        <v>797</v>
      </c>
      <c r="C308" s="9" t="s">
        <v>3816</v>
      </c>
      <c r="D308" s="9" t="s">
        <v>3833</v>
      </c>
      <c r="E308" s="14">
        <v>42999</v>
      </c>
      <c r="F308" s="3">
        <v>26999</v>
      </c>
      <c r="G308" s="3">
        <f t="shared" si="21"/>
        <v>85998</v>
      </c>
      <c r="H308" s="3">
        <f t="shared" si="20"/>
        <v>53998</v>
      </c>
      <c r="I308" s="14">
        <f t="shared" si="22"/>
        <v>31819.26</v>
      </c>
      <c r="J308" s="14">
        <f t="shared" si="23"/>
        <v>-32000</v>
      </c>
      <c r="K308" s="1">
        <v>0.37</v>
      </c>
      <c r="L308">
        <v>4.2</v>
      </c>
      <c r="M308" s="2">
        <v>1510</v>
      </c>
      <c r="N308" t="s">
        <v>798</v>
      </c>
      <c r="O308">
        <f t="shared" si="24"/>
        <v>2</v>
      </c>
      <c r="P308" s="12" t="e">
        <f>HYPERLINK(#REF!,"Link")</f>
        <v>#REF!</v>
      </c>
      <c r="Q308" s="12" t="e">
        <f>HYPERLINK(#REF!,"Link")</f>
        <v>#REF!</v>
      </c>
    </row>
    <row r="309" spans="1:17" x14ac:dyDescent="0.3">
      <c r="A309" t="s">
        <v>799</v>
      </c>
      <c r="B309" t="s">
        <v>800</v>
      </c>
      <c r="C309" s="10" t="s">
        <v>3729</v>
      </c>
      <c r="D309" s="10" t="s">
        <v>3834</v>
      </c>
      <c r="E309" s="14">
        <v>1052</v>
      </c>
      <c r="F309" s="3">
        <v>893</v>
      </c>
      <c r="G309" s="3">
        <f t="shared" si="21"/>
        <v>4208</v>
      </c>
      <c r="H309" s="3">
        <f t="shared" si="20"/>
        <v>3572</v>
      </c>
      <c r="I309" s="14">
        <f t="shared" si="22"/>
        <v>631.19999999999993</v>
      </c>
      <c r="J309" s="14">
        <f t="shared" si="23"/>
        <v>-636</v>
      </c>
      <c r="K309" s="1">
        <v>0.15</v>
      </c>
      <c r="L309">
        <v>4.3</v>
      </c>
      <c r="M309">
        <v>106</v>
      </c>
      <c r="N309" t="s">
        <v>801</v>
      </c>
      <c r="O309">
        <f t="shared" si="24"/>
        <v>4</v>
      </c>
      <c r="P309" s="12" t="e">
        <f>HYPERLINK(#REF!,"Link")</f>
        <v>#REF!</v>
      </c>
      <c r="Q309" s="12" t="e">
        <f>HYPERLINK(#REF!,"Link")</f>
        <v>#REF!</v>
      </c>
    </row>
    <row r="310" spans="1:17" x14ac:dyDescent="0.3">
      <c r="A310" t="s">
        <v>802</v>
      </c>
      <c r="B310" t="s">
        <v>803</v>
      </c>
      <c r="C310" s="9" t="s">
        <v>3812</v>
      </c>
      <c r="D310" s="9" t="s">
        <v>3835</v>
      </c>
      <c r="E310" s="14">
        <v>19990</v>
      </c>
      <c r="F310" s="3">
        <v>10990</v>
      </c>
      <c r="G310" s="3">
        <f t="shared" si="21"/>
        <v>39980</v>
      </c>
      <c r="H310" s="3">
        <f t="shared" si="20"/>
        <v>21980</v>
      </c>
      <c r="I310" s="14">
        <f t="shared" si="22"/>
        <v>17991</v>
      </c>
      <c r="J310" s="14">
        <f t="shared" si="23"/>
        <v>-18000</v>
      </c>
      <c r="K310" s="1">
        <v>0.45</v>
      </c>
      <c r="L310">
        <v>3.7</v>
      </c>
      <c r="M310">
        <v>129</v>
      </c>
      <c r="N310" t="s">
        <v>804</v>
      </c>
      <c r="O310">
        <f t="shared" si="24"/>
        <v>2</v>
      </c>
      <c r="P310" s="12" t="e">
        <f>HYPERLINK(#REF!,"Link")</f>
        <v>#REF!</v>
      </c>
      <c r="Q310" s="12" t="e">
        <f>HYPERLINK(#REF!,"Link")</f>
        <v>#REF!</v>
      </c>
    </row>
    <row r="311" spans="1:17" x14ac:dyDescent="0.3">
      <c r="A311" t="s">
        <v>805</v>
      </c>
      <c r="B311" t="s">
        <v>806</v>
      </c>
      <c r="C311" s="10" t="s">
        <v>3836</v>
      </c>
      <c r="D311" s="10" t="s">
        <v>3837</v>
      </c>
      <c r="E311" s="14">
        <v>1099</v>
      </c>
      <c r="F311" s="3">
        <v>379</v>
      </c>
      <c r="G311" s="3">
        <f t="shared" si="21"/>
        <v>3297</v>
      </c>
      <c r="H311" s="3">
        <f t="shared" si="20"/>
        <v>1137</v>
      </c>
      <c r="I311" s="14">
        <f t="shared" si="22"/>
        <v>2176.02</v>
      </c>
      <c r="J311" s="14">
        <f t="shared" si="23"/>
        <v>-2160</v>
      </c>
      <c r="K311" s="1">
        <v>0.66</v>
      </c>
      <c r="L311">
        <v>4.3</v>
      </c>
      <c r="M311" s="2">
        <v>3049</v>
      </c>
      <c r="N311" t="s">
        <v>807</v>
      </c>
      <c r="O311">
        <f t="shared" si="24"/>
        <v>3</v>
      </c>
      <c r="P311" s="12" t="e">
        <f>HYPERLINK(#REF!,"Link")</f>
        <v>#REF!</v>
      </c>
      <c r="Q311" s="12" t="e">
        <f>HYPERLINK(#REF!,"Link")</f>
        <v>#REF!</v>
      </c>
    </row>
    <row r="312" spans="1:17" x14ac:dyDescent="0.3">
      <c r="A312" t="s">
        <v>808</v>
      </c>
      <c r="B312" t="s">
        <v>54</v>
      </c>
      <c r="C312" s="9" t="s">
        <v>3838</v>
      </c>
      <c r="D312" s="9"/>
      <c r="E312" s="14">
        <v>25999</v>
      </c>
      <c r="F312" s="3">
        <v>16999</v>
      </c>
      <c r="G312" s="3">
        <f t="shared" si="21"/>
        <v>51998</v>
      </c>
      <c r="H312" s="3">
        <f t="shared" si="20"/>
        <v>33998</v>
      </c>
      <c r="I312" s="14">
        <f t="shared" si="22"/>
        <v>18199.3</v>
      </c>
      <c r="J312" s="14">
        <f t="shared" si="23"/>
        <v>-18000</v>
      </c>
      <c r="K312" s="1">
        <v>0.35</v>
      </c>
      <c r="L312">
        <v>4.2</v>
      </c>
      <c r="M312" s="2">
        <v>32840</v>
      </c>
      <c r="N312" t="s">
        <v>55</v>
      </c>
      <c r="O312">
        <f t="shared" si="24"/>
        <v>2</v>
      </c>
      <c r="P312" s="12" t="e">
        <f>HYPERLINK(#REF!,"Link")</f>
        <v>#REF!</v>
      </c>
      <c r="Q312" s="12" t="e">
        <f>HYPERLINK(#REF!,"Link")</f>
        <v>#REF!</v>
      </c>
    </row>
    <row r="313" spans="1:17" x14ac:dyDescent="0.3">
      <c r="A313" t="s">
        <v>809</v>
      </c>
      <c r="B313" t="s">
        <v>810</v>
      </c>
      <c r="C313" s="10" t="s">
        <v>3839</v>
      </c>
      <c r="D313" s="10"/>
      <c r="E313" s="14">
        <v>1899</v>
      </c>
      <c r="F313" s="3">
        <v>699</v>
      </c>
      <c r="G313" s="3">
        <f t="shared" si="21"/>
        <v>3798</v>
      </c>
      <c r="H313" s="3">
        <f t="shared" si="20"/>
        <v>1398</v>
      </c>
      <c r="I313" s="14">
        <f t="shared" si="22"/>
        <v>2392.7400000000002</v>
      </c>
      <c r="J313" s="14">
        <f t="shared" si="23"/>
        <v>-2400</v>
      </c>
      <c r="K313" s="1">
        <v>0.63</v>
      </c>
      <c r="L313">
        <v>4.4000000000000004</v>
      </c>
      <c r="M313">
        <v>390</v>
      </c>
      <c r="N313" t="s">
        <v>811</v>
      </c>
      <c r="O313">
        <f t="shared" si="24"/>
        <v>2</v>
      </c>
      <c r="P313" s="12" t="e">
        <f>HYPERLINK(#REF!,"Link")</f>
        <v>#REF!</v>
      </c>
      <c r="Q313" s="12" t="e">
        <f>HYPERLINK(#REF!,"Link")</f>
        <v>#REF!</v>
      </c>
    </row>
    <row r="314" spans="1:17" x14ac:dyDescent="0.3">
      <c r="A314" t="s">
        <v>812</v>
      </c>
      <c r="B314" t="s">
        <v>813</v>
      </c>
      <c r="C314" s="9" t="s">
        <v>3836</v>
      </c>
      <c r="D314" s="9" t="s">
        <v>3837</v>
      </c>
      <c r="E314" s="14">
        <v>3500</v>
      </c>
      <c r="F314" s="3">
        <v>2699</v>
      </c>
      <c r="G314" s="3">
        <f t="shared" si="21"/>
        <v>7000</v>
      </c>
      <c r="H314" s="3">
        <f t="shared" si="20"/>
        <v>5398</v>
      </c>
      <c r="I314" s="14">
        <f t="shared" si="22"/>
        <v>1610</v>
      </c>
      <c r="J314" s="14">
        <f t="shared" si="23"/>
        <v>-1602</v>
      </c>
      <c r="K314" s="1">
        <v>0.23</v>
      </c>
      <c r="L314">
        <v>3.5</v>
      </c>
      <c r="M314">
        <v>621</v>
      </c>
      <c r="N314" t="s">
        <v>814</v>
      </c>
      <c r="O314">
        <f t="shared" si="24"/>
        <v>2</v>
      </c>
      <c r="P314" s="12" t="e">
        <f>HYPERLINK(#REF!,"Link")</f>
        <v>#REF!</v>
      </c>
      <c r="Q314" s="12" t="e">
        <f>HYPERLINK(#REF!,"Link")</f>
        <v>#REF!</v>
      </c>
    </row>
    <row r="315" spans="1:17" x14ac:dyDescent="0.3">
      <c r="A315" t="s">
        <v>815</v>
      </c>
      <c r="B315" t="s">
        <v>722</v>
      </c>
      <c r="C315" s="10" t="s">
        <v>3725</v>
      </c>
      <c r="D315" s="10" t="s">
        <v>3726</v>
      </c>
      <c r="E315" s="14">
        <v>599</v>
      </c>
      <c r="F315" s="3">
        <v>129</v>
      </c>
      <c r="G315" s="3">
        <f t="shared" si="21"/>
        <v>1198</v>
      </c>
      <c r="H315" s="3">
        <f t="shared" si="20"/>
        <v>258</v>
      </c>
      <c r="I315" s="14">
        <f t="shared" si="22"/>
        <v>934.44</v>
      </c>
      <c r="J315" s="14">
        <f t="shared" si="23"/>
        <v>-940</v>
      </c>
      <c r="K315" s="1">
        <v>0.78</v>
      </c>
      <c r="L315">
        <v>4.0999999999999996</v>
      </c>
      <c r="M315">
        <v>265</v>
      </c>
      <c r="N315" t="s">
        <v>816</v>
      </c>
      <c r="O315">
        <f t="shared" si="24"/>
        <v>2</v>
      </c>
      <c r="P315" s="12" t="e">
        <f>HYPERLINK(#REF!,"Link")</f>
        <v>#REF!</v>
      </c>
      <c r="Q315" s="12" t="e">
        <f>HYPERLINK(#REF!,"Link")</f>
        <v>#REF!</v>
      </c>
    </row>
    <row r="316" spans="1:17" x14ac:dyDescent="0.3">
      <c r="A316" t="s">
        <v>817</v>
      </c>
      <c r="B316" t="s">
        <v>818</v>
      </c>
      <c r="C316" s="9" t="s">
        <v>3816</v>
      </c>
      <c r="D316" s="9" t="s">
        <v>3840</v>
      </c>
      <c r="E316" s="14">
        <v>999</v>
      </c>
      <c r="F316" s="3">
        <v>389</v>
      </c>
      <c r="G316" s="3">
        <f t="shared" si="21"/>
        <v>1998</v>
      </c>
      <c r="H316" s="3">
        <f t="shared" si="20"/>
        <v>778</v>
      </c>
      <c r="I316" s="14">
        <f t="shared" si="22"/>
        <v>1218.78</v>
      </c>
      <c r="J316" s="14">
        <f t="shared" si="23"/>
        <v>-1220</v>
      </c>
      <c r="K316" s="1">
        <v>0.61</v>
      </c>
      <c r="L316">
        <v>4.3</v>
      </c>
      <c r="M316">
        <v>838</v>
      </c>
      <c r="N316" t="s">
        <v>819</v>
      </c>
      <c r="O316">
        <f t="shared" si="24"/>
        <v>2</v>
      </c>
      <c r="P316" s="12" t="e">
        <f>HYPERLINK(#REF!,"Link")</f>
        <v>#REF!</v>
      </c>
      <c r="Q316" s="12" t="e">
        <f>HYPERLINK(#REF!,"Link")</f>
        <v>#REF!</v>
      </c>
    </row>
    <row r="317" spans="1:17" x14ac:dyDescent="0.3">
      <c r="A317" t="s">
        <v>820</v>
      </c>
      <c r="B317" t="s">
        <v>821</v>
      </c>
      <c r="C317" s="10" t="s">
        <v>3793</v>
      </c>
      <c r="D317" s="10" t="s">
        <v>3841</v>
      </c>
      <c r="E317" s="14">
        <v>600</v>
      </c>
      <c r="F317" s="3">
        <v>246</v>
      </c>
      <c r="G317" s="3">
        <f t="shared" si="21"/>
        <v>1200</v>
      </c>
      <c r="H317" s="3">
        <f t="shared" si="20"/>
        <v>492</v>
      </c>
      <c r="I317" s="14">
        <f t="shared" si="22"/>
        <v>708</v>
      </c>
      <c r="J317" s="14">
        <f t="shared" si="23"/>
        <v>-708</v>
      </c>
      <c r="K317" s="1">
        <v>0.59</v>
      </c>
      <c r="L317">
        <v>4.2</v>
      </c>
      <c r="M317">
        <v>143</v>
      </c>
      <c r="N317" t="s">
        <v>822</v>
      </c>
      <c r="O317">
        <f t="shared" si="24"/>
        <v>2</v>
      </c>
      <c r="P317" s="12" t="e">
        <f>HYPERLINK(#REF!,"Link")</f>
        <v>#REF!</v>
      </c>
      <c r="Q317" s="12" t="e">
        <f>HYPERLINK(#REF!,"Link")</f>
        <v>#REF!</v>
      </c>
    </row>
    <row r="318" spans="1:17" x14ac:dyDescent="0.3">
      <c r="A318" t="s">
        <v>823</v>
      </c>
      <c r="B318" t="s">
        <v>824</v>
      </c>
      <c r="C318" s="9" t="s">
        <v>3744</v>
      </c>
      <c r="D318" s="9" t="s">
        <v>3842</v>
      </c>
      <c r="E318" s="14">
        <v>799</v>
      </c>
      <c r="F318" s="3">
        <v>299</v>
      </c>
      <c r="G318" s="3">
        <f t="shared" si="21"/>
        <v>3995</v>
      </c>
      <c r="H318" s="3">
        <f t="shared" si="20"/>
        <v>1495</v>
      </c>
      <c r="I318" s="14">
        <f t="shared" si="22"/>
        <v>2516.85</v>
      </c>
      <c r="J318" s="14">
        <f t="shared" si="23"/>
        <v>-2500</v>
      </c>
      <c r="K318" s="1">
        <v>0.63</v>
      </c>
      <c r="L318">
        <v>4</v>
      </c>
      <c r="M318">
        <v>151</v>
      </c>
      <c r="N318" t="s">
        <v>825</v>
      </c>
      <c r="O318">
        <f t="shared" si="24"/>
        <v>5</v>
      </c>
      <c r="P318" s="12" t="e">
        <f>HYPERLINK(#REF!,"Link")</f>
        <v>#REF!</v>
      </c>
      <c r="Q318" s="12" t="e">
        <f>HYPERLINK(#REF!,"Link")</f>
        <v>#REF!</v>
      </c>
    </row>
    <row r="319" spans="1:17" x14ac:dyDescent="0.3">
      <c r="A319" t="s">
        <v>826</v>
      </c>
      <c r="B319" t="s">
        <v>827</v>
      </c>
      <c r="C319" s="10" t="s">
        <v>3843</v>
      </c>
      <c r="D319" s="10"/>
      <c r="E319" s="14">
        <v>399</v>
      </c>
      <c r="F319" s="3">
        <v>247</v>
      </c>
      <c r="G319" s="3">
        <f t="shared" si="21"/>
        <v>1197</v>
      </c>
      <c r="H319" s="3">
        <f t="shared" si="20"/>
        <v>741</v>
      </c>
      <c r="I319" s="14">
        <f t="shared" si="22"/>
        <v>454.86</v>
      </c>
      <c r="J319" s="14">
        <f t="shared" si="23"/>
        <v>-456</v>
      </c>
      <c r="K319" s="1">
        <v>0.38</v>
      </c>
      <c r="L319">
        <v>3.9</v>
      </c>
      <c r="M319">
        <v>200</v>
      </c>
      <c r="N319" t="s">
        <v>828</v>
      </c>
      <c r="O319">
        <f t="shared" si="24"/>
        <v>3</v>
      </c>
      <c r="P319" s="12" t="e">
        <f>HYPERLINK(#REF!,"Link")</f>
        <v>#REF!</v>
      </c>
      <c r="Q319" s="12" t="e">
        <f>HYPERLINK(#REF!,"Link")</f>
        <v>#REF!</v>
      </c>
    </row>
    <row r="320" spans="1:17" x14ac:dyDescent="0.3">
      <c r="A320" t="s">
        <v>829</v>
      </c>
      <c r="B320" t="s">
        <v>830</v>
      </c>
      <c r="C320" s="9" t="s">
        <v>3839</v>
      </c>
      <c r="D320" s="9" t="s">
        <v>3844</v>
      </c>
      <c r="E320" s="14">
        <v>2999</v>
      </c>
      <c r="F320" s="3">
        <v>1369</v>
      </c>
      <c r="G320" s="3">
        <f t="shared" si="21"/>
        <v>5998</v>
      </c>
      <c r="H320" s="3">
        <f t="shared" si="20"/>
        <v>2738</v>
      </c>
      <c r="I320" s="14">
        <f t="shared" si="22"/>
        <v>3238.92</v>
      </c>
      <c r="J320" s="14">
        <f t="shared" si="23"/>
        <v>-3260</v>
      </c>
      <c r="K320" s="1">
        <v>0.54</v>
      </c>
      <c r="L320">
        <v>3.3</v>
      </c>
      <c r="M320">
        <v>227</v>
      </c>
      <c r="N320" t="s">
        <v>831</v>
      </c>
      <c r="O320">
        <f t="shared" si="24"/>
        <v>2</v>
      </c>
      <c r="P320" s="12" t="e">
        <f>HYPERLINK(#REF!,"Link")</f>
        <v>#REF!</v>
      </c>
      <c r="Q320" s="12" t="e">
        <f>HYPERLINK(#REF!,"Link")</f>
        <v>#REF!</v>
      </c>
    </row>
    <row r="321" spans="1:17" x14ac:dyDescent="0.3">
      <c r="A321" t="s">
        <v>832</v>
      </c>
      <c r="B321" t="s">
        <v>833</v>
      </c>
      <c r="C321" s="10" t="s">
        <v>3845</v>
      </c>
      <c r="D321" s="10" t="s">
        <v>3846</v>
      </c>
      <c r="E321" s="14">
        <v>499</v>
      </c>
      <c r="F321" s="3">
        <v>199</v>
      </c>
      <c r="G321" s="3">
        <f t="shared" si="21"/>
        <v>1996</v>
      </c>
      <c r="H321" s="3">
        <f t="shared" si="20"/>
        <v>796</v>
      </c>
      <c r="I321" s="14">
        <f t="shared" si="22"/>
        <v>1197.5999999999999</v>
      </c>
      <c r="J321" s="14">
        <f t="shared" si="23"/>
        <v>-1200</v>
      </c>
      <c r="K321" s="1">
        <v>0.6</v>
      </c>
      <c r="L321">
        <v>3.8</v>
      </c>
      <c r="M321">
        <v>538</v>
      </c>
      <c r="N321" t="s">
        <v>834</v>
      </c>
      <c r="O321">
        <f t="shared" si="24"/>
        <v>4</v>
      </c>
      <c r="P321" s="12" t="e">
        <f>HYPERLINK(#REF!,"Link")</f>
        <v>#REF!</v>
      </c>
      <c r="Q321" s="12" t="e">
        <f>HYPERLINK(#REF!,"Link")</f>
        <v>#REF!</v>
      </c>
    </row>
    <row r="322" spans="1:17" x14ac:dyDescent="0.3">
      <c r="A322" t="s">
        <v>835</v>
      </c>
      <c r="B322" t="s">
        <v>836</v>
      </c>
      <c r="C322" s="9" t="s">
        <v>3793</v>
      </c>
      <c r="D322" s="9" t="s">
        <v>3847</v>
      </c>
      <c r="E322" s="14">
        <v>599</v>
      </c>
      <c r="F322" s="3">
        <v>299</v>
      </c>
      <c r="G322" s="3">
        <f t="shared" si="21"/>
        <v>3594</v>
      </c>
      <c r="H322" s="3">
        <f t="shared" ref="H322:H385" si="25">F322*O322</f>
        <v>1794</v>
      </c>
      <c r="I322" s="14">
        <f t="shared" si="22"/>
        <v>1797</v>
      </c>
      <c r="J322" s="14">
        <f t="shared" si="23"/>
        <v>-1800</v>
      </c>
      <c r="K322" s="1">
        <v>0.5</v>
      </c>
      <c r="L322">
        <v>4</v>
      </c>
      <c r="M322">
        <v>171</v>
      </c>
      <c r="N322" t="s">
        <v>837</v>
      </c>
      <c r="O322">
        <f t="shared" si="24"/>
        <v>6</v>
      </c>
      <c r="P322" s="12" t="e">
        <f>HYPERLINK(#REF!,"Link")</f>
        <v>#REF!</v>
      </c>
      <c r="Q322" s="12" t="e">
        <f>HYPERLINK(#REF!,"Link")</f>
        <v>#REF!</v>
      </c>
    </row>
    <row r="323" spans="1:17" x14ac:dyDescent="0.3">
      <c r="A323" t="s">
        <v>838</v>
      </c>
      <c r="B323" t="s">
        <v>839</v>
      </c>
      <c r="C323" s="10" t="s">
        <v>3848</v>
      </c>
      <c r="D323" s="10"/>
      <c r="E323" s="14">
        <v>14999</v>
      </c>
      <c r="F323" s="3">
        <v>14999</v>
      </c>
      <c r="G323" s="3">
        <f t="shared" ref="G323:G386" si="26">E323*O323</f>
        <v>29998</v>
      </c>
      <c r="H323" s="3">
        <f t="shared" si="25"/>
        <v>29998</v>
      </c>
      <c r="I323" s="14">
        <f t="shared" ref="I323:I386" si="27">(E323*K323)*O323</f>
        <v>0</v>
      </c>
      <c r="J323" s="14">
        <f t="shared" ref="J323:J386" si="28">H323-G323</f>
        <v>0</v>
      </c>
      <c r="K323" s="1">
        <v>0</v>
      </c>
      <c r="L323">
        <v>4.3</v>
      </c>
      <c r="M323" s="2">
        <v>27508</v>
      </c>
      <c r="N323" t="s">
        <v>840</v>
      </c>
      <c r="O323">
        <f t="shared" ref="O323:O386" si="29">LEN(N323)-LEN(SUBSTITUTE(N323,",",""))+1</f>
        <v>2</v>
      </c>
      <c r="P323" s="12" t="e">
        <f>HYPERLINK(#REF!,"Link")</f>
        <v>#REF!</v>
      </c>
      <c r="Q323" s="12" t="e">
        <f>HYPERLINK(#REF!,"Link")</f>
        <v>#REF!</v>
      </c>
    </row>
    <row r="324" spans="1:17" x14ac:dyDescent="0.3">
      <c r="A324" t="s">
        <v>841</v>
      </c>
      <c r="B324" t="s">
        <v>532</v>
      </c>
      <c r="C324" s="9" t="s">
        <v>3727</v>
      </c>
      <c r="D324" s="9" t="s">
        <v>3849</v>
      </c>
      <c r="E324" s="14">
        <v>699</v>
      </c>
      <c r="F324" s="3">
        <v>299</v>
      </c>
      <c r="G324" s="3">
        <f t="shared" si="26"/>
        <v>2796</v>
      </c>
      <c r="H324" s="3">
        <f t="shared" si="25"/>
        <v>1196</v>
      </c>
      <c r="I324" s="14">
        <f t="shared" si="27"/>
        <v>1593.7199999999998</v>
      </c>
      <c r="J324" s="14">
        <f t="shared" si="28"/>
        <v>-1600</v>
      </c>
      <c r="K324" s="1">
        <v>0.56999999999999995</v>
      </c>
      <c r="L324">
        <v>3.9</v>
      </c>
      <c r="M324" s="2">
        <v>1454</v>
      </c>
      <c r="N324" t="s">
        <v>842</v>
      </c>
      <c r="O324">
        <f t="shared" si="29"/>
        <v>4</v>
      </c>
      <c r="P324" s="12" t="e">
        <f>HYPERLINK(#REF!,"Link")</f>
        <v>#REF!</v>
      </c>
      <c r="Q324" s="12" t="e">
        <f>HYPERLINK(#REF!,"Link")</f>
        <v>#REF!</v>
      </c>
    </row>
    <row r="325" spans="1:17" x14ac:dyDescent="0.3">
      <c r="A325" t="s">
        <v>843</v>
      </c>
      <c r="B325" t="s">
        <v>844</v>
      </c>
      <c r="C325" s="10" t="s">
        <v>3790</v>
      </c>
      <c r="D325" s="10" t="s">
        <v>3850</v>
      </c>
      <c r="E325" s="14">
        <v>51990</v>
      </c>
      <c r="F325" s="3">
        <v>24990</v>
      </c>
      <c r="G325" s="3">
        <f t="shared" si="26"/>
        <v>103980</v>
      </c>
      <c r="H325" s="3">
        <f t="shared" si="25"/>
        <v>49980</v>
      </c>
      <c r="I325" s="14">
        <f t="shared" si="27"/>
        <v>54069.599999999999</v>
      </c>
      <c r="J325" s="14">
        <f t="shared" si="28"/>
        <v>-54000</v>
      </c>
      <c r="K325" s="1">
        <v>0.52</v>
      </c>
      <c r="L325">
        <v>4.2</v>
      </c>
      <c r="M325" s="2">
        <v>2951</v>
      </c>
      <c r="N325" t="s">
        <v>845</v>
      </c>
      <c r="O325">
        <f t="shared" si="29"/>
        <v>2</v>
      </c>
      <c r="P325" s="12" t="e">
        <f>HYPERLINK(#REF!,"Link")</f>
        <v>#REF!</v>
      </c>
      <c r="Q325" s="12" t="e">
        <f>HYPERLINK(#REF!,"Link")</f>
        <v>#REF!</v>
      </c>
    </row>
    <row r="326" spans="1:17" x14ac:dyDescent="0.3">
      <c r="A326" t="s">
        <v>846</v>
      </c>
      <c r="B326" t="s">
        <v>847</v>
      </c>
      <c r="C326" s="9" t="s">
        <v>3729</v>
      </c>
      <c r="D326" s="9" t="s">
        <v>3851</v>
      </c>
      <c r="E326" s="14">
        <v>999</v>
      </c>
      <c r="F326" s="3">
        <v>249</v>
      </c>
      <c r="G326" s="3">
        <f t="shared" si="26"/>
        <v>999</v>
      </c>
      <c r="H326" s="3">
        <f t="shared" si="25"/>
        <v>249</v>
      </c>
      <c r="I326" s="14">
        <f t="shared" si="27"/>
        <v>749.25</v>
      </c>
      <c r="J326" s="14">
        <f t="shared" si="28"/>
        <v>-750</v>
      </c>
      <c r="K326" s="1">
        <v>0.75</v>
      </c>
      <c r="L326">
        <v>5</v>
      </c>
      <c r="N326" t="s">
        <v>848</v>
      </c>
      <c r="O326">
        <f t="shared" si="29"/>
        <v>1</v>
      </c>
      <c r="P326" s="12" t="e">
        <f>HYPERLINK(#REF!,"Link")</f>
        <v>#REF!</v>
      </c>
      <c r="Q326" s="12" t="e">
        <f>HYPERLINK(#REF!,"Link")</f>
        <v>#REF!</v>
      </c>
    </row>
    <row r="327" spans="1:17" x14ac:dyDescent="0.3">
      <c r="A327" t="s">
        <v>849</v>
      </c>
      <c r="B327" t="s">
        <v>850</v>
      </c>
      <c r="C327" s="10" t="s">
        <v>3787</v>
      </c>
      <c r="D327" s="10" t="s">
        <v>3852</v>
      </c>
      <c r="E327" s="14">
        <v>69999</v>
      </c>
      <c r="F327" s="3">
        <v>61999</v>
      </c>
      <c r="G327" s="3">
        <f t="shared" si="26"/>
        <v>209997</v>
      </c>
      <c r="H327" s="3">
        <f t="shared" si="25"/>
        <v>185997</v>
      </c>
      <c r="I327" s="14">
        <f t="shared" si="27"/>
        <v>23099.670000000002</v>
      </c>
      <c r="J327" s="14">
        <f t="shared" si="28"/>
        <v>-24000</v>
      </c>
      <c r="K327" s="1">
        <v>0.11</v>
      </c>
      <c r="L327">
        <v>4.0999999999999996</v>
      </c>
      <c r="M327" s="2">
        <v>6753</v>
      </c>
      <c r="N327" t="s">
        <v>574</v>
      </c>
      <c r="O327">
        <f t="shared" si="29"/>
        <v>3</v>
      </c>
      <c r="P327" s="12" t="e">
        <f>HYPERLINK(#REF!,"Link")</f>
        <v>#REF!</v>
      </c>
      <c r="Q327" s="12" t="e">
        <f>HYPERLINK(#REF!,"Link")</f>
        <v>#REF!</v>
      </c>
    </row>
    <row r="328" spans="1:17" x14ac:dyDescent="0.3">
      <c r="A328" t="s">
        <v>851</v>
      </c>
      <c r="B328" t="s">
        <v>852</v>
      </c>
      <c r="C328" s="9" t="s">
        <v>3853</v>
      </c>
      <c r="D328" s="9"/>
      <c r="E328" s="14">
        <v>50000</v>
      </c>
      <c r="F328" s="3">
        <v>24499</v>
      </c>
      <c r="G328" s="3">
        <f t="shared" si="26"/>
        <v>100000</v>
      </c>
      <c r="H328" s="3">
        <f t="shared" si="25"/>
        <v>48998</v>
      </c>
      <c r="I328" s="14">
        <f t="shared" si="27"/>
        <v>51000</v>
      </c>
      <c r="J328" s="14">
        <f t="shared" si="28"/>
        <v>-51002</v>
      </c>
      <c r="K328" s="1">
        <v>0.51</v>
      </c>
      <c r="L328">
        <v>3.9</v>
      </c>
      <c r="M328" s="2">
        <v>3518</v>
      </c>
      <c r="N328" t="s">
        <v>853</v>
      </c>
      <c r="O328">
        <f t="shared" si="29"/>
        <v>2</v>
      </c>
      <c r="P328" s="12" t="e">
        <f>HYPERLINK(#REF!,"Link")</f>
        <v>#REF!</v>
      </c>
      <c r="Q328" s="12" t="e">
        <f>HYPERLINK(#REF!,"Link")</f>
        <v>#REF!</v>
      </c>
    </row>
    <row r="329" spans="1:17" x14ac:dyDescent="0.3">
      <c r="A329" t="s">
        <v>854</v>
      </c>
      <c r="B329" t="s">
        <v>394</v>
      </c>
      <c r="C329" s="10"/>
      <c r="D329" s="10"/>
      <c r="E329" s="14">
        <v>19499</v>
      </c>
      <c r="F329" s="3">
        <v>10499</v>
      </c>
      <c r="G329" s="3">
        <f t="shared" si="26"/>
        <v>38998</v>
      </c>
      <c r="H329" s="3">
        <f t="shared" si="25"/>
        <v>20998</v>
      </c>
      <c r="I329" s="14">
        <f t="shared" si="27"/>
        <v>17939.080000000002</v>
      </c>
      <c r="J329" s="14">
        <f t="shared" si="28"/>
        <v>-18000</v>
      </c>
      <c r="K329" s="1">
        <v>0.46</v>
      </c>
      <c r="L329">
        <v>4.2</v>
      </c>
      <c r="M329" s="2">
        <v>1510</v>
      </c>
      <c r="N329" t="s">
        <v>798</v>
      </c>
      <c r="O329">
        <f t="shared" si="29"/>
        <v>2</v>
      </c>
      <c r="P329" s="12" t="e">
        <f>HYPERLINK(#REF!,"Link")</f>
        <v>#REF!</v>
      </c>
      <c r="Q329" s="12" t="e">
        <f>HYPERLINK(#REF!,"Link")</f>
        <v>#REF!</v>
      </c>
    </row>
    <row r="330" spans="1:17" x14ac:dyDescent="0.3">
      <c r="A330" t="s">
        <v>855</v>
      </c>
      <c r="B330" t="s">
        <v>856</v>
      </c>
      <c r="C330" s="9" t="s">
        <v>3854</v>
      </c>
      <c r="D330" s="9"/>
      <c r="E330" s="14">
        <v>999</v>
      </c>
      <c r="F330" s="3">
        <v>349</v>
      </c>
      <c r="G330" s="3">
        <f t="shared" si="26"/>
        <v>1998</v>
      </c>
      <c r="H330" s="3">
        <f t="shared" si="25"/>
        <v>698</v>
      </c>
      <c r="I330" s="14">
        <f t="shared" si="27"/>
        <v>1298.7</v>
      </c>
      <c r="J330" s="14">
        <f t="shared" si="28"/>
        <v>-1300</v>
      </c>
      <c r="K330" s="1">
        <v>0.65</v>
      </c>
      <c r="L330">
        <v>4.3</v>
      </c>
      <c r="M330">
        <v>838</v>
      </c>
      <c r="N330" t="s">
        <v>819</v>
      </c>
      <c r="O330">
        <f t="shared" si="29"/>
        <v>2</v>
      </c>
      <c r="P330" s="12" t="e">
        <f>HYPERLINK(#REF!,"Link")</f>
        <v>#REF!</v>
      </c>
      <c r="Q330" s="12" t="e">
        <f>HYPERLINK(#REF!,"Link")</f>
        <v>#REF!</v>
      </c>
    </row>
    <row r="331" spans="1:17" x14ac:dyDescent="0.3">
      <c r="A331" t="s">
        <v>857</v>
      </c>
      <c r="B331" t="s">
        <v>858</v>
      </c>
      <c r="C331" s="10" t="s">
        <v>3795</v>
      </c>
      <c r="D331" s="10"/>
      <c r="E331" s="14">
        <v>499</v>
      </c>
      <c r="F331" s="3">
        <v>197</v>
      </c>
      <c r="G331" s="3">
        <f t="shared" si="26"/>
        <v>998</v>
      </c>
      <c r="H331" s="3">
        <f t="shared" si="25"/>
        <v>394</v>
      </c>
      <c r="I331" s="14">
        <f t="shared" si="27"/>
        <v>608.78</v>
      </c>
      <c r="J331" s="14">
        <f t="shared" si="28"/>
        <v>-604</v>
      </c>
      <c r="K331" s="1">
        <v>0.61</v>
      </c>
      <c r="L331">
        <v>3.8</v>
      </c>
      <c r="M331">
        <v>136</v>
      </c>
      <c r="N331" t="s">
        <v>859</v>
      </c>
      <c r="O331">
        <f t="shared" si="29"/>
        <v>2</v>
      </c>
      <c r="P331" s="12" t="e">
        <f>HYPERLINK(#REF!,"Link")</f>
        <v>#REF!</v>
      </c>
      <c r="Q331" s="12" t="e">
        <f>HYPERLINK(#REF!,"Link")</f>
        <v>#REF!</v>
      </c>
    </row>
    <row r="332" spans="1:17" x14ac:dyDescent="0.3">
      <c r="A332" t="s">
        <v>860</v>
      </c>
      <c r="B332" t="s">
        <v>715</v>
      </c>
      <c r="C332" s="9" t="s">
        <v>3790</v>
      </c>
      <c r="D332" s="9" t="s">
        <v>3855</v>
      </c>
      <c r="E332" s="14">
        <v>2499</v>
      </c>
      <c r="F332" s="3">
        <v>1299</v>
      </c>
      <c r="G332" s="3">
        <f t="shared" si="26"/>
        <v>4998</v>
      </c>
      <c r="H332" s="3">
        <f t="shared" si="25"/>
        <v>2598</v>
      </c>
      <c r="I332" s="14">
        <f t="shared" si="27"/>
        <v>2399.04</v>
      </c>
      <c r="J332" s="14">
        <f t="shared" si="28"/>
        <v>-2400</v>
      </c>
      <c r="K332" s="1">
        <v>0.48</v>
      </c>
      <c r="L332">
        <v>4.3</v>
      </c>
      <c r="M332">
        <v>301</v>
      </c>
      <c r="N332" t="s">
        <v>861</v>
      </c>
      <c r="O332">
        <f t="shared" si="29"/>
        <v>2</v>
      </c>
      <c r="P332" s="12" t="e">
        <f>HYPERLINK(#REF!,"Link")</f>
        <v>#REF!</v>
      </c>
      <c r="Q332" s="12" t="e">
        <f>HYPERLINK(#REF!,"Link")</f>
        <v>#REF!</v>
      </c>
    </row>
    <row r="333" spans="1:17" x14ac:dyDescent="0.3">
      <c r="A333" t="s">
        <v>862</v>
      </c>
      <c r="B333" t="s">
        <v>863</v>
      </c>
      <c r="C333" s="10" t="s">
        <v>3856</v>
      </c>
      <c r="D333" s="10" t="s">
        <v>3857</v>
      </c>
      <c r="E333" s="14">
        <v>1899</v>
      </c>
      <c r="F333" s="3">
        <v>1519</v>
      </c>
      <c r="G333" s="3">
        <f t="shared" si="26"/>
        <v>1899</v>
      </c>
      <c r="H333" s="3">
        <f t="shared" si="25"/>
        <v>1519</v>
      </c>
      <c r="I333" s="14">
        <f t="shared" si="27"/>
        <v>379.8</v>
      </c>
      <c r="J333" s="14">
        <f t="shared" si="28"/>
        <v>-380</v>
      </c>
      <c r="K333" s="1">
        <v>0.2</v>
      </c>
      <c r="L333">
        <v>4.4000000000000004</v>
      </c>
      <c r="M333" s="2">
        <v>19763</v>
      </c>
      <c r="N333" t="s">
        <v>864</v>
      </c>
      <c r="O333">
        <f t="shared" si="29"/>
        <v>1</v>
      </c>
      <c r="P333" s="12" t="e">
        <f>HYPERLINK(#REF!,"Link")</f>
        <v>#REF!</v>
      </c>
      <c r="Q333" s="12" t="e">
        <f>HYPERLINK(#REF!,"Link")</f>
        <v>#REF!</v>
      </c>
    </row>
    <row r="334" spans="1:17" x14ac:dyDescent="0.3">
      <c r="A334" t="s">
        <v>865</v>
      </c>
      <c r="B334" t="s">
        <v>866</v>
      </c>
      <c r="C334" s="9" t="s">
        <v>3858</v>
      </c>
      <c r="D334" s="9"/>
      <c r="E334" s="14">
        <v>69999</v>
      </c>
      <c r="F334" s="3">
        <v>46999</v>
      </c>
      <c r="G334" s="3">
        <f t="shared" si="26"/>
        <v>139998</v>
      </c>
      <c r="H334" s="3">
        <f t="shared" si="25"/>
        <v>93998</v>
      </c>
      <c r="I334" s="14">
        <f t="shared" si="27"/>
        <v>46199.340000000004</v>
      </c>
      <c r="J334" s="14">
        <f t="shared" si="28"/>
        <v>-46000</v>
      </c>
      <c r="K334" s="1">
        <v>0.33</v>
      </c>
      <c r="L334">
        <v>4.3</v>
      </c>
      <c r="M334" s="2">
        <v>21252</v>
      </c>
      <c r="N334" t="s">
        <v>616</v>
      </c>
      <c r="O334">
        <f t="shared" si="29"/>
        <v>2</v>
      </c>
      <c r="P334" s="12" t="e">
        <f>HYPERLINK(#REF!,"Link")</f>
        <v>#REF!</v>
      </c>
      <c r="Q334" s="12" t="e">
        <f>HYPERLINK(#REF!,"Link")</f>
        <v>#REF!</v>
      </c>
    </row>
    <row r="335" spans="1:17" x14ac:dyDescent="0.3">
      <c r="A335" t="s">
        <v>867</v>
      </c>
      <c r="B335" t="s">
        <v>868</v>
      </c>
      <c r="C335" s="10" t="s">
        <v>3859</v>
      </c>
      <c r="D335" s="10" t="s">
        <v>3860</v>
      </c>
      <c r="E335" s="14">
        <v>799</v>
      </c>
      <c r="F335" s="3">
        <v>299</v>
      </c>
      <c r="G335" s="3">
        <f t="shared" si="26"/>
        <v>2397</v>
      </c>
      <c r="H335" s="3">
        <f t="shared" si="25"/>
        <v>897</v>
      </c>
      <c r="I335" s="14">
        <f t="shared" si="27"/>
        <v>1510.1100000000001</v>
      </c>
      <c r="J335" s="14">
        <f t="shared" si="28"/>
        <v>-1500</v>
      </c>
      <c r="K335" s="1">
        <v>0.63</v>
      </c>
      <c r="L335">
        <v>4.3</v>
      </c>
      <c r="M335" s="2">
        <v>1902</v>
      </c>
      <c r="N335" t="s">
        <v>869</v>
      </c>
      <c r="O335">
        <f t="shared" si="29"/>
        <v>3</v>
      </c>
      <c r="P335" s="12" t="e">
        <f>HYPERLINK(#REF!,"Link")</f>
        <v>#REF!</v>
      </c>
      <c r="Q335" s="12" t="e">
        <f>HYPERLINK(#REF!,"Link")</f>
        <v>#REF!</v>
      </c>
    </row>
    <row r="336" spans="1:17" x14ac:dyDescent="0.3">
      <c r="A336" t="s">
        <v>870</v>
      </c>
      <c r="B336" t="s">
        <v>871</v>
      </c>
      <c r="C336" s="9" t="s">
        <v>3861</v>
      </c>
      <c r="D336" s="9" t="s">
        <v>3862</v>
      </c>
      <c r="E336" s="14">
        <v>19999</v>
      </c>
      <c r="F336" s="3">
        <v>1799</v>
      </c>
      <c r="G336" s="3">
        <f t="shared" si="26"/>
        <v>79996</v>
      </c>
      <c r="H336" s="3">
        <f t="shared" si="25"/>
        <v>7196</v>
      </c>
      <c r="I336" s="14">
        <f t="shared" si="27"/>
        <v>72796.36</v>
      </c>
      <c r="J336" s="14">
        <f t="shared" si="28"/>
        <v>-72800</v>
      </c>
      <c r="K336" s="1">
        <v>0.91</v>
      </c>
      <c r="L336">
        <v>4.2</v>
      </c>
      <c r="M336" s="2">
        <v>13937</v>
      </c>
      <c r="N336" t="s">
        <v>872</v>
      </c>
      <c r="O336">
        <f t="shared" si="29"/>
        <v>4</v>
      </c>
      <c r="P336" s="12" t="e">
        <f>HYPERLINK(#REF!,"Link")</f>
        <v>#REF!</v>
      </c>
      <c r="Q336" s="12" t="e">
        <f>HYPERLINK(#REF!,"Link")</f>
        <v>#REF!</v>
      </c>
    </row>
    <row r="337" spans="1:17" x14ac:dyDescent="0.3">
      <c r="A337" t="s">
        <v>873</v>
      </c>
      <c r="B337" t="s">
        <v>874</v>
      </c>
      <c r="C337" s="10" t="s">
        <v>3861</v>
      </c>
      <c r="D337" s="10" t="s">
        <v>3863</v>
      </c>
      <c r="E337" s="14">
        <v>9999</v>
      </c>
      <c r="F337" s="3">
        <v>1998</v>
      </c>
      <c r="G337" s="3">
        <f t="shared" si="26"/>
        <v>19998</v>
      </c>
      <c r="H337" s="3">
        <f t="shared" si="25"/>
        <v>3996</v>
      </c>
      <c r="I337" s="14">
        <f t="shared" si="27"/>
        <v>15998.400000000001</v>
      </c>
      <c r="J337" s="14">
        <f t="shared" si="28"/>
        <v>-16002</v>
      </c>
      <c r="K337" s="1">
        <v>0.8</v>
      </c>
      <c r="L337">
        <v>4.3</v>
      </c>
      <c r="M337" s="2">
        <v>27696</v>
      </c>
      <c r="N337" t="s">
        <v>875</v>
      </c>
      <c r="O337">
        <f t="shared" si="29"/>
        <v>2</v>
      </c>
      <c r="P337" s="12" t="e">
        <f>HYPERLINK(#REF!,"Link")</f>
        <v>#REF!</v>
      </c>
      <c r="Q337" s="12" t="e">
        <f>HYPERLINK(#REF!,"Link")</f>
        <v>#REF!</v>
      </c>
    </row>
    <row r="338" spans="1:17" x14ac:dyDescent="0.3">
      <c r="A338" t="s">
        <v>876</v>
      </c>
      <c r="B338" t="s">
        <v>877</v>
      </c>
      <c r="C338" s="9" t="s">
        <v>3864</v>
      </c>
      <c r="D338" s="9" t="s">
        <v>3865</v>
      </c>
      <c r="E338" s="14">
        <v>7990</v>
      </c>
      <c r="F338" s="3">
        <v>1999</v>
      </c>
      <c r="G338" s="3">
        <f t="shared" si="26"/>
        <v>23970</v>
      </c>
      <c r="H338" s="3">
        <f t="shared" si="25"/>
        <v>5997</v>
      </c>
      <c r="I338" s="14">
        <f t="shared" si="27"/>
        <v>17977.5</v>
      </c>
      <c r="J338" s="14">
        <f t="shared" si="28"/>
        <v>-17973</v>
      </c>
      <c r="K338" s="1">
        <v>0.75</v>
      </c>
      <c r="L338">
        <v>3.8</v>
      </c>
      <c r="M338" s="2">
        <v>17831</v>
      </c>
      <c r="N338" t="s">
        <v>878</v>
      </c>
      <c r="O338">
        <f t="shared" si="29"/>
        <v>3</v>
      </c>
      <c r="P338" s="12" t="e">
        <f>HYPERLINK(#REF!,"Link")</f>
        <v>#REF!</v>
      </c>
      <c r="Q338" s="12" t="e">
        <f>HYPERLINK(#REF!,"Link")</f>
        <v>#REF!</v>
      </c>
    </row>
    <row r="339" spans="1:17" x14ac:dyDescent="0.3">
      <c r="A339" t="s">
        <v>879</v>
      </c>
      <c r="B339" t="s">
        <v>880</v>
      </c>
      <c r="C339" s="10" t="s">
        <v>3859</v>
      </c>
      <c r="D339" s="10" t="s">
        <v>3866</v>
      </c>
      <c r="E339" s="14">
        <v>2199</v>
      </c>
      <c r="F339" s="3">
        <v>2049</v>
      </c>
      <c r="G339" s="3">
        <f t="shared" si="26"/>
        <v>4398</v>
      </c>
      <c r="H339" s="3">
        <f t="shared" si="25"/>
        <v>4098</v>
      </c>
      <c r="I339" s="14">
        <f t="shared" si="27"/>
        <v>307.86</v>
      </c>
      <c r="J339" s="14">
        <f t="shared" si="28"/>
        <v>-300</v>
      </c>
      <c r="K339" s="1">
        <v>7.0000000000000007E-2</v>
      </c>
      <c r="L339">
        <v>4.3</v>
      </c>
      <c r="M339" s="2">
        <v>178912</v>
      </c>
      <c r="N339" t="s">
        <v>881</v>
      </c>
      <c r="O339">
        <f t="shared" si="29"/>
        <v>2</v>
      </c>
      <c r="P339" s="12" t="e">
        <f>HYPERLINK(#REF!,"Link")</f>
        <v>#REF!</v>
      </c>
      <c r="Q339" s="12" t="e">
        <f>HYPERLINK(#REF!,"Link")</f>
        <v>#REF!</v>
      </c>
    </row>
    <row r="340" spans="1:17" x14ac:dyDescent="0.3">
      <c r="A340" t="s">
        <v>882</v>
      </c>
      <c r="B340" t="s">
        <v>883</v>
      </c>
      <c r="C340" s="9" t="s">
        <v>3867</v>
      </c>
      <c r="D340" s="9" t="s">
        <v>3868</v>
      </c>
      <c r="E340" s="14">
        <v>8999</v>
      </c>
      <c r="F340" s="3">
        <v>6499</v>
      </c>
      <c r="G340" s="3">
        <f t="shared" si="26"/>
        <v>26997</v>
      </c>
      <c r="H340" s="3">
        <f t="shared" si="25"/>
        <v>19497</v>
      </c>
      <c r="I340" s="14">
        <f t="shared" si="27"/>
        <v>7559.1600000000008</v>
      </c>
      <c r="J340" s="14">
        <f t="shared" si="28"/>
        <v>-7500</v>
      </c>
      <c r="K340" s="1">
        <v>0.28000000000000003</v>
      </c>
      <c r="L340">
        <v>4</v>
      </c>
      <c r="M340" s="2">
        <v>7807</v>
      </c>
      <c r="N340" t="s">
        <v>884</v>
      </c>
      <c r="O340">
        <f t="shared" si="29"/>
        <v>3</v>
      </c>
      <c r="P340" s="12" t="e">
        <f>HYPERLINK(#REF!,"Link")</f>
        <v>#REF!</v>
      </c>
      <c r="Q340" s="12" t="e">
        <f>HYPERLINK(#REF!,"Link")</f>
        <v>#REF!</v>
      </c>
    </row>
    <row r="341" spans="1:17" x14ac:dyDescent="0.3">
      <c r="A341" t="s">
        <v>885</v>
      </c>
      <c r="B341" t="s">
        <v>886</v>
      </c>
      <c r="C341" s="10" t="s">
        <v>3859</v>
      </c>
      <c r="D341" s="10" t="s">
        <v>3869</v>
      </c>
      <c r="E341" s="14">
        <v>28999</v>
      </c>
      <c r="F341" s="3">
        <v>28999</v>
      </c>
      <c r="G341" s="3">
        <f t="shared" si="26"/>
        <v>86997</v>
      </c>
      <c r="H341" s="3">
        <f t="shared" si="25"/>
        <v>86997</v>
      </c>
      <c r="I341" s="14">
        <f t="shared" si="27"/>
        <v>0</v>
      </c>
      <c r="J341" s="14">
        <f t="shared" si="28"/>
        <v>0</v>
      </c>
      <c r="K341" s="1">
        <v>0</v>
      </c>
      <c r="L341">
        <v>4.3</v>
      </c>
      <c r="M341" s="2">
        <v>17415</v>
      </c>
      <c r="N341" t="s">
        <v>887</v>
      </c>
      <c r="O341">
        <f t="shared" si="29"/>
        <v>3</v>
      </c>
      <c r="P341" s="12" t="e">
        <f>HYPERLINK(#REF!,"Link")</f>
        <v>#REF!</v>
      </c>
      <c r="Q341" s="12" t="e">
        <f>HYPERLINK(#REF!,"Link")</f>
        <v>#REF!</v>
      </c>
    </row>
    <row r="342" spans="1:17" x14ac:dyDescent="0.3">
      <c r="A342" t="s">
        <v>888</v>
      </c>
      <c r="B342" t="s">
        <v>886</v>
      </c>
      <c r="C342" s="9" t="s">
        <v>3859</v>
      </c>
      <c r="D342" s="9" t="s">
        <v>3870</v>
      </c>
      <c r="E342" s="14">
        <v>28999</v>
      </c>
      <c r="F342" s="3">
        <v>28999</v>
      </c>
      <c r="G342" s="3">
        <f t="shared" si="26"/>
        <v>86997</v>
      </c>
      <c r="H342" s="3">
        <f t="shared" si="25"/>
        <v>86997</v>
      </c>
      <c r="I342" s="14">
        <f t="shared" si="27"/>
        <v>0</v>
      </c>
      <c r="J342" s="14">
        <f t="shared" si="28"/>
        <v>0</v>
      </c>
      <c r="K342" s="1">
        <v>0</v>
      </c>
      <c r="L342">
        <v>4.3</v>
      </c>
      <c r="M342" s="2">
        <v>17415</v>
      </c>
      <c r="N342" t="s">
        <v>887</v>
      </c>
      <c r="O342">
        <f t="shared" si="29"/>
        <v>3</v>
      </c>
      <c r="P342" s="12" t="e">
        <f>HYPERLINK(#REF!,"Link")</f>
        <v>#REF!</v>
      </c>
      <c r="Q342" s="12" t="e">
        <f>HYPERLINK(#REF!,"Link")</f>
        <v>#REF!</v>
      </c>
    </row>
    <row r="343" spans="1:17" x14ac:dyDescent="0.3">
      <c r="A343" t="s">
        <v>889</v>
      </c>
      <c r="B343" t="s">
        <v>883</v>
      </c>
      <c r="C343" s="10" t="s">
        <v>3864</v>
      </c>
      <c r="D343" s="10" t="s">
        <v>3865</v>
      </c>
      <c r="E343" s="14">
        <v>8999</v>
      </c>
      <c r="F343" s="3">
        <v>6499</v>
      </c>
      <c r="G343" s="3">
        <f t="shared" si="26"/>
        <v>26997</v>
      </c>
      <c r="H343" s="3">
        <f t="shared" si="25"/>
        <v>19497</v>
      </c>
      <c r="I343" s="14">
        <f t="shared" si="27"/>
        <v>7559.1600000000008</v>
      </c>
      <c r="J343" s="14">
        <f t="shared" si="28"/>
        <v>-7500</v>
      </c>
      <c r="K343" s="1">
        <v>0.28000000000000003</v>
      </c>
      <c r="L343">
        <v>4</v>
      </c>
      <c r="M343" s="2">
        <v>7807</v>
      </c>
      <c r="N343" t="s">
        <v>884</v>
      </c>
      <c r="O343">
        <f t="shared" si="29"/>
        <v>3</v>
      </c>
      <c r="P343" s="12" t="e">
        <f>HYPERLINK(#REF!,"Link")</f>
        <v>#REF!</v>
      </c>
      <c r="Q343" s="12" t="e">
        <f>HYPERLINK(#REF!,"Link")</f>
        <v>#REF!</v>
      </c>
    </row>
    <row r="344" spans="1:17" x14ac:dyDescent="0.3">
      <c r="A344" t="s">
        <v>890</v>
      </c>
      <c r="B344" t="s">
        <v>883</v>
      </c>
      <c r="C344" s="9" t="s">
        <v>3859</v>
      </c>
      <c r="D344" s="9" t="s">
        <v>3871</v>
      </c>
      <c r="E344" s="14">
        <v>8999</v>
      </c>
      <c r="F344" s="3">
        <v>6499</v>
      </c>
      <c r="G344" s="3">
        <f t="shared" si="26"/>
        <v>26997</v>
      </c>
      <c r="H344" s="3">
        <f t="shared" si="25"/>
        <v>19497</v>
      </c>
      <c r="I344" s="14">
        <f t="shared" si="27"/>
        <v>7559.1600000000008</v>
      </c>
      <c r="J344" s="14">
        <f t="shared" si="28"/>
        <v>-7500</v>
      </c>
      <c r="K344" s="1">
        <v>0.28000000000000003</v>
      </c>
      <c r="L344">
        <v>4</v>
      </c>
      <c r="M344" s="2">
        <v>7807</v>
      </c>
      <c r="N344" t="s">
        <v>884</v>
      </c>
      <c r="O344">
        <f t="shared" si="29"/>
        <v>3</v>
      </c>
      <c r="P344" s="12" t="e">
        <f>HYPERLINK(#REF!,"Link")</f>
        <v>#REF!</v>
      </c>
      <c r="Q344" s="12" t="e">
        <f>HYPERLINK(#REF!,"Link")</f>
        <v>#REF!</v>
      </c>
    </row>
    <row r="345" spans="1:17" x14ac:dyDescent="0.3">
      <c r="A345" t="s">
        <v>891</v>
      </c>
      <c r="B345" t="s">
        <v>892</v>
      </c>
      <c r="C345" s="10" t="s">
        <v>3872</v>
      </c>
      <c r="D345" s="10" t="s">
        <v>3873</v>
      </c>
      <c r="E345" s="14">
        <v>1000</v>
      </c>
      <c r="F345" s="3">
        <v>569</v>
      </c>
      <c r="G345" s="3">
        <f t="shared" si="26"/>
        <v>3000</v>
      </c>
      <c r="H345" s="3">
        <f t="shared" si="25"/>
        <v>1707</v>
      </c>
      <c r="I345" s="14">
        <f t="shared" si="27"/>
        <v>1290</v>
      </c>
      <c r="J345" s="14">
        <f t="shared" si="28"/>
        <v>-1293</v>
      </c>
      <c r="K345" s="1">
        <v>0.43</v>
      </c>
      <c r="L345">
        <v>4.4000000000000004</v>
      </c>
      <c r="M345" s="2">
        <v>67259</v>
      </c>
      <c r="N345" t="s">
        <v>893</v>
      </c>
      <c r="O345">
        <f t="shared" si="29"/>
        <v>3</v>
      </c>
      <c r="P345" s="12" t="e">
        <f>HYPERLINK(#REF!,"Link")</f>
        <v>#REF!</v>
      </c>
      <c r="Q345" s="12" t="e">
        <f>HYPERLINK(#REF!,"Link")</f>
        <v>#REF!</v>
      </c>
    </row>
    <row r="346" spans="1:17" x14ac:dyDescent="0.3">
      <c r="A346" t="s">
        <v>894</v>
      </c>
      <c r="B346" t="s">
        <v>895</v>
      </c>
      <c r="C346" s="9" t="s">
        <v>3861</v>
      </c>
      <c r="D346" s="9"/>
      <c r="E346" s="14">
        <v>4999</v>
      </c>
      <c r="F346" s="3">
        <v>1898</v>
      </c>
      <c r="G346" s="3">
        <f t="shared" si="26"/>
        <v>9998</v>
      </c>
      <c r="H346" s="3">
        <f t="shared" si="25"/>
        <v>3796</v>
      </c>
      <c r="I346" s="14">
        <f t="shared" si="27"/>
        <v>6198.76</v>
      </c>
      <c r="J346" s="14">
        <f t="shared" si="28"/>
        <v>-6202</v>
      </c>
      <c r="K346" s="1">
        <v>0.62</v>
      </c>
      <c r="L346">
        <v>4.0999999999999996</v>
      </c>
      <c r="M346" s="2">
        <v>10689</v>
      </c>
      <c r="N346" t="s">
        <v>896</v>
      </c>
      <c r="O346">
        <f t="shared" si="29"/>
        <v>2</v>
      </c>
      <c r="P346" s="12" t="e">
        <f>HYPERLINK(#REF!,"Link")</f>
        <v>#REF!</v>
      </c>
      <c r="Q346" s="12" t="e">
        <f>HYPERLINK(#REF!,"Link")</f>
        <v>#REF!</v>
      </c>
    </row>
    <row r="347" spans="1:17" x14ac:dyDescent="0.3">
      <c r="A347" t="s">
        <v>897</v>
      </c>
      <c r="B347" t="s">
        <v>898</v>
      </c>
      <c r="C347" s="10" t="s">
        <v>3859</v>
      </c>
      <c r="D347" s="10" t="s">
        <v>3860</v>
      </c>
      <c r="E347" s="14">
        <v>1599</v>
      </c>
      <c r="F347" s="3">
        <v>1299</v>
      </c>
      <c r="G347" s="3">
        <f t="shared" si="26"/>
        <v>3198</v>
      </c>
      <c r="H347" s="3">
        <f t="shared" si="25"/>
        <v>2598</v>
      </c>
      <c r="I347" s="14">
        <f t="shared" si="27"/>
        <v>607.62</v>
      </c>
      <c r="J347" s="14">
        <f t="shared" si="28"/>
        <v>-600</v>
      </c>
      <c r="K347" s="1">
        <v>0.19</v>
      </c>
      <c r="L347">
        <v>4</v>
      </c>
      <c r="M347" s="2">
        <v>128311</v>
      </c>
      <c r="N347" t="s">
        <v>899</v>
      </c>
      <c r="O347">
        <f t="shared" si="29"/>
        <v>2</v>
      </c>
      <c r="P347" s="12" t="e">
        <f>HYPERLINK(#REF!,"Link")</f>
        <v>#REF!</v>
      </c>
      <c r="Q347" s="12" t="e">
        <f>HYPERLINK(#REF!,"Link")</f>
        <v>#REF!</v>
      </c>
    </row>
    <row r="348" spans="1:17" x14ac:dyDescent="0.3">
      <c r="A348" t="s">
        <v>900</v>
      </c>
      <c r="B348" t="s">
        <v>901</v>
      </c>
      <c r="C348" s="9" t="s">
        <v>3872</v>
      </c>
      <c r="D348" s="9" t="s">
        <v>3874</v>
      </c>
      <c r="E348" s="14">
        <v>6990</v>
      </c>
      <c r="F348" s="3">
        <v>1499</v>
      </c>
      <c r="G348" s="3">
        <f t="shared" si="26"/>
        <v>13980</v>
      </c>
      <c r="H348" s="3">
        <f t="shared" si="25"/>
        <v>2998</v>
      </c>
      <c r="I348" s="14">
        <f t="shared" si="27"/>
        <v>11044.2</v>
      </c>
      <c r="J348" s="14">
        <f t="shared" si="28"/>
        <v>-10982</v>
      </c>
      <c r="K348" s="1">
        <v>0.79</v>
      </c>
      <c r="L348">
        <v>3.9</v>
      </c>
      <c r="M348" s="2">
        <v>21796</v>
      </c>
      <c r="N348" t="s">
        <v>902</v>
      </c>
      <c r="O348">
        <f t="shared" si="29"/>
        <v>2</v>
      </c>
      <c r="P348" s="12" t="e">
        <f>HYPERLINK(#REF!,"Link")</f>
        <v>#REF!</v>
      </c>
      <c r="Q348" s="12" t="e">
        <f>HYPERLINK(#REF!,"Link")</f>
        <v>#REF!</v>
      </c>
    </row>
    <row r="349" spans="1:17" x14ac:dyDescent="0.3">
      <c r="A349" t="s">
        <v>903</v>
      </c>
      <c r="B349" t="s">
        <v>904</v>
      </c>
      <c r="C349" s="10" t="s">
        <v>3872</v>
      </c>
      <c r="D349" s="10" t="s">
        <v>3875</v>
      </c>
      <c r="E349" s="14">
        <v>999</v>
      </c>
      <c r="F349" s="3">
        <v>599</v>
      </c>
      <c r="G349" s="3">
        <f t="shared" si="26"/>
        <v>1998</v>
      </c>
      <c r="H349" s="3">
        <f t="shared" si="25"/>
        <v>1198</v>
      </c>
      <c r="I349" s="14">
        <f t="shared" si="27"/>
        <v>799.2</v>
      </c>
      <c r="J349" s="14">
        <f t="shared" si="28"/>
        <v>-800</v>
      </c>
      <c r="K349" s="1">
        <v>0.4</v>
      </c>
      <c r="L349">
        <v>4.0999999999999996</v>
      </c>
      <c r="M349" s="2">
        <v>192590</v>
      </c>
      <c r="N349" t="s">
        <v>905</v>
      </c>
      <c r="O349">
        <f t="shared" si="29"/>
        <v>2</v>
      </c>
      <c r="P349" s="12" t="e">
        <f>HYPERLINK(#REF!,"Link")</f>
        <v>#REF!</v>
      </c>
      <c r="Q349" s="12" t="e">
        <f>HYPERLINK(#REF!,"Link")</f>
        <v>#REF!</v>
      </c>
    </row>
    <row r="350" spans="1:17" x14ac:dyDescent="0.3">
      <c r="A350" t="s">
        <v>906</v>
      </c>
      <c r="B350" t="s">
        <v>907</v>
      </c>
      <c r="C350" s="9" t="s">
        <v>3859</v>
      </c>
      <c r="D350" s="9" t="s">
        <v>3876</v>
      </c>
      <c r="E350" s="14">
        <v>11999</v>
      </c>
      <c r="F350" s="3">
        <v>9499</v>
      </c>
      <c r="G350" s="3">
        <f t="shared" si="26"/>
        <v>23998</v>
      </c>
      <c r="H350" s="3">
        <f t="shared" si="25"/>
        <v>18998</v>
      </c>
      <c r="I350" s="14">
        <f t="shared" si="27"/>
        <v>5039.58</v>
      </c>
      <c r="J350" s="14">
        <f t="shared" si="28"/>
        <v>-5000</v>
      </c>
      <c r="K350" s="1">
        <v>0.21</v>
      </c>
      <c r="L350">
        <v>4.2</v>
      </c>
      <c r="M350">
        <v>284</v>
      </c>
      <c r="N350" t="s">
        <v>908</v>
      </c>
      <c r="O350">
        <f t="shared" si="29"/>
        <v>2</v>
      </c>
      <c r="P350" s="12" t="e">
        <f>HYPERLINK(#REF!,"Link")</f>
        <v>#REF!</v>
      </c>
      <c r="Q350" s="12" t="e">
        <f>HYPERLINK(#REF!,"Link")</f>
        <v>#REF!</v>
      </c>
    </row>
    <row r="351" spans="1:17" x14ac:dyDescent="0.3">
      <c r="A351" t="s">
        <v>909</v>
      </c>
      <c r="B351" t="s">
        <v>910</v>
      </c>
      <c r="C351" s="10" t="s">
        <v>3877</v>
      </c>
      <c r="D351" s="10" t="s">
        <v>3878</v>
      </c>
      <c r="E351" s="14">
        <v>2499</v>
      </c>
      <c r="F351" s="3">
        <v>599</v>
      </c>
      <c r="G351" s="3">
        <f t="shared" si="26"/>
        <v>4998</v>
      </c>
      <c r="H351" s="3">
        <f t="shared" si="25"/>
        <v>1198</v>
      </c>
      <c r="I351" s="14">
        <f t="shared" si="27"/>
        <v>3798.48</v>
      </c>
      <c r="J351" s="14">
        <f t="shared" si="28"/>
        <v>-3800</v>
      </c>
      <c r="K351" s="1">
        <v>0.76</v>
      </c>
      <c r="L351">
        <v>3.9</v>
      </c>
      <c r="M351" s="2">
        <v>58162</v>
      </c>
      <c r="N351" t="s">
        <v>911</v>
      </c>
      <c r="O351">
        <f t="shared" si="29"/>
        <v>2</v>
      </c>
      <c r="P351" s="12" t="e">
        <f>HYPERLINK(#REF!,"Link")</f>
        <v>#REF!</v>
      </c>
      <c r="Q351" s="12" t="e">
        <f>HYPERLINK(#REF!,"Link")</f>
        <v>#REF!</v>
      </c>
    </row>
    <row r="352" spans="1:17" x14ac:dyDescent="0.3">
      <c r="A352" t="s">
        <v>912</v>
      </c>
      <c r="B352" t="s">
        <v>913</v>
      </c>
      <c r="C352" s="9" t="s">
        <v>3859</v>
      </c>
      <c r="D352" s="9" t="s">
        <v>3879</v>
      </c>
      <c r="E352" s="14">
        <v>11999</v>
      </c>
      <c r="F352" s="3">
        <v>8999</v>
      </c>
      <c r="G352" s="3">
        <f t="shared" si="26"/>
        <v>35997</v>
      </c>
      <c r="H352" s="3">
        <f t="shared" si="25"/>
        <v>26997</v>
      </c>
      <c r="I352" s="14">
        <f t="shared" si="27"/>
        <v>8999.25</v>
      </c>
      <c r="J352" s="14">
        <f t="shared" si="28"/>
        <v>-9000</v>
      </c>
      <c r="K352" s="1">
        <v>0.25</v>
      </c>
      <c r="L352">
        <v>4</v>
      </c>
      <c r="M352" s="2">
        <v>12796</v>
      </c>
      <c r="N352" t="s">
        <v>914</v>
      </c>
      <c r="O352">
        <f t="shared" si="29"/>
        <v>3</v>
      </c>
      <c r="P352" s="12" t="e">
        <f>HYPERLINK(#REF!,"Link")</f>
        <v>#REF!</v>
      </c>
      <c r="Q352" s="12" t="e">
        <f>HYPERLINK(#REF!,"Link")</f>
        <v>#REF!</v>
      </c>
    </row>
    <row r="353" spans="1:17" x14ac:dyDescent="0.3">
      <c r="A353" t="s">
        <v>915</v>
      </c>
      <c r="B353" t="s">
        <v>916</v>
      </c>
      <c r="C353" s="10" t="s">
        <v>3864</v>
      </c>
      <c r="D353" s="10" t="s">
        <v>3880</v>
      </c>
      <c r="E353" s="14">
        <v>1299</v>
      </c>
      <c r="F353" s="3">
        <v>349</v>
      </c>
      <c r="G353" s="3">
        <f t="shared" si="26"/>
        <v>3897</v>
      </c>
      <c r="H353" s="3">
        <f t="shared" si="25"/>
        <v>1047</v>
      </c>
      <c r="I353" s="14">
        <f t="shared" si="27"/>
        <v>2844.81</v>
      </c>
      <c r="J353" s="14">
        <f t="shared" si="28"/>
        <v>-2850</v>
      </c>
      <c r="K353" s="1">
        <v>0.73</v>
      </c>
      <c r="L353">
        <v>4</v>
      </c>
      <c r="M353" s="2">
        <v>14282</v>
      </c>
      <c r="N353" t="s">
        <v>917</v>
      </c>
      <c r="O353">
        <f t="shared" si="29"/>
        <v>3</v>
      </c>
      <c r="P353" s="12" t="e">
        <f>HYPERLINK(#REF!,"Link")</f>
        <v>#REF!</v>
      </c>
      <c r="Q353" s="12" t="e">
        <f>HYPERLINK(#REF!,"Link")</f>
        <v>#REF!</v>
      </c>
    </row>
    <row r="354" spans="1:17" x14ac:dyDescent="0.3">
      <c r="A354" t="s">
        <v>918</v>
      </c>
      <c r="B354" t="s">
        <v>919</v>
      </c>
      <c r="C354" s="9" t="s">
        <v>3859</v>
      </c>
      <c r="D354" s="9" t="s">
        <v>3881</v>
      </c>
      <c r="E354" s="14">
        <v>999</v>
      </c>
      <c r="F354" s="3">
        <v>349</v>
      </c>
      <c r="G354" s="3">
        <f t="shared" si="26"/>
        <v>1998</v>
      </c>
      <c r="H354" s="3">
        <f t="shared" si="25"/>
        <v>698</v>
      </c>
      <c r="I354" s="14">
        <f t="shared" si="27"/>
        <v>1298.7</v>
      </c>
      <c r="J354" s="14">
        <f t="shared" si="28"/>
        <v>-1300</v>
      </c>
      <c r="K354" s="1">
        <v>0.65</v>
      </c>
      <c r="L354">
        <v>4.0999999999999996</v>
      </c>
      <c r="M354" s="2">
        <v>363713</v>
      </c>
      <c r="N354" t="s">
        <v>920</v>
      </c>
      <c r="O354">
        <f t="shared" si="29"/>
        <v>2</v>
      </c>
      <c r="P354" s="12" t="e">
        <f>HYPERLINK(#REF!,"Link")</f>
        <v>#REF!</v>
      </c>
      <c r="Q354" s="12" t="e">
        <f>HYPERLINK(#REF!,"Link")</f>
        <v>#REF!</v>
      </c>
    </row>
    <row r="355" spans="1:17" x14ac:dyDescent="0.3">
      <c r="A355" t="s">
        <v>921</v>
      </c>
      <c r="B355" t="s">
        <v>892</v>
      </c>
      <c r="C355" s="10" t="s">
        <v>3859</v>
      </c>
      <c r="D355" s="10" t="s">
        <v>3882</v>
      </c>
      <c r="E355" s="14">
        <v>1800</v>
      </c>
      <c r="F355" s="3">
        <v>959</v>
      </c>
      <c r="G355" s="3">
        <f t="shared" si="26"/>
        <v>5400</v>
      </c>
      <c r="H355" s="3">
        <f t="shared" si="25"/>
        <v>2877</v>
      </c>
      <c r="I355" s="14">
        <f t="shared" si="27"/>
        <v>2538</v>
      </c>
      <c r="J355" s="14">
        <f t="shared" si="28"/>
        <v>-2523</v>
      </c>
      <c r="K355" s="1">
        <v>0.47</v>
      </c>
      <c r="L355">
        <v>4.4000000000000004</v>
      </c>
      <c r="M355" s="2">
        <v>67259</v>
      </c>
      <c r="N355" t="s">
        <v>893</v>
      </c>
      <c r="O355">
        <f t="shared" si="29"/>
        <v>3</v>
      </c>
      <c r="P355" s="12" t="e">
        <f>HYPERLINK(#REF!,"Link")</f>
        <v>#REF!</v>
      </c>
      <c r="Q355" s="12" t="e">
        <f>HYPERLINK(#REF!,"Link")</f>
        <v>#REF!</v>
      </c>
    </row>
    <row r="356" spans="1:17" x14ac:dyDescent="0.3">
      <c r="A356" t="s">
        <v>922</v>
      </c>
      <c r="B356" t="s">
        <v>923</v>
      </c>
      <c r="C356" s="9" t="s">
        <v>3859</v>
      </c>
      <c r="D356" s="9" t="s">
        <v>3883</v>
      </c>
      <c r="E356" s="14">
        <v>11999</v>
      </c>
      <c r="F356" s="3">
        <v>9499</v>
      </c>
      <c r="G356" s="3">
        <f t="shared" si="26"/>
        <v>23998</v>
      </c>
      <c r="H356" s="3">
        <f t="shared" si="25"/>
        <v>18998</v>
      </c>
      <c r="I356" s="14">
        <f t="shared" si="27"/>
        <v>5039.58</v>
      </c>
      <c r="J356" s="14">
        <f t="shared" si="28"/>
        <v>-5000</v>
      </c>
      <c r="K356" s="1">
        <v>0.21</v>
      </c>
      <c r="L356">
        <v>4.2</v>
      </c>
      <c r="M356">
        <v>284</v>
      </c>
      <c r="N356" t="s">
        <v>908</v>
      </c>
      <c r="O356">
        <f t="shared" si="29"/>
        <v>2</v>
      </c>
      <c r="P356" s="12" t="e">
        <f>HYPERLINK(#REF!,"Link")</f>
        <v>#REF!</v>
      </c>
      <c r="Q356" s="12" t="e">
        <f>HYPERLINK(#REF!,"Link")</f>
        <v>#REF!</v>
      </c>
    </row>
    <row r="357" spans="1:17" x14ac:dyDescent="0.3">
      <c r="A357" t="s">
        <v>924</v>
      </c>
      <c r="B357" t="s">
        <v>925</v>
      </c>
      <c r="C357" s="10" t="s">
        <v>3859</v>
      </c>
      <c r="D357" s="10" t="s">
        <v>3866</v>
      </c>
      <c r="E357" s="14">
        <v>2499</v>
      </c>
      <c r="F357" s="3">
        <v>1499</v>
      </c>
      <c r="G357" s="3">
        <f t="shared" si="26"/>
        <v>12495</v>
      </c>
      <c r="H357" s="3">
        <f t="shared" si="25"/>
        <v>7495</v>
      </c>
      <c r="I357" s="14">
        <f t="shared" si="27"/>
        <v>4998</v>
      </c>
      <c r="J357" s="14">
        <f t="shared" si="28"/>
        <v>-5000</v>
      </c>
      <c r="K357" s="1">
        <v>0.4</v>
      </c>
      <c r="L357">
        <v>4.3</v>
      </c>
      <c r="M357" s="2">
        <v>15970</v>
      </c>
      <c r="N357" t="s">
        <v>926</v>
      </c>
      <c r="O357">
        <f t="shared" si="29"/>
        <v>5</v>
      </c>
      <c r="P357" s="12" t="e">
        <f>HYPERLINK(#REF!,"Link")</f>
        <v>#REF!</v>
      </c>
      <c r="Q357" s="12" t="e">
        <f>HYPERLINK(#REF!,"Link")</f>
        <v>#REF!</v>
      </c>
    </row>
    <row r="358" spans="1:17" x14ac:dyDescent="0.3">
      <c r="A358" t="s">
        <v>927</v>
      </c>
      <c r="B358" t="s">
        <v>928</v>
      </c>
      <c r="C358" s="9" t="s">
        <v>3859</v>
      </c>
      <c r="D358" s="9" t="s">
        <v>3884</v>
      </c>
      <c r="E358" s="14">
        <v>2199</v>
      </c>
      <c r="F358" s="3">
        <v>1149</v>
      </c>
      <c r="G358" s="3">
        <f t="shared" si="26"/>
        <v>4398</v>
      </c>
      <c r="H358" s="3">
        <f t="shared" si="25"/>
        <v>2298</v>
      </c>
      <c r="I358" s="14">
        <f t="shared" si="27"/>
        <v>2111.04</v>
      </c>
      <c r="J358" s="14">
        <f t="shared" si="28"/>
        <v>-2100</v>
      </c>
      <c r="K358" s="1">
        <v>0.48</v>
      </c>
      <c r="L358">
        <v>4.3</v>
      </c>
      <c r="M358" s="2">
        <v>178912</v>
      </c>
      <c r="N358" t="s">
        <v>881</v>
      </c>
      <c r="O358">
        <f t="shared" si="29"/>
        <v>2</v>
      </c>
      <c r="P358" s="12" t="e">
        <f>HYPERLINK(#REF!,"Link")</f>
        <v>#REF!</v>
      </c>
      <c r="Q358" s="12" t="e">
        <f>HYPERLINK(#REF!,"Link")</f>
        <v>#REF!</v>
      </c>
    </row>
    <row r="359" spans="1:17" x14ac:dyDescent="0.3">
      <c r="A359" t="s">
        <v>929</v>
      </c>
      <c r="B359" t="s">
        <v>930</v>
      </c>
      <c r="C359" s="10" t="s">
        <v>3885</v>
      </c>
      <c r="D359" s="10" t="s">
        <v>3886</v>
      </c>
      <c r="E359" s="14">
        <v>999</v>
      </c>
      <c r="F359" s="3">
        <v>349</v>
      </c>
      <c r="G359" s="3">
        <f t="shared" si="26"/>
        <v>2997</v>
      </c>
      <c r="H359" s="3">
        <f t="shared" si="25"/>
        <v>1047</v>
      </c>
      <c r="I359" s="14">
        <f t="shared" si="27"/>
        <v>1948.0500000000002</v>
      </c>
      <c r="J359" s="14">
        <f t="shared" si="28"/>
        <v>-1950</v>
      </c>
      <c r="K359" s="1">
        <v>0.65</v>
      </c>
      <c r="L359">
        <v>3.9</v>
      </c>
      <c r="M359" s="2">
        <v>46399</v>
      </c>
      <c r="N359" t="s">
        <v>931</v>
      </c>
      <c r="O359">
        <f t="shared" si="29"/>
        <v>3</v>
      </c>
      <c r="P359" s="12" t="e">
        <f>HYPERLINK(#REF!,"Link")</f>
        <v>#REF!</v>
      </c>
      <c r="Q359" s="12" t="e">
        <f>HYPERLINK(#REF!,"Link")</f>
        <v>#REF!</v>
      </c>
    </row>
    <row r="360" spans="1:17" x14ac:dyDescent="0.3">
      <c r="A360" t="s">
        <v>932</v>
      </c>
      <c r="B360" t="s">
        <v>933</v>
      </c>
      <c r="C360" s="9" t="s">
        <v>3864</v>
      </c>
      <c r="D360" s="9" t="s">
        <v>3887</v>
      </c>
      <c r="E360" s="14">
        <v>1699</v>
      </c>
      <c r="F360" s="3">
        <v>1219</v>
      </c>
      <c r="G360" s="3">
        <f t="shared" si="26"/>
        <v>3398</v>
      </c>
      <c r="H360" s="3">
        <f t="shared" si="25"/>
        <v>2438</v>
      </c>
      <c r="I360" s="14">
        <f t="shared" si="27"/>
        <v>951.44</v>
      </c>
      <c r="J360" s="14">
        <f t="shared" si="28"/>
        <v>-960</v>
      </c>
      <c r="K360" s="1">
        <v>0.28000000000000003</v>
      </c>
      <c r="L360">
        <v>4.4000000000000004</v>
      </c>
      <c r="M360" s="2">
        <v>8891</v>
      </c>
      <c r="N360" t="s">
        <v>934</v>
      </c>
      <c r="O360">
        <f t="shared" si="29"/>
        <v>2</v>
      </c>
      <c r="P360" s="12" t="e">
        <f>HYPERLINK(#REF!,"Link")</f>
        <v>#REF!</v>
      </c>
      <c r="Q360" s="12" t="e">
        <f>HYPERLINK(#REF!,"Link")</f>
        <v>#REF!</v>
      </c>
    </row>
    <row r="361" spans="1:17" x14ac:dyDescent="0.3">
      <c r="A361" t="s">
        <v>935</v>
      </c>
      <c r="B361" t="s">
        <v>936</v>
      </c>
      <c r="C361" s="10" t="s">
        <v>3861</v>
      </c>
      <c r="D361" s="10" t="s">
        <v>3888</v>
      </c>
      <c r="E361" s="14">
        <v>3999</v>
      </c>
      <c r="F361" s="3">
        <v>1599</v>
      </c>
      <c r="G361" s="3">
        <f t="shared" si="26"/>
        <v>7998</v>
      </c>
      <c r="H361" s="3">
        <f t="shared" si="25"/>
        <v>3198</v>
      </c>
      <c r="I361" s="14">
        <f t="shared" si="27"/>
        <v>4798.8</v>
      </c>
      <c r="J361" s="14">
        <f t="shared" si="28"/>
        <v>-4800</v>
      </c>
      <c r="K361" s="1">
        <v>0.6</v>
      </c>
      <c r="L361">
        <v>4</v>
      </c>
      <c r="M361" s="2">
        <v>30254</v>
      </c>
      <c r="N361" t="s">
        <v>937</v>
      </c>
      <c r="O361">
        <f t="shared" si="29"/>
        <v>2</v>
      </c>
      <c r="P361" s="12" t="e">
        <f>HYPERLINK(#REF!,"Link")</f>
        <v>#REF!</v>
      </c>
      <c r="Q361" s="12" t="e">
        <f>HYPERLINK(#REF!,"Link")</f>
        <v>#REF!</v>
      </c>
    </row>
    <row r="362" spans="1:17" x14ac:dyDescent="0.3">
      <c r="A362" t="s">
        <v>938</v>
      </c>
      <c r="B362" t="s">
        <v>939</v>
      </c>
      <c r="C362" s="9" t="s">
        <v>3859</v>
      </c>
      <c r="D362" s="9" t="s">
        <v>3889</v>
      </c>
      <c r="E362" s="14">
        <v>7999</v>
      </c>
      <c r="F362" s="3">
        <v>1499</v>
      </c>
      <c r="G362" s="3">
        <f t="shared" si="26"/>
        <v>7999</v>
      </c>
      <c r="H362" s="3">
        <f t="shared" si="25"/>
        <v>1499</v>
      </c>
      <c r="I362" s="14">
        <f t="shared" si="27"/>
        <v>6479.1900000000005</v>
      </c>
      <c r="J362" s="14">
        <f t="shared" si="28"/>
        <v>-6500</v>
      </c>
      <c r="K362" s="1">
        <v>0.81</v>
      </c>
      <c r="L362">
        <v>4.2</v>
      </c>
      <c r="M362" s="2">
        <v>22636</v>
      </c>
      <c r="N362" t="s">
        <v>940</v>
      </c>
      <c r="O362">
        <f t="shared" si="29"/>
        <v>1</v>
      </c>
      <c r="P362" s="12" t="e">
        <f>HYPERLINK(#REF!,"Link")</f>
        <v>#REF!</v>
      </c>
      <c r="Q362" s="12" t="e">
        <f>HYPERLINK(#REF!,"Link")</f>
        <v>#REF!</v>
      </c>
    </row>
    <row r="363" spans="1:17" x14ac:dyDescent="0.3">
      <c r="A363" t="s">
        <v>941</v>
      </c>
      <c r="B363" t="s">
        <v>942</v>
      </c>
      <c r="C363" s="10" t="s">
        <v>3861</v>
      </c>
      <c r="D363" s="10" t="s">
        <v>3890</v>
      </c>
      <c r="E363" s="14">
        <v>25999</v>
      </c>
      <c r="F363" s="3">
        <v>18499</v>
      </c>
      <c r="G363" s="3">
        <f t="shared" si="26"/>
        <v>51998</v>
      </c>
      <c r="H363" s="3">
        <f t="shared" si="25"/>
        <v>36998</v>
      </c>
      <c r="I363" s="14">
        <f t="shared" si="27"/>
        <v>15079.419999999998</v>
      </c>
      <c r="J363" s="14">
        <f t="shared" si="28"/>
        <v>-15000</v>
      </c>
      <c r="K363" s="1">
        <v>0.28999999999999998</v>
      </c>
      <c r="L363">
        <v>4.0999999999999996</v>
      </c>
      <c r="M363" s="2">
        <v>22318</v>
      </c>
      <c r="N363" t="s">
        <v>943</v>
      </c>
      <c r="O363">
        <f t="shared" si="29"/>
        <v>2</v>
      </c>
      <c r="P363" s="12" t="e">
        <f>HYPERLINK(#REF!,"Link")</f>
        <v>#REF!</v>
      </c>
      <c r="Q363" s="12" t="e">
        <f>HYPERLINK(#REF!,"Link")</f>
        <v>#REF!</v>
      </c>
    </row>
    <row r="364" spans="1:17" x14ac:dyDescent="0.3">
      <c r="A364" t="s">
        <v>944</v>
      </c>
      <c r="B364" t="s">
        <v>945</v>
      </c>
      <c r="C364" s="9" t="s">
        <v>3891</v>
      </c>
      <c r="D364" s="9" t="s">
        <v>3892</v>
      </c>
      <c r="E364" s="14">
        <v>700</v>
      </c>
      <c r="F364" s="3">
        <v>369</v>
      </c>
      <c r="G364" s="3">
        <f t="shared" si="26"/>
        <v>2100</v>
      </c>
      <c r="H364" s="3">
        <f t="shared" si="25"/>
        <v>1107</v>
      </c>
      <c r="I364" s="14">
        <f t="shared" si="27"/>
        <v>987</v>
      </c>
      <c r="J364" s="14">
        <f t="shared" si="28"/>
        <v>-993</v>
      </c>
      <c r="K364" s="1">
        <v>0.47</v>
      </c>
      <c r="L364">
        <v>4.4000000000000004</v>
      </c>
      <c r="M364" s="2">
        <v>67259</v>
      </c>
      <c r="N364" t="s">
        <v>893</v>
      </c>
      <c r="O364">
        <f t="shared" si="29"/>
        <v>3</v>
      </c>
      <c r="P364" s="12" t="e">
        <f>HYPERLINK(#REF!,"Link")</f>
        <v>#REF!</v>
      </c>
      <c r="Q364" s="12" t="e">
        <f>HYPERLINK(#REF!,"Link")</f>
        <v>#REF!</v>
      </c>
    </row>
    <row r="365" spans="1:17" x14ac:dyDescent="0.3">
      <c r="A365" t="s">
        <v>946</v>
      </c>
      <c r="B365" t="s">
        <v>947</v>
      </c>
      <c r="C365" s="10" t="s">
        <v>3885</v>
      </c>
      <c r="D365" s="10" t="s">
        <v>3893</v>
      </c>
      <c r="E365" s="14">
        <v>17999</v>
      </c>
      <c r="F365" s="3">
        <v>12999</v>
      </c>
      <c r="G365" s="3">
        <f t="shared" si="26"/>
        <v>35998</v>
      </c>
      <c r="H365" s="3">
        <f t="shared" si="25"/>
        <v>25998</v>
      </c>
      <c r="I365" s="14">
        <f t="shared" si="27"/>
        <v>10079.44</v>
      </c>
      <c r="J365" s="14">
        <f t="shared" si="28"/>
        <v>-10000</v>
      </c>
      <c r="K365" s="1">
        <v>0.28000000000000003</v>
      </c>
      <c r="L365">
        <v>4.0999999999999996</v>
      </c>
      <c r="M365" s="2">
        <v>18998</v>
      </c>
      <c r="N365" t="s">
        <v>948</v>
      </c>
      <c r="O365">
        <f t="shared" si="29"/>
        <v>2</v>
      </c>
      <c r="P365" s="12" t="e">
        <f>HYPERLINK(#REF!,"Link")</f>
        <v>#REF!</v>
      </c>
      <c r="Q365" s="12" t="e">
        <f>HYPERLINK(#REF!,"Link")</f>
        <v>#REF!</v>
      </c>
    </row>
    <row r="366" spans="1:17" x14ac:dyDescent="0.3">
      <c r="A366" t="s">
        <v>949</v>
      </c>
      <c r="B366" t="s">
        <v>871</v>
      </c>
      <c r="C366" s="9" t="s">
        <v>3891</v>
      </c>
      <c r="D366" s="9" t="s">
        <v>3894</v>
      </c>
      <c r="E366" s="14">
        <v>19999</v>
      </c>
      <c r="F366" s="3">
        <v>1799</v>
      </c>
      <c r="G366" s="3">
        <f t="shared" si="26"/>
        <v>79996</v>
      </c>
      <c r="H366" s="3">
        <f t="shared" si="25"/>
        <v>7196</v>
      </c>
      <c r="I366" s="14">
        <f t="shared" si="27"/>
        <v>72796.36</v>
      </c>
      <c r="J366" s="14">
        <f t="shared" si="28"/>
        <v>-72800</v>
      </c>
      <c r="K366" s="1">
        <v>0.91</v>
      </c>
      <c r="L366">
        <v>4.2</v>
      </c>
      <c r="M366" s="2">
        <v>13937</v>
      </c>
      <c r="N366" t="s">
        <v>872</v>
      </c>
      <c r="O366">
        <f t="shared" si="29"/>
        <v>4</v>
      </c>
      <c r="P366" s="12" t="e">
        <f>HYPERLINK(#REF!,"Link")</f>
        <v>#REF!</v>
      </c>
      <c r="Q366" s="12" t="e">
        <f>HYPERLINK(#REF!,"Link")</f>
        <v>#REF!</v>
      </c>
    </row>
    <row r="367" spans="1:17" x14ac:dyDescent="0.3">
      <c r="A367" t="s">
        <v>950</v>
      </c>
      <c r="B367" t="s">
        <v>951</v>
      </c>
      <c r="C367" s="10" t="s">
        <v>3895</v>
      </c>
      <c r="D367" s="10" t="s">
        <v>3896</v>
      </c>
      <c r="E367" s="14">
        <v>9999</v>
      </c>
      <c r="F367" s="3">
        <v>2199</v>
      </c>
      <c r="G367" s="3">
        <f t="shared" si="26"/>
        <v>19998</v>
      </c>
      <c r="H367" s="3">
        <f t="shared" si="25"/>
        <v>4398</v>
      </c>
      <c r="I367" s="14">
        <f t="shared" si="27"/>
        <v>15598.44</v>
      </c>
      <c r="J367" s="14">
        <f t="shared" si="28"/>
        <v>-15600</v>
      </c>
      <c r="K367" s="1">
        <v>0.78</v>
      </c>
      <c r="L367">
        <v>4.2</v>
      </c>
      <c r="M367" s="2">
        <v>29471</v>
      </c>
      <c r="N367" t="s">
        <v>952</v>
      </c>
      <c r="O367">
        <f t="shared" si="29"/>
        <v>2</v>
      </c>
      <c r="P367" s="12" t="e">
        <f>HYPERLINK(#REF!,"Link")</f>
        <v>#REF!</v>
      </c>
      <c r="Q367" s="12" t="e">
        <f>HYPERLINK(#REF!,"Link")</f>
        <v>#REF!</v>
      </c>
    </row>
    <row r="368" spans="1:17" x14ac:dyDescent="0.3">
      <c r="A368" t="s">
        <v>953</v>
      </c>
      <c r="B368" t="s">
        <v>942</v>
      </c>
      <c r="C368" s="9" t="s">
        <v>3895</v>
      </c>
      <c r="D368" s="9" t="s">
        <v>3897</v>
      </c>
      <c r="E368" s="14">
        <v>24999</v>
      </c>
      <c r="F368" s="3">
        <v>16999</v>
      </c>
      <c r="G368" s="3">
        <f t="shared" si="26"/>
        <v>49998</v>
      </c>
      <c r="H368" s="3">
        <f t="shared" si="25"/>
        <v>33998</v>
      </c>
      <c r="I368" s="14">
        <f t="shared" si="27"/>
        <v>15999.36</v>
      </c>
      <c r="J368" s="14">
        <f t="shared" si="28"/>
        <v>-16000</v>
      </c>
      <c r="K368" s="1">
        <v>0.32</v>
      </c>
      <c r="L368">
        <v>4.0999999999999996</v>
      </c>
      <c r="M368" s="2">
        <v>22318</v>
      </c>
      <c r="N368" t="s">
        <v>943</v>
      </c>
      <c r="O368">
        <f t="shared" si="29"/>
        <v>2</v>
      </c>
      <c r="P368" s="12" t="e">
        <f>HYPERLINK(#REF!,"Link")</f>
        <v>#REF!</v>
      </c>
      <c r="Q368" s="12" t="e">
        <f>HYPERLINK(#REF!,"Link")</f>
        <v>#REF!</v>
      </c>
    </row>
    <row r="369" spans="1:17" x14ac:dyDescent="0.3">
      <c r="A369" t="s">
        <v>954</v>
      </c>
      <c r="B369" t="s">
        <v>955</v>
      </c>
      <c r="C369" s="10" t="s">
        <v>3859</v>
      </c>
      <c r="D369" s="10" t="s">
        <v>3898</v>
      </c>
      <c r="E369" s="14">
        <v>20999</v>
      </c>
      <c r="F369" s="3">
        <v>16499</v>
      </c>
      <c r="G369" s="3">
        <f t="shared" si="26"/>
        <v>41998</v>
      </c>
      <c r="H369" s="3">
        <f t="shared" si="25"/>
        <v>32998</v>
      </c>
      <c r="I369" s="14">
        <f t="shared" si="27"/>
        <v>8819.58</v>
      </c>
      <c r="J369" s="14">
        <f t="shared" si="28"/>
        <v>-9000</v>
      </c>
      <c r="K369" s="1">
        <v>0.21</v>
      </c>
      <c r="L369">
        <v>4</v>
      </c>
      <c r="M369" s="2">
        <v>21350</v>
      </c>
      <c r="N369" t="s">
        <v>956</v>
      </c>
      <c r="O369">
        <f t="shared" si="29"/>
        <v>2</v>
      </c>
      <c r="P369" s="12" t="e">
        <f>HYPERLINK(#REF!,"Link")</f>
        <v>#REF!</v>
      </c>
      <c r="Q369" s="12" t="e">
        <f>HYPERLINK(#REF!,"Link")</f>
        <v>#REF!</v>
      </c>
    </row>
    <row r="370" spans="1:17" x14ac:dyDescent="0.3">
      <c r="A370" t="s">
        <v>957</v>
      </c>
      <c r="B370" t="s">
        <v>871</v>
      </c>
      <c r="C370" s="9" t="s">
        <v>3899</v>
      </c>
      <c r="D370" s="9" t="s">
        <v>3900</v>
      </c>
      <c r="E370" s="14">
        <v>19999</v>
      </c>
      <c r="F370" s="3">
        <v>1799</v>
      </c>
      <c r="G370" s="3">
        <f t="shared" si="26"/>
        <v>79996</v>
      </c>
      <c r="H370" s="3">
        <f t="shared" si="25"/>
        <v>7196</v>
      </c>
      <c r="I370" s="14">
        <f t="shared" si="27"/>
        <v>72796.36</v>
      </c>
      <c r="J370" s="14">
        <f t="shared" si="28"/>
        <v>-72800</v>
      </c>
      <c r="K370" s="1">
        <v>0.91</v>
      </c>
      <c r="L370">
        <v>4.2</v>
      </c>
      <c r="M370" s="2">
        <v>13937</v>
      </c>
      <c r="N370" t="s">
        <v>872</v>
      </c>
      <c r="O370">
        <f t="shared" si="29"/>
        <v>4</v>
      </c>
      <c r="P370" s="12" t="e">
        <f>HYPERLINK(#REF!,"Link")</f>
        <v>#REF!</v>
      </c>
      <c r="Q370" s="12" t="e">
        <f>HYPERLINK(#REF!,"Link")</f>
        <v>#REF!</v>
      </c>
    </row>
    <row r="371" spans="1:17" x14ac:dyDescent="0.3">
      <c r="A371" t="s">
        <v>9</v>
      </c>
      <c r="B371" t="s">
        <v>10</v>
      </c>
      <c r="C371" s="10" t="s">
        <v>3901</v>
      </c>
      <c r="D371" s="10" t="s">
        <v>3902</v>
      </c>
      <c r="E371" s="14">
        <v>1099</v>
      </c>
      <c r="F371" s="3">
        <v>399</v>
      </c>
      <c r="G371" s="3">
        <f t="shared" si="26"/>
        <v>4396</v>
      </c>
      <c r="H371" s="3">
        <f t="shared" si="25"/>
        <v>1596</v>
      </c>
      <c r="I371" s="14">
        <f t="shared" si="27"/>
        <v>2813.44</v>
      </c>
      <c r="J371" s="14">
        <f t="shared" si="28"/>
        <v>-2800</v>
      </c>
      <c r="K371" s="1">
        <v>0.64</v>
      </c>
      <c r="L371">
        <v>4.2</v>
      </c>
      <c r="M371" s="2">
        <v>24270</v>
      </c>
      <c r="N371" t="s">
        <v>11</v>
      </c>
      <c r="O371">
        <f t="shared" si="29"/>
        <v>4</v>
      </c>
      <c r="P371" s="12" t="e">
        <f>HYPERLINK(#REF!,"Link")</f>
        <v>#REF!</v>
      </c>
      <c r="Q371" s="12" t="e">
        <f>HYPERLINK(#REF!,"Link")</f>
        <v>#REF!</v>
      </c>
    </row>
    <row r="372" spans="1:17" x14ac:dyDescent="0.3">
      <c r="A372" t="s">
        <v>958</v>
      </c>
      <c r="B372" t="s">
        <v>959</v>
      </c>
      <c r="C372" s="9" t="s">
        <v>3895</v>
      </c>
      <c r="D372" s="9" t="s">
        <v>3903</v>
      </c>
      <c r="E372" s="14">
        <v>10999</v>
      </c>
      <c r="F372" s="3">
        <v>8499</v>
      </c>
      <c r="G372" s="3">
        <f t="shared" si="26"/>
        <v>10999</v>
      </c>
      <c r="H372" s="3">
        <f t="shared" si="25"/>
        <v>8499</v>
      </c>
      <c r="I372" s="14">
        <f t="shared" si="27"/>
        <v>2529.77</v>
      </c>
      <c r="J372" s="14">
        <f t="shared" si="28"/>
        <v>-2500</v>
      </c>
      <c r="K372" s="1">
        <v>0.23</v>
      </c>
      <c r="L372">
        <v>4.0999999999999996</v>
      </c>
      <c r="M372" s="2">
        <v>313836</v>
      </c>
      <c r="N372" t="s">
        <v>960</v>
      </c>
      <c r="O372">
        <f t="shared" si="29"/>
        <v>1</v>
      </c>
      <c r="P372" s="12" t="e">
        <f>HYPERLINK(#REF!,"Link")</f>
        <v>#REF!</v>
      </c>
      <c r="Q372" s="12" t="e">
        <f>HYPERLINK(#REF!,"Link")</f>
        <v>#REF!</v>
      </c>
    </row>
    <row r="373" spans="1:17" x14ac:dyDescent="0.3">
      <c r="A373" t="s">
        <v>961</v>
      </c>
      <c r="B373" t="s">
        <v>962</v>
      </c>
      <c r="C373" s="10" t="s">
        <v>3877</v>
      </c>
      <c r="D373" s="10" t="s">
        <v>3904</v>
      </c>
      <c r="E373" s="14">
        <v>8499</v>
      </c>
      <c r="F373" s="3">
        <v>6499</v>
      </c>
      <c r="G373" s="3">
        <f t="shared" si="26"/>
        <v>8499</v>
      </c>
      <c r="H373" s="3">
        <f t="shared" si="25"/>
        <v>6499</v>
      </c>
      <c r="I373" s="14">
        <f t="shared" si="27"/>
        <v>2039.76</v>
      </c>
      <c r="J373" s="14">
        <f t="shared" si="28"/>
        <v>-2000</v>
      </c>
      <c r="K373" s="1">
        <v>0.24</v>
      </c>
      <c r="L373">
        <v>4.0999999999999996</v>
      </c>
      <c r="M373" s="2">
        <v>313836</v>
      </c>
      <c r="N373" t="s">
        <v>960</v>
      </c>
      <c r="O373">
        <f t="shared" si="29"/>
        <v>1</v>
      </c>
      <c r="P373" s="12" t="e">
        <f>HYPERLINK(#REF!,"Link")</f>
        <v>#REF!</v>
      </c>
      <c r="Q373" s="12" t="e">
        <f>HYPERLINK(#REF!,"Link")</f>
        <v>#REF!</v>
      </c>
    </row>
    <row r="374" spans="1:17" x14ac:dyDescent="0.3">
      <c r="A374" t="s">
        <v>963</v>
      </c>
      <c r="B374" t="s">
        <v>871</v>
      </c>
      <c r="C374" s="9" t="s">
        <v>3905</v>
      </c>
      <c r="D374" s="9" t="s">
        <v>3906</v>
      </c>
      <c r="E374" s="14">
        <v>19999</v>
      </c>
      <c r="F374" s="3">
        <v>1799</v>
      </c>
      <c r="G374" s="3">
        <f t="shared" si="26"/>
        <v>79996</v>
      </c>
      <c r="H374" s="3">
        <f t="shared" si="25"/>
        <v>7196</v>
      </c>
      <c r="I374" s="14">
        <f t="shared" si="27"/>
        <v>72796.36</v>
      </c>
      <c r="J374" s="14">
        <f t="shared" si="28"/>
        <v>-72800</v>
      </c>
      <c r="K374" s="1">
        <v>0.91</v>
      </c>
      <c r="L374">
        <v>4.2</v>
      </c>
      <c r="M374" s="2">
        <v>13937</v>
      </c>
      <c r="N374" t="s">
        <v>872</v>
      </c>
      <c r="O374">
        <f t="shared" si="29"/>
        <v>4</v>
      </c>
      <c r="P374" s="12" t="e">
        <f>HYPERLINK(#REF!,"Link")</f>
        <v>#REF!</v>
      </c>
      <c r="Q374" s="12" t="e">
        <f>HYPERLINK(#REF!,"Link")</f>
        <v>#REF!</v>
      </c>
    </row>
    <row r="375" spans="1:17" x14ac:dyDescent="0.3">
      <c r="A375" t="s">
        <v>964</v>
      </c>
      <c r="B375" t="s">
        <v>913</v>
      </c>
      <c r="C375" s="10" t="s">
        <v>3877</v>
      </c>
      <c r="D375" s="10" t="s">
        <v>3907</v>
      </c>
      <c r="E375" s="14">
        <v>11999</v>
      </c>
      <c r="F375" s="3">
        <v>8999</v>
      </c>
      <c r="G375" s="3">
        <f t="shared" si="26"/>
        <v>35997</v>
      </c>
      <c r="H375" s="3">
        <f t="shared" si="25"/>
        <v>26997</v>
      </c>
      <c r="I375" s="14">
        <f t="shared" si="27"/>
        <v>8999.25</v>
      </c>
      <c r="J375" s="14">
        <f t="shared" si="28"/>
        <v>-9000</v>
      </c>
      <c r="K375" s="1">
        <v>0.25</v>
      </c>
      <c r="L375">
        <v>4</v>
      </c>
      <c r="M375" s="2">
        <v>12796</v>
      </c>
      <c r="N375" t="s">
        <v>914</v>
      </c>
      <c r="O375">
        <f t="shared" si="29"/>
        <v>3</v>
      </c>
      <c r="P375" s="12" t="e">
        <f>HYPERLINK(#REF!,"Link")</f>
        <v>#REF!</v>
      </c>
      <c r="Q375" s="12" t="e">
        <f>HYPERLINK(#REF!,"Link")</f>
        <v>#REF!</v>
      </c>
    </row>
    <row r="376" spans="1:17" x14ac:dyDescent="0.3">
      <c r="A376" t="s">
        <v>965</v>
      </c>
      <c r="B376" t="s">
        <v>966</v>
      </c>
      <c r="C376" s="9" t="s">
        <v>3859</v>
      </c>
      <c r="D376" s="9" t="s">
        <v>3908</v>
      </c>
      <c r="E376" s="14">
        <v>495</v>
      </c>
      <c r="F376" s="3">
        <v>139</v>
      </c>
      <c r="G376" s="3">
        <f t="shared" si="26"/>
        <v>1980</v>
      </c>
      <c r="H376" s="3">
        <f t="shared" si="25"/>
        <v>556</v>
      </c>
      <c r="I376" s="14">
        <f t="shared" si="27"/>
        <v>1425.6</v>
      </c>
      <c r="J376" s="14">
        <f t="shared" si="28"/>
        <v>-1424</v>
      </c>
      <c r="K376" s="1">
        <v>0.72</v>
      </c>
      <c r="L376">
        <v>4.3</v>
      </c>
      <c r="M376" s="2">
        <v>14185</v>
      </c>
      <c r="N376" t="s">
        <v>611</v>
      </c>
      <c r="O376">
        <f t="shared" si="29"/>
        <v>4</v>
      </c>
      <c r="P376" s="12" t="e">
        <f>HYPERLINK(#REF!,"Link")</f>
        <v>#REF!</v>
      </c>
      <c r="Q376" s="12" t="e">
        <f>HYPERLINK(#REF!,"Link")</f>
        <v>#REF!</v>
      </c>
    </row>
    <row r="377" spans="1:17" x14ac:dyDescent="0.3">
      <c r="A377" t="s">
        <v>967</v>
      </c>
      <c r="B377" t="s">
        <v>968</v>
      </c>
      <c r="C377" s="10" t="s">
        <v>3859</v>
      </c>
      <c r="D377" s="10" t="s">
        <v>3909</v>
      </c>
      <c r="E377" s="14">
        <v>16999</v>
      </c>
      <c r="F377" s="3">
        <v>3999</v>
      </c>
      <c r="G377" s="3">
        <f t="shared" si="26"/>
        <v>84995</v>
      </c>
      <c r="H377" s="3">
        <f t="shared" si="25"/>
        <v>19995</v>
      </c>
      <c r="I377" s="14">
        <f t="shared" si="27"/>
        <v>64596.2</v>
      </c>
      <c r="J377" s="14">
        <f t="shared" si="28"/>
        <v>-65000</v>
      </c>
      <c r="K377" s="1">
        <v>0.76</v>
      </c>
      <c r="L377">
        <v>4.3</v>
      </c>
      <c r="M377" s="2">
        <v>17159</v>
      </c>
      <c r="N377" t="s">
        <v>969</v>
      </c>
      <c r="O377">
        <f t="shared" si="29"/>
        <v>5</v>
      </c>
      <c r="P377" s="12" t="e">
        <f>HYPERLINK(#REF!,"Link")</f>
        <v>#REF!</v>
      </c>
      <c r="Q377" s="12" t="e">
        <f>HYPERLINK(#REF!,"Link")</f>
        <v>#REF!</v>
      </c>
    </row>
    <row r="378" spans="1:17" x14ac:dyDescent="0.3">
      <c r="A378" t="s">
        <v>970</v>
      </c>
      <c r="B378" t="s">
        <v>971</v>
      </c>
      <c r="C378" s="9" t="s">
        <v>3859</v>
      </c>
      <c r="D378" s="9" t="s">
        <v>3910</v>
      </c>
      <c r="E378" s="14">
        <v>5999</v>
      </c>
      <c r="F378" s="3">
        <v>2998</v>
      </c>
      <c r="G378" s="3">
        <f t="shared" si="26"/>
        <v>11998</v>
      </c>
      <c r="H378" s="3">
        <f t="shared" si="25"/>
        <v>5996</v>
      </c>
      <c r="I378" s="14">
        <f t="shared" si="27"/>
        <v>5999</v>
      </c>
      <c r="J378" s="14">
        <f t="shared" si="28"/>
        <v>-6002</v>
      </c>
      <c r="K378" s="1">
        <v>0.5</v>
      </c>
      <c r="L378">
        <v>4.0999999999999996</v>
      </c>
      <c r="M378" s="2">
        <v>5179</v>
      </c>
      <c r="N378" t="s">
        <v>972</v>
      </c>
      <c r="O378">
        <f t="shared" si="29"/>
        <v>2</v>
      </c>
      <c r="P378" s="12" t="e">
        <f>HYPERLINK(#REF!,"Link")</f>
        <v>#REF!</v>
      </c>
      <c r="Q378" s="12" t="e">
        <f>HYPERLINK(#REF!,"Link")</f>
        <v>#REF!</v>
      </c>
    </row>
    <row r="379" spans="1:17" x14ac:dyDescent="0.3">
      <c r="A379" t="s">
        <v>12</v>
      </c>
      <c r="B379" t="s">
        <v>13</v>
      </c>
      <c r="C379" s="10" t="s">
        <v>3859</v>
      </c>
      <c r="D379" s="10" t="s">
        <v>3911</v>
      </c>
      <c r="E379" s="14">
        <v>349</v>
      </c>
      <c r="F379" s="3">
        <v>199</v>
      </c>
      <c r="G379" s="3">
        <f t="shared" si="26"/>
        <v>1047</v>
      </c>
      <c r="H379" s="3">
        <f t="shared" si="25"/>
        <v>597</v>
      </c>
      <c r="I379" s="14">
        <f t="shared" si="27"/>
        <v>450.21</v>
      </c>
      <c r="J379" s="14">
        <f t="shared" si="28"/>
        <v>-450</v>
      </c>
      <c r="K379" s="1">
        <v>0.43</v>
      </c>
      <c r="L379">
        <v>4</v>
      </c>
      <c r="M379" s="2">
        <v>43993</v>
      </c>
      <c r="N379" t="s">
        <v>14</v>
      </c>
      <c r="O379">
        <f t="shared" si="29"/>
        <v>3</v>
      </c>
      <c r="P379" s="12" t="e">
        <f>HYPERLINK(#REF!,"Link")</f>
        <v>#REF!</v>
      </c>
      <c r="Q379" s="12" t="e">
        <f>HYPERLINK(#REF!,"Link")</f>
        <v>#REF!</v>
      </c>
    </row>
    <row r="380" spans="1:17" x14ac:dyDescent="0.3">
      <c r="A380" t="s">
        <v>973</v>
      </c>
      <c r="B380" t="s">
        <v>974</v>
      </c>
      <c r="C380" s="9" t="s">
        <v>3859</v>
      </c>
      <c r="D380" s="9"/>
      <c r="E380" s="14">
        <v>18999</v>
      </c>
      <c r="F380" s="3">
        <v>15499</v>
      </c>
      <c r="G380" s="3">
        <f t="shared" si="26"/>
        <v>37998</v>
      </c>
      <c r="H380" s="3">
        <f t="shared" si="25"/>
        <v>30998</v>
      </c>
      <c r="I380" s="14">
        <f t="shared" si="27"/>
        <v>6839.6399999999994</v>
      </c>
      <c r="J380" s="14">
        <f t="shared" si="28"/>
        <v>-7000</v>
      </c>
      <c r="K380" s="1">
        <v>0.18</v>
      </c>
      <c r="L380">
        <v>4.0999999999999996</v>
      </c>
      <c r="M380" s="2">
        <v>19252</v>
      </c>
      <c r="N380" t="s">
        <v>975</v>
      </c>
      <c r="O380">
        <f t="shared" si="29"/>
        <v>2</v>
      </c>
      <c r="P380" s="12" t="e">
        <f>HYPERLINK(#REF!,"Link")</f>
        <v>#REF!</v>
      </c>
      <c r="Q380" s="12" t="e">
        <f>HYPERLINK(#REF!,"Link")</f>
        <v>#REF!</v>
      </c>
    </row>
    <row r="381" spans="1:17" x14ac:dyDescent="0.3">
      <c r="A381" t="s">
        <v>15</v>
      </c>
      <c r="B381" t="s">
        <v>16</v>
      </c>
      <c r="C381" s="10" t="s">
        <v>3912</v>
      </c>
      <c r="D381" s="10" t="s">
        <v>3913</v>
      </c>
      <c r="E381" s="14">
        <v>999</v>
      </c>
      <c r="F381" s="3">
        <v>199</v>
      </c>
      <c r="G381" s="3">
        <f t="shared" si="26"/>
        <v>4995</v>
      </c>
      <c r="H381" s="3">
        <f t="shared" si="25"/>
        <v>995</v>
      </c>
      <c r="I381" s="14">
        <f t="shared" si="27"/>
        <v>3996</v>
      </c>
      <c r="J381" s="14">
        <f t="shared" si="28"/>
        <v>-4000</v>
      </c>
      <c r="K381" s="1">
        <v>0.8</v>
      </c>
      <c r="L381">
        <v>3.9</v>
      </c>
      <c r="M381" s="2">
        <v>7928</v>
      </c>
      <c r="N381" t="s">
        <v>17</v>
      </c>
      <c r="O381">
        <f t="shared" si="29"/>
        <v>5</v>
      </c>
      <c r="P381" s="12" t="e">
        <f>HYPERLINK(#REF!,"Link")</f>
        <v>#REF!</v>
      </c>
      <c r="Q381" s="12" t="e">
        <f>HYPERLINK(#REF!,"Link")</f>
        <v>#REF!</v>
      </c>
    </row>
    <row r="382" spans="1:17" x14ac:dyDescent="0.3">
      <c r="A382" t="s">
        <v>976</v>
      </c>
      <c r="B382" t="s">
        <v>871</v>
      </c>
      <c r="C382" s="9" t="s">
        <v>3891</v>
      </c>
      <c r="D382" s="9" t="s">
        <v>3914</v>
      </c>
      <c r="E382" s="14">
        <v>19999</v>
      </c>
      <c r="F382" s="3">
        <v>1799</v>
      </c>
      <c r="G382" s="3">
        <f t="shared" si="26"/>
        <v>79996</v>
      </c>
      <c r="H382" s="3">
        <f t="shared" si="25"/>
        <v>7196</v>
      </c>
      <c r="I382" s="14">
        <f t="shared" si="27"/>
        <v>72796.36</v>
      </c>
      <c r="J382" s="14">
        <f t="shared" si="28"/>
        <v>-72800</v>
      </c>
      <c r="K382" s="1">
        <v>0.91</v>
      </c>
      <c r="L382">
        <v>4.2</v>
      </c>
      <c r="M382" s="2">
        <v>13937</v>
      </c>
      <c r="N382" t="s">
        <v>872</v>
      </c>
      <c r="O382">
        <f t="shared" si="29"/>
        <v>4</v>
      </c>
      <c r="P382" s="12" t="e">
        <f>HYPERLINK(#REF!,"Link")</f>
        <v>#REF!</v>
      </c>
      <c r="Q382" s="12" t="e">
        <f>HYPERLINK(#REF!,"Link")</f>
        <v>#REF!</v>
      </c>
    </row>
    <row r="383" spans="1:17" x14ac:dyDescent="0.3">
      <c r="A383" t="s">
        <v>977</v>
      </c>
      <c r="B383" t="s">
        <v>913</v>
      </c>
      <c r="C383" s="10" t="s">
        <v>3885</v>
      </c>
      <c r="D383" s="10" t="s">
        <v>3915</v>
      </c>
      <c r="E383" s="14">
        <v>11999</v>
      </c>
      <c r="F383" s="3">
        <v>8999</v>
      </c>
      <c r="G383" s="3">
        <f t="shared" si="26"/>
        <v>35997</v>
      </c>
      <c r="H383" s="3">
        <f t="shared" si="25"/>
        <v>26997</v>
      </c>
      <c r="I383" s="14">
        <f t="shared" si="27"/>
        <v>8999.25</v>
      </c>
      <c r="J383" s="14">
        <f t="shared" si="28"/>
        <v>-9000</v>
      </c>
      <c r="K383" s="1">
        <v>0.25</v>
      </c>
      <c r="L383">
        <v>4</v>
      </c>
      <c r="M383" s="2">
        <v>12796</v>
      </c>
      <c r="N383" t="s">
        <v>914</v>
      </c>
      <c r="O383">
        <f t="shared" si="29"/>
        <v>3</v>
      </c>
      <c r="P383" s="12" t="e">
        <f>HYPERLINK(#REF!,"Link")</f>
        <v>#REF!</v>
      </c>
      <c r="Q383" s="12" t="e">
        <f>HYPERLINK(#REF!,"Link")</f>
        <v>#REF!</v>
      </c>
    </row>
    <row r="384" spans="1:17" x14ac:dyDescent="0.3">
      <c r="A384" t="s">
        <v>978</v>
      </c>
      <c r="B384" t="s">
        <v>979</v>
      </c>
      <c r="C384" s="9" t="s">
        <v>3891</v>
      </c>
      <c r="D384" s="9" t="s">
        <v>3916</v>
      </c>
      <c r="E384" s="14">
        <v>1699</v>
      </c>
      <c r="F384" s="3">
        <v>873</v>
      </c>
      <c r="G384" s="3">
        <f t="shared" si="26"/>
        <v>1699</v>
      </c>
      <c r="H384" s="3">
        <f t="shared" si="25"/>
        <v>873</v>
      </c>
      <c r="I384" s="14">
        <f t="shared" si="27"/>
        <v>832.51</v>
      </c>
      <c r="J384" s="14">
        <f t="shared" si="28"/>
        <v>-826</v>
      </c>
      <c r="K384" s="1">
        <v>0.49</v>
      </c>
      <c r="L384">
        <v>4.4000000000000004</v>
      </c>
      <c r="M384" s="2">
        <v>1680</v>
      </c>
      <c r="N384" t="s">
        <v>980</v>
      </c>
      <c r="O384">
        <f t="shared" si="29"/>
        <v>1</v>
      </c>
      <c r="P384" s="12" t="e">
        <f>HYPERLINK(#REF!,"Link")</f>
        <v>#REF!</v>
      </c>
      <c r="Q384" s="12" t="e">
        <f>HYPERLINK(#REF!,"Link")</f>
        <v>#REF!</v>
      </c>
    </row>
    <row r="385" spans="1:17" x14ac:dyDescent="0.3">
      <c r="A385" t="s">
        <v>981</v>
      </c>
      <c r="B385" t="s">
        <v>982</v>
      </c>
      <c r="C385" s="10" t="s">
        <v>3917</v>
      </c>
      <c r="D385" s="10"/>
      <c r="E385" s="14">
        <v>15999</v>
      </c>
      <c r="F385" s="3">
        <v>12999</v>
      </c>
      <c r="G385" s="3">
        <f t="shared" si="26"/>
        <v>47997</v>
      </c>
      <c r="H385" s="3">
        <f t="shared" si="25"/>
        <v>38997</v>
      </c>
      <c r="I385" s="14">
        <f t="shared" si="27"/>
        <v>9119.43</v>
      </c>
      <c r="J385" s="14">
        <f t="shared" si="28"/>
        <v>-9000</v>
      </c>
      <c r="K385" s="1">
        <v>0.19</v>
      </c>
      <c r="L385">
        <v>4.2</v>
      </c>
      <c r="M385" s="2">
        <v>13246</v>
      </c>
      <c r="N385" t="s">
        <v>983</v>
      </c>
      <c r="O385">
        <f t="shared" si="29"/>
        <v>3</v>
      </c>
      <c r="P385" s="12" t="e">
        <f>HYPERLINK(#REF!,"Link")</f>
        <v>#REF!</v>
      </c>
      <c r="Q385" s="12" t="e">
        <f>HYPERLINK(#REF!,"Link")</f>
        <v>#REF!</v>
      </c>
    </row>
    <row r="386" spans="1:17" x14ac:dyDescent="0.3">
      <c r="A386" t="s">
        <v>984</v>
      </c>
      <c r="B386" t="s">
        <v>985</v>
      </c>
      <c r="C386" s="9" t="s">
        <v>3859</v>
      </c>
      <c r="D386" s="9" t="s">
        <v>3918</v>
      </c>
      <c r="E386" s="14">
        <v>1599</v>
      </c>
      <c r="F386" s="3">
        <v>539</v>
      </c>
      <c r="G386" s="3">
        <f t="shared" si="26"/>
        <v>7995</v>
      </c>
      <c r="H386" s="3">
        <f t="shared" ref="H386:H449" si="30">F386*O386</f>
        <v>2695</v>
      </c>
      <c r="I386" s="14">
        <f t="shared" si="27"/>
        <v>5276.7000000000007</v>
      </c>
      <c r="J386" s="14">
        <f t="shared" si="28"/>
        <v>-5300</v>
      </c>
      <c r="K386" s="1">
        <v>0.66</v>
      </c>
      <c r="L386">
        <v>3.8</v>
      </c>
      <c r="M386" s="2">
        <v>14648</v>
      </c>
      <c r="N386" t="s">
        <v>986</v>
      </c>
      <c r="O386">
        <f t="shared" si="29"/>
        <v>5</v>
      </c>
      <c r="P386" s="12" t="e">
        <f>HYPERLINK(#REF!,"Link")</f>
        <v>#REF!</v>
      </c>
      <c r="Q386" s="12" t="e">
        <f>HYPERLINK(#REF!,"Link")</f>
        <v>#REF!</v>
      </c>
    </row>
    <row r="387" spans="1:17" x14ac:dyDescent="0.3">
      <c r="A387" t="s">
        <v>987</v>
      </c>
      <c r="B387" t="s">
        <v>874</v>
      </c>
      <c r="C387" s="10" t="s">
        <v>3859</v>
      </c>
      <c r="D387" s="10" t="s">
        <v>3919</v>
      </c>
      <c r="E387" s="14">
        <v>9999</v>
      </c>
      <c r="F387" s="3">
        <v>1999</v>
      </c>
      <c r="G387" s="3">
        <f t="shared" ref="G387:G450" si="31">E387*O387</f>
        <v>19998</v>
      </c>
      <c r="H387" s="3">
        <f t="shared" si="30"/>
        <v>3998</v>
      </c>
      <c r="I387" s="14">
        <f t="shared" ref="I387:I450" si="32">(E387*K387)*O387</f>
        <v>15998.400000000001</v>
      </c>
      <c r="J387" s="14">
        <f t="shared" ref="J387:J450" si="33">H387-G387</f>
        <v>-16000</v>
      </c>
      <c r="K387" s="1">
        <v>0.8</v>
      </c>
      <c r="L387">
        <v>4.3</v>
      </c>
      <c r="M387" s="2">
        <v>27696</v>
      </c>
      <c r="N387" t="s">
        <v>875</v>
      </c>
      <c r="O387">
        <f t="shared" ref="O387:O450" si="34">LEN(N387)-LEN(SUBSTITUTE(N387,",",""))+1</f>
        <v>2</v>
      </c>
      <c r="P387" s="12" t="e">
        <f>HYPERLINK(#REF!,"Link")</f>
        <v>#REF!</v>
      </c>
      <c r="Q387" s="12" t="e">
        <f>HYPERLINK(#REF!,"Link")</f>
        <v>#REF!</v>
      </c>
    </row>
    <row r="388" spans="1:17" x14ac:dyDescent="0.3">
      <c r="A388" t="s">
        <v>988</v>
      </c>
      <c r="B388" t="s">
        <v>989</v>
      </c>
      <c r="C388" s="9" t="s">
        <v>3859</v>
      </c>
      <c r="D388" s="9" t="s">
        <v>3911</v>
      </c>
      <c r="E388" s="14">
        <v>20990</v>
      </c>
      <c r="F388" s="3">
        <v>15490</v>
      </c>
      <c r="G388" s="3">
        <f t="shared" si="31"/>
        <v>62970</v>
      </c>
      <c r="H388" s="3">
        <f t="shared" si="30"/>
        <v>46470</v>
      </c>
      <c r="I388" s="14">
        <f t="shared" si="32"/>
        <v>16372.2</v>
      </c>
      <c r="J388" s="14">
        <f t="shared" si="33"/>
        <v>-16500</v>
      </c>
      <c r="K388" s="1">
        <v>0.26</v>
      </c>
      <c r="L388">
        <v>4.2</v>
      </c>
      <c r="M388" s="2">
        <v>32916</v>
      </c>
      <c r="N388" t="s">
        <v>990</v>
      </c>
      <c r="O388">
        <f t="shared" si="34"/>
        <v>3</v>
      </c>
      <c r="P388" s="12" t="e">
        <f>HYPERLINK(#REF!,"Link")</f>
        <v>#REF!</v>
      </c>
      <c r="Q388" s="12" t="e">
        <f>HYPERLINK(#REF!,"Link")</f>
        <v>#REF!</v>
      </c>
    </row>
    <row r="389" spans="1:17" x14ac:dyDescent="0.3">
      <c r="A389" t="s">
        <v>991</v>
      </c>
      <c r="B389" t="s">
        <v>992</v>
      </c>
      <c r="C389" s="10" t="s">
        <v>3920</v>
      </c>
      <c r="D389" s="10" t="s">
        <v>3921</v>
      </c>
      <c r="E389" s="14">
        <v>24999</v>
      </c>
      <c r="F389" s="3">
        <v>19999</v>
      </c>
      <c r="G389" s="3">
        <f t="shared" si="31"/>
        <v>74997</v>
      </c>
      <c r="H389" s="3">
        <f t="shared" si="30"/>
        <v>59997</v>
      </c>
      <c r="I389" s="14">
        <f t="shared" si="32"/>
        <v>14999.400000000001</v>
      </c>
      <c r="J389" s="14">
        <f t="shared" si="33"/>
        <v>-15000</v>
      </c>
      <c r="K389" s="1">
        <v>0.2</v>
      </c>
      <c r="L389">
        <v>3.9</v>
      </c>
      <c r="M389" s="2">
        <v>25824</v>
      </c>
      <c r="N389" t="s">
        <v>993</v>
      </c>
      <c r="O389">
        <f t="shared" si="34"/>
        <v>3</v>
      </c>
      <c r="P389" s="12" t="e">
        <f>HYPERLINK(#REF!,"Link")</f>
        <v>#REF!</v>
      </c>
      <c r="Q389" s="12" t="e">
        <f>HYPERLINK(#REF!,"Link")</f>
        <v>#REF!</v>
      </c>
    </row>
    <row r="390" spans="1:17" x14ac:dyDescent="0.3">
      <c r="A390" t="s">
        <v>994</v>
      </c>
      <c r="B390" t="s">
        <v>995</v>
      </c>
      <c r="C390" s="9" t="s">
        <v>3859</v>
      </c>
      <c r="D390" s="9" t="s">
        <v>3918</v>
      </c>
      <c r="E390" s="14">
        <v>1699</v>
      </c>
      <c r="F390" s="3">
        <v>1075</v>
      </c>
      <c r="G390" s="3">
        <f t="shared" si="31"/>
        <v>3398</v>
      </c>
      <c r="H390" s="3">
        <f t="shared" si="30"/>
        <v>2150</v>
      </c>
      <c r="I390" s="14">
        <f t="shared" si="32"/>
        <v>1257.26</v>
      </c>
      <c r="J390" s="14">
        <f t="shared" si="33"/>
        <v>-1248</v>
      </c>
      <c r="K390" s="1">
        <v>0.37</v>
      </c>
      <c r="L390">
        <v>4.4000000000000004</v>
      </c>
      <c r="M390" s="2">
        <v>7462</v>
      </c>
      <c r="N390" t="s">
        <v>996</v>
      </c>
      <c r="O390">
        <f t="shared" si="34"/>
        <v>2</v>
      </c>
      <c r="P390" s="12" t="e">
        <f>HYPERLINK(#REF!,"Link")</f>
        <v>#REF!</v>
      </c>
      <c r="Q390" s="12" t="e">
        <f>HYPERLINK(#REF!,"Link")</f>
        <v>#REF!</v>
      </c>
    </row>
    <row r="391" spans="1:17" x14ac:dyDescent="0.3">
      <c r="A391" t="s">
        <v>997</v>
      </c>
      <c r="B391" t="s">
        <v>998</v>
      </c>
      <c r="C391" s="10" t="s">
        <v>3859</v>
      </c>
      <c r="D391" s="10" t="s">
        <v>3922</v>
      </c>
      <c r="E391" s="14">
        <v>699</v>
      </c>
      <c r="F391" s="3">
        <v>399</v>
      </c>
      <c r="G391" s="3">
        <f t="shared" si="31"/>
        <v>1398</v>
      </c>
      <c r="H391" s="3">
        <f t="shared" si="30"/>
        <v>798</v>
      </c>
      <c r="I391" s="14">
        <f t="shared" si="32"/>
        <v>601.14</v>
      </c>
      <c r="J391" s="14">
        <f t="shared" si="33"/>
        <v>-600</v>
      </c>
      <c r="K391" s="1">
        <v>0.43</v>
      </c>
      <c r="L391">
        <v>4</v>
      </c>
      <c r="M391" s="2">
        <v>37817</v>
      </c>
      <c r="N391" t="s">
        <v>999</v>
      </c>
      <c r="O391">
        <f t="shared" si="34"/>
        <v>2</v>
      </c>
      <c r="P391" s="12" t="e">
        <f>HYPERLINK(#REF!,"Link")</f>
        <v>#REF!</v>
      </c>
      <c r="Q391" s="12" t="e">
        <f>HYPERLINK(#REF!,"Link")</f>
        <v>#REF!</v>
      </c>
    </row>
    <row r="392" spans="1:17" x14ac:dyDescent="0.3">
      <c r="A392" t="s">
        <v>1000</v>
      </c>
      <c r="B392" t="s">
        <v>936</v>
      </c>
      <c r="C392" s="9" t="s">
        <v>3891</v>
      </c>
      <c r="D392" s="9" t="s">
        <v>3923</v>
      </c>
      <c r="E392" s="14">
        <v>3990</v>
      </c>
      <c r="F392" s="3">
        <v>1999</v>
      </c>
      <c r="G392" s="3">
        <f t="shared" si="31"/>
        <v>7980</v>
      </c>
      <c r="H392" s="3">
        <f t="shared" si="30"/>
        <v>3998</v>
      </c>
      <c r="I392" s="14">
        <f t="shared" si="32"/>
        <v>3990</v>
      </c>
      <c r="J392" s="14">
        <f t="shared" si="33"/>
        <v>-3982</v>
      </c>
      <c r="K392" s="1">
        <v>0.5</v>
      </c>
      <c r="L392">
        <v>4</v>
      </c>
      <c r="M392" s="2">
        <v>30254</v>
      </c>
      <c r="N392" t="s">
        <v>937</v>
      </c>
      <c r="O392">
        <f t="shared" si="34"/>
        <v>2</v>
      </c>
      <c r="P392" s="12" t="e">
        <f>HYPERLINK(#REF!,"Link")</f>
        <v>#REF!</v>
      </c>
      <c r="Q392" s="12" t="e">
        <f>HYPERLINK(#REF!,"Link")</f>
        <v>#REF!</v>
      </c>
    </row>
    <row r="393" spans="1:17" x14ac:dyDescent="0.3">
      <c r="A393" t="s">
        <v>1001</v>
      </c>
      <c r="B393" t="s">
        <v>877</v>
      </c>
      <c r="C393" s="10" t="s">
        <v>3891</v>
      </c>
      <c r="D393" s="10" t="s">
        <v>3924</v>
      </c>
      <c r="E393" s="14">
        <v>7990</v>
      </c>
      <c r="F393" s="3">
        <v>1999</v>
      </c>
      <c r="G393" s="3">
        <f t="shared" si="31"/>
        <v>23970</v>
      </c>
      <c r="H393" s="3">
        <f t="shared" si="30"/>
        <v>5997</v>
      </c>
      <c r="I393" s="14">
        <f t="shared" si="32"/>
        <v>17977.5</v>
      </c>
      <c r="J393" s="14">
        <f t="shared" si="33"/>
        <v>-17973</v>
      </c>
      <c r="K393" s="1">
        <v>0.75</v>
      </c>
      <c r="L393">
        <v>3.8</v>
      </c>
      <c r="M393" s="2">
        <v>17831</v>
      </c>
      <c r="N393" t="s">
        <v>878</v>
      </c>
      <c r="O393">
        <f t="shared" si="34"/>
        <v>3</v>
      </c>
      <c r="P393" s="12" t="e">
        <f>HYPERLINK(#REF!,"Link")</f>
        <v>#REF!</v>
      </c>
      <c r="Q393" s="12" t="e">
        <f>HYPERLINK(#REF!,"Link")</f>
        <v>#REF!</v>
      </c>
    </row>
    <row r="394" spans="1:17" x14ac:dyDescent="0.3">
      <c r="A394" t="s">
        <v>18</v>
      </c>
      <c r="B394" t="s">
        <v>19</v>
      </c>
      <c r="C394" s="9" t="s">
        <v>3891</v>
      </c>
      <c r="D394" s="9" t="s">
        <v>3925</v>
      </c>
      <c r="E394" s="14">
        <v>699</v>
      </c>
      <c r="F394" s="3">
        <v>329</v>
      </c>
      <c r="G394" s="3">
        <f t="shared" si="31"/>
        <v>2796</v>
      </c>
      <c r="H394" s="3">
        <f t="shared" si="30"/>
        <v>1316</v>
      </c>
      <c r="I394" s="14">
        <f t="shared" si="32"/>
        <v>1481.88</v>
      </c>
      <c r="J394" s="14">
        <f t="shared" si="33"/>
        <v>-1480</v>
      </c>
      <c r="K394" s="1">
        <v>0.53</v>
      </c>
      <c r="L394">
        <v>4.2</v>
      </c>
      <c r="M394" s="2">
        <v>94364</v>
      </c>
      <c r="N394" t="s">
        <v>20</v>
      </c>
      <c r="O394">
        <f t="shared" si="34"/>
        <v>4</v>
      </c>
      <c r="P394" s="12" t="e">
        <f>HYPERLINK(#REF!,"Link")</f>
        <v>#REF!</v>
      </c>
      <c r="Q394" s="12" t="e">
        <f>HYPERLINK(#REF!,"Link")</f>
        <v>#REF!</v>
      </c>
    </row>
    <row r="395" spans="1:17" x14ac:dyDescent="0.3">
      <c r="A395" t="s">
        <v>21</v>
      </c>
      <c r="B395" t="s">
        <v>22</v>
      </c>
      <c r="C395" s="10" t="s">
        <v>3859</v>
      </c>
      <c r="D395" s="10" t="s">
        <v>3926</v>
      </c>
      <c r="E395" s="14">
        <v>399</v>
      </c>
      <c r="F395" s="3">
        <v>154</v>
      </c>
      <c r="G395" s="3">
        <f t="shared" si="31"/>
        <v>1197</v>
      </c>
      <c r="H395" s="3">
        <f t="shared" si="30"/>
        <v>462</v>
      </c>
      <c r="I395" s="14">
        <f t="shared" si="32"/>
        <v>730.17</v>
      </c>
      <c r="J395" s="14">
        <f t="shared" si="33"/>
        <v>-735</v>
      </c>
      <c r="K395" s="1">
        <v>0.61</v>
      </c>
      <c r="L395">
        <v>4.2</v>
      </c>
      <c r="M395" s="2">
        <v>16905</v>
      </c>
      <c r="N395" t="s">
        <v>23</v>
      </c>
      <c r="O395">
        <f t="shared" si="34"/>
        <v>3</v>
      </c>
      <c r="P395" s="12" t="e">
        <f>HYPERLINK(#REF!,"Link")</f>
        <v>#REF!</v>
      </c>
      <c r="Q395" s="12" t="e">
        <f>HYPERLINK(#REF!,"Link")</f>
        <v>#REF!</v>
      </c>
    </row>
    <row r="396" spans="1:17" x14ac:dyDescent="0.3">
      <c r="A396" t="s">
        <v>1002</v>
      </c>
      <c r="B396" t="s">
        <v>1003</v>
      </c>
      <c r="C396" s="9" t="s">
        <v>3927</v>
      </c>
      <c r="D396" s="9" t="s">
        <v>3928</v>
      </c>
      <c r="E396" s="14">
        <v>34999</v>
      </c>
      <c r="F396" s="3">
        <v>28999</v>
      </c>
      <c r="G396" s="3">
        <f t="shared" si="31"/>
        <v>34999</v>
      </c>
      <c r="H396" s="3">
        <f t="shared" si="30"/>
        <v>28999</v>
      </c>
      <c r="I396" s="14">
        <f t="shared" si="32"/>
        <v>5949.8300000000008</v>
      </c>
      <c r="J396" s="14">
        <f t="shared" si="33"/>
        <v>-6000</v>
      </c>
      <c r="K396" s="1">
        <v>0.17</v>
      </c>
      <c r="L396">
        <v>4.4000000000000004</v>
      </c>
      <c r="M396" s="2">
        <v>20311</v>
      </c>
      <c r="N396" t="s">
        <v>1004</v>
      </c>
      <c r="O396">
        <f t="shared" si="34"/>
        <v>1</v>
      </c>
      <c r="P396" s="12" t="e">
        <f>HYPERLINK(#REF!,"Link")</f>
        <v>#REF!</v>
      </c>
      <c r="Q396" s="12" t="e">
        <f>HYPERLINK(#REF!,"Link")</f>
        <v>#REF!</v>
      </c>
    </row>
    <row r="397" spans="1:17" x14ac:dyDescent="0.3">
      <c r="A397" t="s">
        <v>1005</v>
      </c>
      <c r="B397" t="s">
        <v>1006</v>
      </c>
      <c r="C397" s="10" t="s">
        <v>3859</v>
      </c>
      <c r="D397" s="10" t="s">
        <v>3929</v>
      </c>
      <c r="E397" s="14">
        <v>7990</v>
      </c>
      <c r="F397" s="3">
        <v>2299</v>
      </c>
      <c r="G397" s="3">
        <f t="shared" si="31"/>
        <v>23970</v>
      </c>
      <c r="H397" s="3">
        <f t="shared" si="30"/>
        <v>6897</v>
      </c>
      <c r="I397" s="14">
        <f t="shared" si="32"/>
        <v>17018.699999999997</v>
      </c>
      <c r="J397" s="14">
        <f t="shared" si="33"/>
        <v>-17073</v>
      </c>
      <c r="K397" s="1">
        <v>0.71</v>
      </c>
      <c r="L397">
        <v>4.2</v>
      </c>
      <c r="M397" s="2">
        <v>69622</v>
      </c>
      <c r="N397" t="s">
        <v>1007</v>
      </c>
      <c r="O397">
        <f t="shared" si="34"/>
        <v>3</v>
      </c>
      <c r="P397" s="12" t="e">
        <f>HYPERLINK(#REF!,"Link")</f>
        <v>#REF!</v>
      </c>
      <c r="Q397" s="12" t="e">
        <f>HYPERLINK(#REF!,"Link")</f>
        <v>#REF!</v>
      </c>
    </row>
    <row r="398" spans="1:17" x14ac:dyDescent="0.3">
      <c r="A398" t="s">
        <v>1008</v>
      </c>
      <c r="B398" t="s">
        <v>1009</v>
      </c>
      <c r="C398" s="9" t="s">
        <v>3885</v>
      </c>
      <c r="D398" s="9" t="s">
        <v>3930</v>
      </c>
      <c r="E398" s="14">
        <v>1999</v>
      </c>
      <c r="F398" s="3">
        <v>399</v>
      </c>
      <c r="G398" s="3">
        <f t="shared" si="31"/>
        <v>7996</v>
      </c>
      <c r="H398" s="3">
        <f t="shared" si="30"/>
        <v>1596</v>
      </c>
      <c r="I398" s="14">
        <f t="shared" si="32"/>
        <v>6396.8</v>
      </c>
      <c r="J398" s="14">
        <f t="shared" si="33"/>
        <v>-6400</v>
      </c>
      <c r="K398" s="1">
        <v>0.8</v>
      </c>
      <c r="L398">
        <v>4</v>
      </c>
      <c r="M398" s="2">
        <v>3382</v>
      </c>
      <c r="N398" t="s">
        <v>1010</v>
      </c>
      <c r="O398">
        <f t="shared" si="34"/>
        <v>4</v>
      </c>
      <c r="P398" s="12" t="e">
        <f>HYPERLINK(#REF!,"Link")</f>
        <v>#REF!</v>
      </c>
      <c r="Q398" s="12" t="e">
        <f>HYPERLINK(#REF!,"Link")</f>
        <v>#REF!</v>
      </c>
    </row>
    <row r="399" spans="1:17" x14ac:dyDescent="0.3">
      <c r="A399" t="s">
        <v>1011</v>
      </c>
      <c r="B399" t="s">
        <v>1012</v>
      </c>
      <c r="C399" s="10" t="s">
        <v>3864</v>
      </c>
      <c r="D399" s="10" t="s">
        <v>3880</v>
      </c>
      <c r="E399" s="14">
        <v>3999</v>
      </c>
      <c r="F399" s="3">
        <v>1149</v>
      </c>
      <c r="G399" s="3">
        <f t="shared" si="31"/>
        <v>11997</v>
      </c>
      <c r="H399" s="3">
        <f t="shared" si="30"/>
        <v>3447</v>
      </c>
      <c r="I399" s="14">
        <f t="shared" si="32"/>
        <v>8517.869999999999</v>
      </c>
      <c r="J399" s="14">
        <f t="shared" si="33"/>
        <v>-8550</v>
      </c>
      <c r="K399" s="1">
        <v>0.71</v>
      </c>
      <c r="L399">
        <v>4.3</v>
      </c>
      <c r="M399" s="2">
        <v>140036</v>
      </c>
      <c r="N399" t="s">
        <v>1013</v>
      </c>
      <c r="O399">
        <f t="shared" si="34"/>
        <v>3</v>
      </c>
      <c r="P399" s="12" t="e">
        <f>HYPERLINK(#REF!,"Link")</f>
        <v>#REF!</v>
      </c>
      <c r="Q399" s="12" t="e">
        <f>HYPERLINK(#REF!,"Link")</f>
        <v>#REF!</v>
      </c>
    </row>
    <row r="400" spans="1:17" x14ac:dyDescent="0.3">
      <c r="A400" t="s">
        <v>1014</v>
      </c>
      <c r="B400" t="s">
        <v>1015</v>
      </c>
      <c r="C400" s="10" t="s">
        <v>3725</v>
      </c>
      <c r="D400" s="10" t="s">
        <v>3726</v>
      </c>
      <c r="E400" s="14">
        <v>1499</v>
      </c>
      <c r="F400" s="3">
        <v>529</v>
      </c>
      <c r="G400" s="3">
        <f t="shared" si="31"/>
        <v>4497</v>
      </c>
      <c r="H400" s="3">
        <f t="shared" si="30"/>
        <v>1587</v>
      </c>
      <c r="I400" s="14">
        <f t="shared" si="32"/>
        <v>2923.05</v>
      </c>
      <c r="J400" s="14">
        <f t="shared" si="33"/>
        <v>-2910</v>
      </c>
      <c r="K400" s="1">
        <v>0.65</v>
      </c>
      <c r="L400">
        <v>4.0999999999999996</v>
      </c>
      <c r="M400" s="2">
        <v>8599</v>
      </c>
      <c r="N400" t="s">
        <v>1016</v>
      </c>
      <c r="O400">
        <f t="shared" si="34"/>
        <v>3</v>
      </c>
      <c r="P400" s="12" t="e">
        <f>HYPERLINK(#REF!,"Link")</f>
        <v>#REF!</v>
      </c>
      <c r="Q400" s="12" t="e">
        <f>HYPERLINK(#REF!,"Link")</f>
        <v>#REF!</v>
      </c>
    </row>
    <row r="401" spans="1:17" x14ac:dyDescent="0.3">
      <c r="A401" t="s">
        <v>1017</v>
      </c>
      <c r="B401" t="s">
        <v>1018</v>
      </c>
      <c r="C401" s="9" t="s">
        <v>3727</v>
      </c>
      <c r="D401" s="9" t="s">
        <v>3728</v>
      </c>
      <c r="E401" s="14">
        <v>19499</v>
      </c>
      <c r="F401" s="3">
        <v>13999</v>
      </c>
      <c r="G401" s="3">
        <f t="shared" si="31"/>
        <v>38998</v>
      </c>
      <c r="H401" s="3">
        <f t="shared" si="30"/>
        <v>27998</v>
      </c>
      <c r="I401" s="14">
        <f t="shared" si="32"/>
        <v>10919.44</v>
      </c>
      <c r="J401" s="14">
        <f t="shared" si="33"/>
        <v>-11000</v>
      </c>
      <c r="K401" s="1">
        <v>0.28000000000000003</v>
      </c>
      <c r="L401">
        <v>4.0999999999999996</v>
      </c>
      <c r="M401" s="2">
        <v>18998</v>
      </c>
      <c r="N401" t="s">
        <v>948</v>
      </c>
      <c r="O401">
        <f t="shared" si="34"/>
        <v>2</v>
      </c>
      <c r="P401" s="12" t="e">
        <f>HYPERLINK(#REF!,"Link")</f>
        <v>#REF!</v>
      </c>
      <c r="Q401" s="12" t="e">
        <f>HYPERLINK(#REF!,"Link")</f>
        <v>#REF!</v>
      </c>
    </row>
    <row r="402" spans="1:17" x14ac:dyDescent="0.3">
      <c r="A402" t="s">
        <v>1019</v>
      </c>
      <c r="B402" t="s">
        <v>919</v>
      </c>
      <c r="C402" s="10" t="s">
        <v>3729</v>
      </c>
      <c r="D402" s="10" t="s">
        <v>3726</v>
      </c>
      <c r="E402" s="14">
        <v>999</v>
      </c>
      <c r="F402" s="3">
        <v>379</v>
      </c>
      <c r="G402" s="3">
        <f t="shared" si="31"/>
        <v>1998</v>
      </c>
      <c r="H402" s="3">
        <f t="shared" si="30"/>
        <v>758</v>
      </c>
      <c r="I402" s="14">
        <f t="shared" si="32"/>
        <v>1238.76</v>
      </c>
      <c r="J402" s="14">
        <f t="shared" si="33"/>
        <v>-1240</v>
      </c>
      <c r="K402" s="1">
        <v>0.62</v>
      </c>
      <c r="L402">
        <v>4.0999999999999996</v>
      </c>
      <c r="M402" s="2">
        <v>363713</v>
      </c>
      <c r="N402" t="s">
        <v>920</v>
      </c>
      <c r="O402">
        <f t="shared" si="34"/>
        <v>2</v>
      </c>
      <c r="P402" s="12" t="e">
        <f>HYPERLINK(#REF!,"Link")</f>
        <v>#REF!</v>
      </c>
      <c r="Q402" s="12" t="e">
        <f>HYPERLINK(#REF!,"Link")</f>
        <v>#REF!</v>
      </c>
    </row>
    <row r="403" spans="1:17" x14ac:dyDescent="0.3">
      <c r="A403" t="s">
        <v>1020</v>
      </c>
      <c r="B403" t="s">
        <v>1021</v>
      </c>
      <c r="C403" s="9" t="s">
        <v>3730</v>
      </c>
      <c r="D403" s="9" t="s">
        <v>3731</v>
      </c>
      <c r="E403" s="14">
        <v>19999</v>
      </c>
      <c r="F403" s="3">
        <v>13999</v>
      </c>
      <c r="G403" s="3">
        <f t="shared" si="31"/>
        <v>39998</v>
      </c>
      <c r="H403" s="3">
        <f t="shared" si="30"/>
        <v>27998</v>
      </c>
      <c r="I403" s="14">
        <f t="shared" si="32"/>
        <v>11999.4</v>
      </c>
      <c r="J403" s="14">
        <f t="shared" si="33"/>
        <v>-12000</v>
      </c>
      <c r="K403" s="1">
        <v>0.3</v>
      </c>
      <c r="L403">
        <v>4.0999999999999996</v>
      </c>
      <c r="M403" s="2">
        <v>19252</v>
      </c>
      <c r="N403" t="s">
        <v>975</v>
      </c>
      <c r="O403">
        <f t="shared" si="34"/>
        <v>2</v>
      </c>
      <c r="P403" s="12" t="e">
        <f>HYPERLINK(#REF!,"Link")</f>
        <v>#REF!</v>
      </c>
      <c r="Q403" s="12" t="e">
        <f>HYPERLINK(#REF!,"Link")</f>
        <v>#REF!</v>
      </c>
    </row>
    <row r="404" spans="1:17" x14ac:dyDescent="0.3">
      <c r="A404" t="s">
        <v>1022</v>
      </c>
      <c r="B404" t="s">
        <v>1023</v>
      </c>
      <c r="C404" s="10" t="s">
        <v>3729</v>
      </c>
      <c r="D404" s="10" t="s">
        <v>3732</v>
      </c>
      <c r="E404" s="14">
        <v>9999</v>
      </c>
      <c r="F404" s="3">
        <v>3999</v>
      </c>
      <c r="G404" s="3">
        <f t="shared" si="31"/>
        <v>29997</v>
      </c>
      <c r="H404" s="3">
        <f t="shared" si="30"/>
        <v>11997</v>
      </c>
      <c r="I404" s="14">
        <f t="shared" si="32"/>
        <v>17998.199999999997</v>
      </c>
      <c r="J404" s="14">
        <f t="shared" si="33"/>
        <v>-18000</v>
      </c>
      <c r="K404" s="1">
        <v>0.6</v>
      </c>
      <c r="L404">
        <v>4.4000000000000004</v>
      </c>
      <c r="M404">
        <v>73</v>
      </c>
      <c r="N404" t="s">
        <v>1024</v>
      </c>
      <c r="O404">
        <f t="shared" si="34"/>
        <v>3</v>
      </c>
      <c r="P404" s="12" t="e">
        <f>HYPERLINK(#REF!,"Link")</f>
        <v>#REF!</v>
      </c>
      <c r="Q404" s="12" t="e">
        <f>HYPERLINK(#REF!,"Link")</f>
        <v>#REF!</v>
      </c>
    </row>
    <row r="405" spans="1:17" x14ac:dyDescent="0.3">
      <c r="A405" t="s">
        <v>24</v>
      </c>
      <c r="B405" t="s">
        <v>25</v>
      </c>
      <c r="C405" s="9" t="s">
        <v>3730</v>
      </c>
      <c r="D405" s="9" t="s">
        <v>3733</v>
      </c>
      <c r="E405" s="14">
        <v>1000</v>
      </c>
      <c r="F405" s="3">
        <v>149</v>
      </c>
      <c r="G405" s="3">
        <f t="shared" si="31"/>
        <v>4000</v>
      </c>
      <c r="H405" s="3">
        <f t="shared" si="30"/>
        <v>596</v>
      </c>
      <c r="I405" s="14">
        <f t="shared" si="32"/>
        <v>3400</v>
      </c>
      <c r="J405" s="14">
        <f t="shared" si="33"/>
        <v>-3404</v>
      </c>
      <c r="K405" s="1">
        <v>0.85</v>
      </c>
      <c r="L405">
        <v>3.9</v>
      </c>
      <c r="M405" s="2">
        <v>24870</v>
      </c>
      <c r="N405" t="s">
        <v>26</v>
      </c>
      <c r="O405">
        <f t="shared" si="34"/>
        <v>4</v>
      </c>
      <c r="P405" s="12" t="e">
        <f>HYPERLINK(#REF!,"Link")</f>
        <v>#REF!</v>
      </c>
      <c r="Q405" s="12" t="e">
        <f>HYPERLINK(#REF!,"Link")</f>
        <v>#REF!</v>
      </c>
    </row>
    <row r="406" spans="1:17" x14ac:dyDescent="0.3">
      <c r="A406" t="s">
        <v>1025</v>
      </c>
      <c r="B406" t="s">
        <v>1026</v>
      </c>
      <c r="C406" s="10" t="s">
        <v>3729</v>
      </c>
      <c r="D406" s="10" t="s">
        <v>3734</v>
      </c>
      <c r="E406" s="14">
        <v>499</v>
      </c>
      <c r="F406" s="3">
        <v>99</v>
      </c>
      <c r="G406" s="3">
        <f t="shared" si="31"/>
        <v>499</v>
      </c>
      <c r="H406" s="3">
        <f t="shared" si="30"/>
        <v>99</v>
      </c>
      <c r="I406" s="14">
        <f t="shared" si="32"/>
        <v>399.20000000000005</v>
      </c>
      <c r="J406" s="14">
        <f t="shared" si="33"/>
        <v>-400</v>
      </c>
      <c r="K406" s="1">
        <v>0.8</v>
      </c>
      <c r="L406">
        <v>4.3</v>
      </c>
      <c r="M406" s="2">
        <v>42641</v>
      </c>
      <c r="N406" t="s">
        <v>1027</v>
      </c>
      <c r="O406">
        <f t="shared" si="34"/>
        <v>1</v>
      </c>
      <c r="P406" s="12" t="e">
        <f>HYPERLINK(#REF!,"Link")</f>
        <v>#REF!</v>
      </c>
      <c r="Q406" s="12" t="e">
        <f>HYPERLINK(#REF!,"Link")</f>
        <v>#REF!</v>
      </c>
    </row>
    <row r="407" spans="1:17" x14ac:dyDescent="0.3">
      <c r="A407" t="s">
        <v>1028</v>
      </c>
      <c r="B407" t="s">
        <v>1029</v>
      </c>
      <c r="C407" s="9" t="s">
        <v>3729</v>
      </c>
      <c r="D407" s="9" t="s">
        <v>3726</v>
      </c>
      <c r="E407" s="14">
        <v>15990</v>
      </c>
      <c r="F407" s="3">
        <v>4790</v>
      </c>
      <c r="G407" s="3">
        <f t="shared" si="31"/>
        <v>31980</v>
      </c>
      <c r="H407" s="3">
        <f t="shared" si="30"/>
        <v>9580</v>
      </c>
      <c r="I407" s="14">
        <f t="shared" si="32"/>
        <v>22386</v>
      </c>
      <c r="J407" s="14">
        <f t="shared" si="33"/>
        <v>-22400</v>
      </c>
      <c r="K407" s="1">
        <v>0.7</v>
      </c>
      <c r="L407">
        <v>4</v>
      </c>
      <c r="M407" s="2">
        <v>4390</v>
      </c>
      <c r="N407" t="s">
        <v>1030</v>
      </c>
      <c r="O407">
        <f t="shared" si="34"/>
        <v>2</v>
      </c>
      <c r="P407" s="12" t="e">
        <f>HYPERLINK(#REF!,"Link")</f>
        <v>#REF!</v>
      </c>
      <c r="Q407" s="12" t="e">
        <f>HYPERLINK(#REF!,"Link")</f>
        <v>#REF!</v>
      </c>
    </row>
    <row r="408" spans="1:17" x14ac:dyDescent="0.3">
      <c r="A408" t="s">
        <v>1031</v>
      </c>
      <c r="B408" t="s">
        <v>886</v>
      </c>
      <c r="C408" s="10" t="s">
        <v>3729</v>
      </c>
      <c r="D408" s="10" t="s">
        <v>3735</v>
      </c>
      <c r="E408" s="14">
        <v>33999</v>
      </c>
      <c r="F408" s="3">
        <v>33999</v>
      </c>
      <c r="G408" s="3">
        <f t="shared" si="31"/>
        <v>101997</v>
      </c>
      <c r="H408" s="3">
        <f t="shared" si="30"/>
        <v>101997</v>
      </c>
      <c r="I408" s="14">
        <f t="shared" si="32"/>
        <v>0</v>
      </c>
      <c r="J408" s="14">
        <f t="shared" si="33"/>
        <v>0</v>
      </c>
      <c r="K408" s="1">
        <v>0</v>
      </c>
      <c r="L408">
        <v>4.3</v>
      </c>
      <c r="M408" s="2">
        <v>17415</v>
      </c>
      <c r="N408" t="s">
        <v>887</v>
      </c>
      <c r="O408">
        <f t="shared" si="34"/>
        <v>3</v>
      </c>
      <c r="P408" s="12" t="e">
        <f>HYPERLINK(#REF!,"Link")</f>
        <v>#REF!</v>
      </c>
      <c r="Q408" s="12" t="e">
        <f>HYPERLINK(#REF!,"Link")</f>
        <v>#REF!</v>
      </c>
    </row>
    <row r="409" spans="1:17" x14ac:dyDescent="0.3">
      <c r="A409" t="s">
        <v>1032</v>
      </c>
      <c r="B409" t="s">
        <v>1033</v>
      </c>
      <c r="C409" s="9" t="s">
        <v>3729</v>
      </c>
      <c r="D409" s="9" t="s">
        <v>3726</v>
      </c>
      <c r="E409" s="14">
        <v>999</v>
      </c>
      <c r="F409" s="3">
        <v>99</v>
      </c>
      <c r="G409" s="3">
        <f t="shared" si="31"/>
        <v>1998</v>
      </c>
      <c r="H409" s="3">
        <f t="shared" si="30"/>
        <v>198</v>
      </c>
      <c r="I409" s="14">
        <f t="shared" si="32"/>
        <v>1798.2</v>
      </c>
      <c r="J409" s="14">
        <f t="shared" si="33"/>
        <v>-1800</v>
      </c>
      <c r="K409" s="1">
        <v>0.9</v>
      </c>
      <c r="L409">
        <v>4</v>
      </c>
      <c r="M409" s="2">
        <v>1396</v>
      </c>
      <c r="N409" t="s">
        <v>1034</v>
      </c>
      <c r="O409">
        <f t="shared" si="34"/>
        <v>2</v>
      </c>
      <c r="P409" s="12" t="e">
        <f>HYPERLINK(#REF!,"Link")</f>
        <v>#REF!</v>
      </c>
      <c r="Q409" s="12" t="e">
        <f>HYPERLINK(#REF!,"Link")</f>
        <v>#REF!</v>
      </c>
    </row>
    <row r="410" spans="1:17" x14ac:dyDescent="0.3">
      <c r="A410" t="s">
        <v>1035</v>
      </c>
      <c r="B410" t="s">
        <v>1036</v>
      </c>
      <c r="C410" s="10" t="s">
        <v>3737</v>
      </c>
      <c r="D410" s="10"/>
      <c r="E410" s="14">
        <v>1900</v>
      </c>
      <c r="F410" s="3">
        <v>299</v>
      </c>
      <c r="G410" s="3">
        <f t="shared" si="31"/>
        <v>7600</v>
      </c>
      <c r="H410" s="3">
        <f t="shared" si="30"/>
        <v>1196</v>
      </c>
      <c r="I410" s="14">
        <f t="shared" si="32"/>
        <v>6384</v>
      </c>
      <c r="J410" s="14">
        <f t="shared" si="33"/>
        <v>-6404</v>
      </c>
      <c r="K410" s="1">
        <v>0.84</v>
      </c>
      <c r="L410">
        <v>3.6</v>
      </c>
      <c r="M410" s="2">
        <v>18202</v>
      </c>
      <c r="N410" t="s">
        <v>1037</v>
      </c>
      <c r="O410">
        <f t="shared" si="34"/>
        <v>4</v>
      </c>
      <c r="P410" s="12" t="e">
        <f>HYPERLINK(#REF!,"Link")</f>
        <v>#REF!</v>
      </c>
      <c r="Q410" s="12" t="e">
        <f>HYPERLINK(#REF!,"Link")</f>
        <v>#REF!</v>
      </c>
    </row>
    <row r="411" spans="1:17" x14ac:dyDescent="0.3">
      <c r="A411" t="s">
        <v>1038</v>
      </c>
      <c r="B411" t="s">
        <v>947</v>
      </c>
      <c r="C411" s="9" t="s">
        <v>3729</v>
      </c>
      <c r="D411" s="9" t="s">
        <v>3738</v>
      </c>
      <c r="E411" s="14">
        <v>14999</v>
      </c>
      <c r="F411" s="3">
        <v>10999</v>
      </c>
      <c r="G411" s="3">
        <f t="shared" si="31"/>
        <v>29998</v>
      </c>
      <c r="H411" s="3">
        <f t="shared" si="30"/>
        <v>21998</v>
      </c>
      <c r="I411" s="14">
        <f t="shared" si="32"/>
        <v>8099.4600000000009</v>
      </c>
      <c r="J411" s="14">
        <f t="shared" si="33"/>
        <v>-8000</v>
      </c>
      <c r="K411" s="1">
        <v>0.27</v>
      </c>
      <c r="L411">
        <v>4.0999999999999996</v>
      </c>
      <c r="M411" s="2">
        <v>18998</v>
      </c>
      <c r="N411" t="s">
        <v>948</v>
      </c>
      <c r="O411">
        <f t="shared" si="34"/>
        <v>2</v>
      </c>
      <c r="P411" s="12" t="e">
        <f>HYPERLINK(#REF!,"Link")</f>
        <v>#REF!</v>
      </c>
      <c r="Q411" s="12" t="e">
        <f>HYPERLINK(#REF!,"Link")</f>
        <v>#REF!</v>
      </c>
    </row>
    <row r="412" spans="1:17" x14ac:dyDescent="0.3">
      <c r="A412" t="s">
        <v>1039</v>
      </c>
      <c r="B412" t="s">
        <v>1040</v>
      </c>
      <c r="C412" s="10" t="s">
        <v>3739</v>
      </c>
      <c r="D412" s="10" t="s">
        <v>3740</v>
      </c>
      <c r="E412" s="14">
        <v>38999</v>
      </c>
      <c r="F412" s="3">
        <v>34999</v>
      </c>
      <c r="G412" s="3">
        <f t="shared" si="31"/>
        <v>116997</v>
      </c>
      <c r="H412" s="3">
        <f t="shared" si="30"/>
        <v>104997</v>
      </c>
      <c r="I412" s="14">
        <f t="shared" si="32"/>
        <v>11699.7</v>
      </c>
      <c r="J412" s="14">
        <f t="shared" si="33"/>
        <v>-12000</v>
      </c>
      <c r="K412" s="1">
        <v>0.1</v>
      </c>
      <c r="L412">
        <v>4.2</v>
      </c>
      <c r="M412" s="2">
        <v>11029</v>
      </c>
      <c r="N412" t="s">
        <v>1041</v>
      </c>
      <c r="O412">
        <f t="shared" si="34"/>
        <v>3</v>
      </c>
      <c r="P412" s="12" t="e">
        <f>HYPERLINK(#REF!,"Link")</f>
        <v>#REF!</v>
      </c>
      <c r="Q412" s="12" t="e">
        <f>HYPERLINK(#REF!,"Link")</f>
        <v>#REF!</v>
      </c>
    </row>
    <row r="413" spans="1:17" x14ac:dyDescent="0.3">
      <c r="A413" t="s">
        <v>1042</v>
      </c>
      <c r="B413" t="s">
        <v>942</v>
      </c>
      <c r="C413" s="9" t="s">
        <v>3725</v>
      </c>
      <c r="D413" s="9" t="s">
        <v>3726</v>
      </c>
      <c r="E413" s="14">
        <v>24999</v>
      </c>
      <c r="F413" s="3">
        <v>16999</v>
      </c>
      <c r="G413" s="3">
        <f t="shared" si="31"/>
        <v>49998</v>
      </c>
      <c r="H413" s="3">
        <f t="shared" si="30"/>
        <v>33998</v>
      </c>
      <c r="I413" s="14">
        <f t="shared" si="32"/>
        <v>15999.36</v>
      </c>
      <c r="J413" s="14">
        <f t="shared" si="33"/>
        <v>-16000</v>
      </c>
      <c r="K413" s="1">
        <v>0.32</v>
      </c>
      <c r="L413">
        <v>4.0999999999999996</v>
      </c>
      <c r="M413" s="2">
        <v>22318</v>
      </c>
      <c r="N413" t="s">
        <v>943</v>
      </c>
      <c r="O413">
        <f t="shared" si="34"/>
        <v>2</v>
      </c>
      <c r="P413" s="12" t="e">
        <f>HYPERLINK(#REF!,"Link")</f>
        <v>#REF!</v>
      </c>
      <c r="Q413" s="12" t="e">
        <f>HYPERLINK(#REF!,"Link")</f>
        <v>#REF!</v>
      </c>
    </row>
    <row r="414" spans="1:17" x14ac:dyDescent="0.3">
      <c r="A414" t="s">
        <v>1043</v>
      </c>
      <c r="B414" t="s">
        <v>1044</v>
      </c>
      <c r="C414" s="10" t="s">
        <v>3729</v>
      </c>
      <c r="D414" s="10" t="s">
        <v>3726</v>
      </c>
      <c r="E414" s="14">
        <v>499</v>
      </c>
      <c r="F414" s="3">
        <v>199</v>
      </c>
      <c r="G414" s="3">
        <f t="shared" si="31"/>
        <v>499</v>
      </c>
      <c r="H414" s="3">
        <f t="shared" si="30"/>
        <v>199</v>
      </c>
      <c r="I414" s="14">
        <f t="shared" si="32"/>
        <v>299.39999999999998</v>
      </c>
      <c r="J414" s="14">
        <f t="shared" si="33"/>
        <v>-300</v>
      </c>
      <c r="K414" s="1">
        <v>0.6</v>
      </c>
      <c r="L414">
        <v>4.0999999999999996</v>
      </c>
      <c r="M414" s="2">
        <v>1786</v>
      </c>
      <c r="N414" t="s">
        <v>1045</v>
      </c>
      <c r="O414">
        <f t="shared" si="34"/>
        <v>1</v>
      </c>
      <c r="P414" s="12" t="e">
        <f>HYPERLINK(#REF!,"Link")</f>
        <v>#REF!</v>
      </c>
      <c r="Q414" s="12" t="e">
        <f>HYPERLINK(#REF!,"Link")</f>
        <v>#REF!</v>
      </c>
    </row>
    <row r="415" spans="1:17" x14ac:dyDescent="0.3">
      <c r="A415" t="s">
        <v>1046</v>
      </c>
      <c r="B415" t="s">
        <v>1047</v>
      </c>
      <c r="C415" s="9" t="s">
        <v>3741</v>
      </c>
      <c r="D415" s="9" t="s">
        <v>3742</v>
      </c>
      <c r="E415" s="14">
        <v>1599</v>
      </c>
      <c r="F415" s="3">
        <v>999</v>
      </c>
      <c r="G415" s="3">
        <f t="shared" si="31"/>
        <v>3198</v>
      </c>
      <c r="H415" s="3">
        <f t="shared" si="30"/>
        <v>1998</v>
      </c>
      <c r="I415" s="14">
        <f t="shared" si="32"/>
        <v>1215.24</v>
      </c>
      <c r="J415" s="14">
        <f t="shared" si="33"/>
        <v>-1200</v>
      </c>
      <c r="K415" s="1">
        <v>0.38</v>
      </c>
      <c r="L415">
        <v>4</v>
      </c>
      <c r="M415" s="2">
        <v>7222</v>
      </c>
      <c r="N415" t="s">
        <v>1048</v>
      </c>
      <c r="O415">
        <f t="shared" si="34"/>
        <v>2</v>
      </c>
      <c r="P415" s="12" t="e">
        <f>HYPERLINK(#REF!,"Link")</f>
        <v>#REF!</v>
      </c>
      <c r="Q415" s="12" t="e">
        <f>HYPERLINK(#REF!,"Link")</f>
        <v>#REF!</v>
      </c>
    </row>
    <row r="416" spans="1:17" x14ac:dyDescent="0.3">
      <c r="A416" t="s">
        <v>1049</v>
      </c>
      <c r="B416" t="s">
        <v>898</v>
      </c>
      <c r="C416" s="10" t="s">
        <v>3743</v>
      </c>
      <c r="D416" s="10"/>
      <c r="E416" s="14">
        <v>1599</v>
      </c>
      <c r="F416" s="3">
        <v>1299</v>
      </c>
      <c r="G416" s="3">
        <f t="shared" si="31"/>
        <v>3198</v>
      </c>
      <c r="H416" s="3">
        <f t="shared" si="30"/>
        <v>2598</v>
      </c>
      <c r="I416" s="14">
        <f t="shared" si="32"/>
        <v>607.62</v>
      </c>
      <c r="J416" s="14">
        <f t="shared" si="33"/>
        <v>-600</v>
      </c>
      <c r="K416" s="1">
        <v>0.19</v>
      </c>
      <c r="L416">
        <v>4</v>
      </c>
      <c r="M416" s="2">
        <v>128311</v>
      </c>
      <c r="N416" t="s">
        <v>899</v>
      </c>
      <c r="O416">
        <f t="shared" si="34"/>
        <v>2</v>
      </c>
      <c r="P416" s="12" t="e">
        <f>HYPERLINK(#REF!,"Link")</f>
        <v>#REF!</v>
      </c>
      <c r="Q416" s="12" t="e">
        <f>HYPERLINK(#REF!,"Link")</f>
        <v>#REF!</v>
      </c>
    </row>
    <row r="417" spans="1:17" x14ac:dyDescent="0.3">
      <c r="A417" t="s">
        <v>1050</v>
      </c>
      <c r="B417" t="s">
        <v>1051</v>
      </c>
      <c r="C417" s="9" t="s">
        <v>3744</v>
      </c>
      <c r="D417" s="9" t="s">
        <v>3745</v>
      </c>
      <c r="E417" s="14">
        <v>1800</v>
      </c>
      <c r="F417" s="3">
        <v>599</v>
      </c>
      <c r="G417" s="3">
        <f t="shared" si="31"/>
        <v>7200</v>
      </c>
      <c r="H417" s="3">
        <f t="shared" si="30"/>
        <v>2396</v>
      </c>
      <c r="I417" s="14">
        <f t="shared" si="32"/>
        <v>4824</v>
      </c>
      <c r="J417" s="14">
        <f t="shared" si="33"/>
        <v>-4804</v>
      </c>
      <c r="K417" s="1">
        <v>0.67</v>
      </c>
      <c r="L417">
        <v>3.5</v>
      </c>
      <c r="M417" s="2">
        <v>83996</v>
      </c>
      <c r="N417" t="s">
        <v>1052</v>
      </c>
      <c r="O417">
        <f t="shared" si="34"/>
        <v>4</v>
      </c>
      <c r="P417" s="12" t="e">
        <f>HYPERLINK(#REF!,"Link")</f>
        <v>#REF!</v>
      </c>
      <c r="Q417" s="12" t="e">
        <f>HYPERLINK(#REF!,"Link")</f>
        <v>#REF!</v>
      </c>
    </row>
    <row r="418" spans="1:17" x14ac:dyDescent="0.3">
      <c r="A418" t="s">
        <v>1053</v>
      </c>
      <c r="B418" t="s">
        <v>1054</v>
      </c>
      <c r="C418" s="10" t="s">
        <v>3729</v>
      </c>
      <c r="D418" s="10" t="s">
        <v>3746</v>
      </c>
      <c r="E418" s="14">
        <v>1899</v>
      </c>
      <c r="F418" s="3">
        <v>599</v>
      </c>
      <c r="G418" s="3">
        <f t="shared" si="31"/>
        <v>5697</v>
      </c>
      <c r="H418" s="3">
        <f t="shared" si="30"/>
        <v>1797</v>
      </c>
      <c r="I418" s="14">
        <f t="shared" si="32"/>
        <v>3873.9600000000005</v>
      </c>
      <c r="J418" s="14">
        <f t="shared" si="33"/>
        <v>-3900</v>
      </c>
      <c r="K418" s="1">
        <v>0.68</v>
      </c>
      <c r="L418">
        <v>4.3</v>
      </c>
      <c r="M418" s="2">
        <v>140036</v>
      </c>
      <c r="N418" t="s">
        <v>1013</v>
      </c>
      <c r="O418">
        <f t="shared" si="34"/>
        <v>3</v>
      </c>
      <c r="P418" s="12" t="e">
        <f>HYPERLINK(#REF!,"Link")</f>
        <v>#REF!</v>
      </c>
      <c r="Q418" s="12" t="e">
        <f>HYPERLINK(#REF!,"Link")</f>
        <v>#REF!</v>
      </c>
    </row>
    <row r="419" spans="1:17" x14ac:dyDescent="0.3">
      <c r="A419" t="s">
        <v>1055</v>
      </c>
      <c r="B419" t="s">
        <v>1056</v>
      </c>
      <c r="C419" s="9" t="s">
        <v>3747</v>
      </c>
      <c r="D419" s="9"/>
      <c r="E419" s="14">
        <v>2499</v>
      </c>
      <c r="F419" s="3">
        <v>1799</v>
      </c>
      <c r="G419" s="3">
        <f t="shared" si="31"/>
        <v>7497</v>
      </c>
      <c r="H419" s="3">
        <f t="shared" si="30"/>
        <v>5397</v>
      </c>
      <c r="I419" s="14">
        <f t="shared" si="32"/>
        <v>2099.16</v>
      </c>
      <c r="J419" s="14">
        <f t="shared" si="33"/>
        <v>-2100</v>
      </c>
      <c r="K419" s="1">
        <v>0.28000000000000003</v>
      </c>
      <c r="L419">
        <v>4.0999999999999996</v>
      </c>
      <c r="M419" s="2">
        <v>18678</v>
      </c>
      <c r="N419" t="s">
        <v>1057</v>
      </c>
      <c r="O419">
        <f t="shared" si="34"/>
        <v>3</v>
      </c>
      <c r="P419" s="12" t="e">
        <f>HYPERLINK(#REF!,"Link")</f>
        <v>#REF!</v>
      </c>
      <c r="Q419" s="12" t="e">
        <f>HYPERLINK(#REF!,"Link")</f>
        <v>#REF!</v>
      </c>
    </row>
    <row r="420" spans="1:17" x14ac:dyDescent="0.3">
      <c r="A420" t="s">
        <v>27</v>
      </c>
      <c r="B420" t="s">
        <v>28</v>
      </c>
      <c r="C420" s="10" t="s">
        <v>3748</v>
      </c>
      <c r="D420" s="10" t="s">
        <v>3749</v>
      </c>
      <c r="E420" s="14">
        <v>499</v>
      </c>
      <c r="F420" s="3">
        <v>176.63</v>
      </c>
      <c r="G420" s="3">
        <f t="shared" si="31"/>
        <v>998</v>
      </c>
      <c r="H420" s="3">
        <f t="shared" si="30"/>
        <v>353.26</v>
      </c>
      <c r="I420" s="14">
        <f t="shared" si="32"/>
        <v>648.70000000000005</v>
      </c>
      <c r="J420" s="14">
        <f t="shared" si="33"/>
        <v>-644.74</v>
      </c>
      <c r="K420" s="1">
        <v>0.65</v>
      </c>
      <c r="L420">
        <v>4.0999999999999996</v>
      </c>
      <c r="M420" s="2">
        <v>15189</v>
      </c>
      <c r="N420" t="s">
        <v>29</v>
      </c>
      <c r="O420">
        <f t="shared" si="34"/>
        <v>2</v>
      </c>
      <c r="P420" s="12" t="e">
        <f>HYPERLINK(#REF!,"Link")</f>
        <v>#REF!</v>
      </c>
      <c r="Q420" s="12" t="e">
        <f>HYPERLINK(#REF!,"Link")</f>
        <v>#REF!</v>
      </c>
    </row>
    <row r="421" spans="1:17" x14ac:dyDescent="0.3">
      <c r="A421" t="s">
        <v>1058</v>
      </c>
      <c r="B421" t="s">
        <v>947</v>
      </c>
      <c r="C421" s="9" t="s">
        <v>3750</v>
      </c>
      <c r="D421" s="9" t="s">
        <v>3751</v>
      </c>
      <c r="E421" s="14">
        <v>14999</v>
      </c>
      <c r="F421" s="3">
        <v>10999</v>
      </c>
      <c r="G421" s="3">
        <f t="shared" si="31"/>
        <v>29998</v>
      </c>
      <c r="H421" s="3">
        <f t="shared" si="30"/>
        <v>21998</v>
      </c>
      <c r="I421" s="14">
        <f t="shared" si="32"/>
        <v>8099.4600000000009</v>
      </c>
      <c r="J421" s="14">
        <f t="shared" si="33"/>
        <v>-8000</v>
      </c>
      <c r="K421" s="1">
        <v>0.27</v>
      </c>
      <c r="L421">
        <v>4.0999999999999996</v>
      </c>
      <c r="M421" s="2">
        <v>18998</v>
      </c>
      <c r="N421" t="s">
        <v>948</v>
      </c>
      <c r="O421">
        <f t="shared" si="34"/>
        <v>2</v>
      </c>
      <c r="P421" s="12" t="e">
        <f>HYPERLINK(#REF!,"Link")</f>
        <v>#REF!</v>
      </c>
      <c r="Q421" s="12" t="e">
        <f>HYPERLINK(#REF!,"Link")</f>
        <v>#REF!</v>
      </c>
    </row>
    <row r="422" spans="1:17" x14ac:dyDescent="0.3">
      <c r="A422" t="s">
        <v>1059</v>
      </c>
      <c r="B422" t="s">
        <v>1006</v>
      </c>
      <c r="C422" s="10" t="s">
        <v>3752</v>
      </c>
      <c r="D422" s="10" t="s">
        <v>3753</v>
      </c>
      <c r="E422" s="14">
        <v>7990</v>
      </c>
      <c r="F422" s="3">
        <v>2999</v>
      </c>
      <c r="G422" s="3">
        <f t="shared" si="31"/>
        <v>23970</v>
      </c>
      <c r="H422" s="3">
        <f t="shared" si="30"/>
        <v>8997</v>
      </c>
      <c r="I422" s="14">
        <f t="shared" si="32"/>
        <v>14861.400000000001</v>
      </c>
      <c r="J422" s="14">
        <f t="shared" si="33"/>
        <v>-14973</v>
      </c>
      <c r="K422" s="1">
        <v>0.62</v>
      </c>
      <c r="L422">
        <v>4.0999999999999996</v>
      </c>
      <c r="M422" s="2">
        <v>48449</v>
      </c>
      <c r="N422" t="s">
        <v>1060</v>
      </c>
      <c r="O422">
        <f t="shared" si="34"/>
        <v>3</v>
      </c>
      <c r="P422" s="12" t="e">
        <f>HYPERLINK(#REF!,"Link")</f>
        <v>#REF!</v>
      </c>
      <c r="Q422" s="12" t="e">
        <f>HYPERLINK(#REF!,"Link")</f>
        <v>#REF!</v>
      </c>
    </row>
    <row r="423" spans="1:17" x14ac:dyDescent="0.3">
      <c r="A423" t="s">
        <v>1061</v>
      </c>
      <c r="B423" t="s">
        <v>877</v>
      </c>
      <c r="C423" s="9" t="s">
        <v>3750</v>
      </c>
      <c r="D423" s="9" t="s">
        <v>3754</v>
      </c>
      <c r="E423" s="14">
        <v>7990</v>
      </c>
      <c r="F423" s="3">
        <v>1999</v>
      </c>
      <c r="G423" s="3">
        <f t="shared" si="31"/>
        <v>23970</v>
      </c>
      <c r="H423" s="3">
        <f t="shared" si="30"/>
        <v>5997</v>
      </c>
      <c r="I423" s="14">
        <f t="shared" si="32"/>
        <v>17977.5</v>
      </c>
      <c r="J423" s="14">
        <f t="shared" si="33"/>
        <v>-17973</v>
      </c>
      <c r="K423" s="1">
        <v>0.75</v>
      </c>
      <c r="L423">
        <v>3.8</v>
      </c>
      <c r="M423" s="2">
        <v>17831</v>
      </c>
      <c r="N423" t="s">
        <v>878</v>
      </c>
      <c r="O423">
        <f t="shared" si="34"/>
        <v>3</v>
      </c>
      <c r="P423" s="12" t="e">
        <f>HYPERLINK(#REF!,"Link")</f>
        <v>#REF!</v>
      </c>
      <c r="Q423" s="12" t="e">
        <f>HYPERLINK(#REF!,"Link")</f>
        <v>#REF!</v>
      </c>
    </row>
    <row r="424" spans="1:17" x14ac:dyDescent="0.3">
      <c r="A424" t="s">
        <v>30</v>
      </c>
      <c r="B424" t="s">
        <v>31</v>
      </c>
      <c r="C424" s="10" t="s">
        <v>3755</v>
      </c>
      <c r="D424" s="10" t="s">
        <v>3756</v>
      </c>
      <c r="E424" s="14">
        <v>299</v>
      </c>
      <c r="F424" s="3">
        <v>229</v>
      </c>
      <c r="G424" s="3">
        <f t="shared" si="31"/>
        <v>299</v>
      </c>
      <c r="H424" s="3">
        <f t="shared" si="30"/>
        <v>229</v>
      </c>
      <c r="I424" s="14">
        <f t="shared" si="32"/>
        <v>68.77</v>
      </c>
      <c r="J424" s="14">
        <f t="shared" si="33"/>
        <v>-70</v>
      </c>
      <c r="K424" s="1">
        <v>0.23</v>
      </c>
      <c r="L424">
        <v>4.3</v>
      </c>
      <c r="M424" s="2">
        <v>30411</v>
      </c>
      <c r="N424" t="s">
        <v>32</v>
      </c>
      <c r="O424">
        <f t="shared" si="34"/>
        <v>1</v>
      </c>
      <c r="P424" s="12" t="e">
        <f>HYPERLINK(#REF!,"Link")</f>
        <v>#REF!</v>
      </c>
      <c r="Q424" s="12" t="e">
        <f>HYPERLINK(#REF!,"Link")</f>
        <v>#REF!</v>
      </c>
    </row>
    <row r="425" spans="1:17" x14ac:dyDescent="0.3">
      <c r="A425" t="s">
        <v>36</v>
      </c>
      <c r="B425" t="s">
        <v>13</v>
      </c>
      <c r="C425" s="9" t="s">
        <v>3748</v>
      </c>
      <c r="D425" s="9" t="s">
        <v>3749</v>
      </c>
      <c r="E425" s="14">
        <v>299</v>
      </c>
      <c r="F425" s="3">
        <v>199</v>
      </c>
      <c r="G425" s="3">
        <f t="shared" si="31"/>
        <v>897</v>
      </c>
      <c r="H425" s="3">
        <f t="shared" si="30"/>
        <v>597</v>
      </c>
      <c r="I425" s="14">
        <f t="shared" si="32"/>
        <v>296.01</v>
      </c>
      <c r="J425" s="14">
        <f t="shared" si="33"/>
        <v>-300</v>
      </c>
      <c r="K425" s="1">
        <v>0.33</v>
      </c>
      <c r="L425">
        <v>4</v>
      </c>
      <c r="M425" s="2">
        <v>43994</v>
      </c>
      <c r="N425" t="s">
        <v>14</v>
      </c>
      <c r="O425">
        <f t="shared" si="34"/>
        <v>3</v>
      </c>
      <c r="P425" s="12" t="e">
        <f>HYPERLINK(#REF!,"Link")</f>
        <v>#REF!</v>
      </c>
      <c r="Q425" s="12" t="e">
        <f>HYPERLINK(#REF!,"Link")</f>
        <v>#REF!</v>
      </c>
    </row>
    <row r="426" spans="1:17" x14ac:dyDescent="0.3">
      <c r="A426" t="s">
        <v>1062</v>
      </c>
      <c r="B426" t="s">
        <v>1063</v>
      </c>
      <c r="C426" s="10" t="s">
        <v>3748</v>
      </c>
      <c r="D426" s="10" t="s">
        <v>3757</v>
      </c>
      <c r="E426" s="14">
        <v>999</v>
      </c>
      <c r="F426" s="3">
        <v>649</v>
      </c>
      <c r="G426" s="3">
        <f t="shared" si="31"/>
        <v>999</v>
      </c>
      <c r="H426" s="3">
        <f t="shared" si="30"/>
        <v>649</v>
      </c>
      <c r="I426" s="14">
        <f t="shared" si="32"/>
        <v>349.65</v>
      </c>
      <c r="J426" s="14">
        <f t="shared" si="33"/>
        <v>-350</v>
      </c>
      <c r="K426" s="1">
        <v>0.35</v>
      </c>
      <c r="L426">
        <v>4.2</v>
      </c>
      <c r="M426" s="2">
        <v>1315</v>
      </c>
      <c r="N426" t="s">
        <v>1064</v>
      </c>
      <c r="O426">
        <f t="shared" si="34"/>
        <v>1</v>
      </c>
      <c r="P426" s="12" t="e">
        <f>HYPERLINK(#REF!,"Link")</f>
        <v>#REF!</v>
      </c>
      <c r="Q426" s="12" t="e">
        <f>HYPERLINK(#REF!,"Link")</f>
        <v>#REF!</v>
      </c>
    </row>
    <row r="427" spans="1:17" x14ac:dyDescent="0.3">
      <c r="A427" t="s">
        <v>1065</v>
      </c>
      <c r="B427" t="s">
        <v>1018</v>
      </c>
      <c r="C427" s="9" t="s">
        <v>3748</v>
      </c>
      <c r="D427" s="9" t="s">
        <v>3749</v>
      </c>
      <c r="E427" s="14">
        <v>19499</v>
      </c>
      <c r="F427" s="3">
        <v>13999</v>
      </c>
      <c r="G427" s="3">
        <f t="shared" si="31"/>
        <v>38998</v>
      </c>
      <c r="H427" s="3">
        <f t="shared" si="30"/>
        <v>27998</v>
      </c>
      <c r="I427" s="14">
        <f t="shared" si="32"/>
        <v>10919.44</v>
      </c>
      <c r="J427" s="14">
        <f t="shared" si="33"/>
        <v>-11000</v>
      </c>
      <c r="K427" s="1">
        <v>0.28000000000000003</v>
      </c>
      <c r="L427">
        <v>4.0999999999999996</v>
      </c>
      <c r="M427" s="2">
        <v>18998</v>
      </c>
      <c r="N427" t="s">
        <v>948</v>
      </c>
      <c r="O427">
        <f t="shared" si="34"/>
        <v>2</v>
      </c>
      <c r="P427" s="12" t="e">
        <f>HYPERLINK(#REF!,"Link")</f>
        <v>#REF!</v>
      </c>
      <c r="Q427" s="12" t="e">
        <f>HYPERLINK(#REF!,"Link")</f>
        <v>#REF!</v>
      </c>
    </row>
    <row r="428" spans="1:17" x14ac:dyDescent="0.3">
      <c r="A428" t="s">
        <v>1066</v>
      </c>
      <c r="B428" t="s">
        <v>1067</v>
      </c>
      <c r="C428" s="10" t="s">
        <v>3748</v>
      </c>
      <c r="D428" s="10" t="s">
        <v>3758</v>
      </c>
      <c r="E428" s="14">
        <v>299</v>
      </c>
      <c r="F428" s="3">
        <v>119</v>
      </c>
      <c r="G428" s="3">
        <f t="shared" si="31"/>
        <v>897</v>
      </c>
      <c r="H428" s="3">
        <f t="shared" si="30"/>
        <v>357</v>
      </c>
      <c r="I428" s="14">
        <f t="shared" si="32"/>
        <v>538.20000000000005</v>
      </c>
      <c r="J428" s="14">
        <f t="shared" si="33"/>
        <v>-540</v>
      </c>
      <c r="K428" s="1">
        <v>0.6</v>
      </c>
      <c r="L428">
        <v>4.0999999999999996</v>
      </c>
      <c r="M428" s="2">
        <v>5999</v>
      </c>
      <c r="N428" t="s">
        <v>1068</v>
      </c>
      <c r="O428">
        <f t="shared" si="34"/>
        <v>3</v>
      </c>
      <c r="P428" s="12" t="e">
        <f>HYPERLINK(#REF!,"Link")</f>
        <v>#REF!</v>
      </c>
      <c r="Q428" s="12" t="e">
        <f>HYPERLINK(#REF!,"Link")</f>
        <v>#REF!</v>
      </c>
    </row>
    <row r="429" spans="1:17" x14ac:dyDescent="0.3">
      <c r="A429" t="s">
        <v>1069</v>
      </c>
      <c r="B429" t="s">
        <v>1070</v>
      </c>
      <c r="C429" s="9" t="s">
        <v>3748</v>
      </c>
      <c r="D429" s="9" t="s">
        <v>3759</v>
      </c>
      <c r="E429" s="14">
        <v>17999</v>
      </c>
      <c r="F429" s="3">
        <v>12999</v>
      </c>
      <c r="G429" s="3">
        <f t="shared" si="31"/>
        <v>53997</v>
      </c>
      <c r="H429" s="3">
        <f t="shared" si="30"/>
        <v>38997</v>
      </c>
      <c r="I429" s="14">
        <f t="shared" si="32"/>
        <v>15119.16</v>
      </c>
      <c r="J429" s="14">
        <f t="shared" si="33"/>
        <v>-15000</v>
      </c>
      <c r="K429" s="1">
        <v>0.28000000000000003</v>
      </c>
      <c r="L429">
        <v>4.0999999999999996</v>
      </c>
      <c r="M429" s="2">
        <v>50772</v>
      </c>
      <c r="N429" t="s">
        <v>1071</v>
      </c>
      <c r="O429">
        <f t="shared" si="34"/>
        <v>3</v>
      </c>
      <c r="P429" s="12" t="e">
        <f>HYPERLINK(#REF!,"Link")</f>
        <v>#REF!</v>
      </c>
      <c r="Q429" s="12" t="e">
        <f>HYPERLINK(#REF!,"Link")</f>
        <v>#REF!</v>
      </c>
    </row>
    <row r="430" spans="1:17" x14ac:dyDescent="0.3">
      <c r="A430" t="s">
        <v>37</v>
      </c>
      <c r="B430" t="s">
        <v>38</v>
      </c>
      <c r="C430" s="10" t="s">
        <v>3748</v>
      </c>
      <c r="D430" s="10" t="s">
        <v>3759</v>
      </c>
      <c r="E430" s="14">
        <v>339</v>
      </c>
      <c r="F430" s="3">
        <v>154</v>
      </c>
      <c r="G430" s="3">
        <f t="shared" si="31"/>
        <v>1356</v>
      </c>
      <c r="H430" s="3">
        <f t="shared" si="30"/>
        <v>616</v>
      </c>
      <c r="I430" s="14">
        <f t="shared" si="32"/>
        <v>745.80000000000007</v>
      </c>
      <c r="J430" s="14">
        <f t="shared" si="33"/>
        <v>-740</v>
      </c>
      <c r="K430" s="1">
        <v>0.55000000000000004</v>
      </c>
      <c r="L430">
        <v>4.3</v>
      </c>
      <c r="M430" s="2">
        <v>13391</v>
      </c>
      <c r="N430" t="s">
        <v>39</v>
      </c>
      <c r="O430">
        <f t="shared" si="34"/>
        <v>4</v>
      </c>
      <c r="P430" s="12" t="e">
        <f>HYPERLINK(#REF!,"Link")</f>
        <v>#REF!</v>
      </c>
      <c r="Q430" s="12" t="e">
        <f>HYPERLINK(#REF!,"Link")</f>
        <v>#REF!</v>
      </c>
    </row>
    <row r="431" spans="1:17" x14ac:dyDescent="0.3">
      <c r="A431" t="s">
        <v>1072</v>
      </c>
      <c r="B431" t="s">
        <v>992</v>
      </c>
      <c r="C431" s="9" t="s">
        <v>3748</v>
      </c>
      <c r="D431" s="9" t="s">
        <v>3760</v>
      </c>
      <c r="E431" s="14">
        <v>26999</v>
      </c>
      <c r="F431" s="3">
        <v>20999</v>
      </c>
      <c r="G431" s="3">
        <f t="shared" si="31"/>
        <v>80997</v>
      </c>
      <c r="H431" s="3">
        <f t="shared" si="30"/>
        <v>62997</v>
      </c>
      <c r="I431" s="14">
        <f t="shared" si="32"/>
        <v>17819.34</v>
      </c>
      <c r="J431" s="14">
        <f t="shared" si="33"/>
        <v>-18000</v>
      </c>
      <c r="K431" s="1">
        <v>0.22</v>
      </c>
      <c r="L431">
        <v>3.9</v>
      </c>
      <c r="M431" s="2">
        <v>25824</v>
      </c>
      <c r="N431" t="s">
        <v>993</v>
      </c>
      <c r="O431">
        <f t="shared" si="34"/>
        <v>3</v>
      </c>
      <c r="P431" s="12" t="e">
        <f>HYPERLINK(#REF!,"Link")</f>
        <v>#REF!</v>
      </c>
      <c r="Q431" s="12" t="e">
        <f>HYPERLINK(#REF!,"Link")</f>
        <v>#REF!</v>
      </c>
    </row>
    <row r="432" spans="1:17" x14ac:dyDescent="0.3">
      <c r="A432" t="s">
        <v>1073</v>
      </c>
      <c r="B432" t="s">
        <v>1074</v>
      </c>
      <c r="C432" s="10" t="s">
        <v>3725</v>
      </c>
      <c r="D432" s="10" t="s">
        <v>3761</v>
      </c>
      <c r="E432" s="14">
        <v>649</v>
      </c>
      <c r="F432" s="3">
        <v>249</v>
      </c>
      <c r="G432" s="3">
        <f t="shared" si="31"/>
        <v>649</v>
      </c>
      <c r="H432" s="3">
        <f t="shared" si="30"/>
        <v>249</v>
      </c>
      <c r="I432" s="14">
        <f t="shared" si="32"/>
        <v>402.38</v>
      </c>
      <c r="J432" s="14">
        <f t="shared" si="33"/>
        <v>-400</v>
      </c>
      <c r="K432" s="1">
        <v>0.62</v>
      </c>
      <c r="L432">
        <v>4</v>
      </c>
      <c r="M432" s="2">
        <v>14404</v>
      </c>
      <c r="N432" t="s">
        <v>1075</v>
      </c>
      <c r="O432">
        <f t="shared" si="34"/>
        <v>1</v>
      </c>
      <c r="P432" s="12" t="e">
        <f>HYPERLINK(#REF!,"Link")</f>
        <v>#REF!</v>
      </c>
      <c r="Q432" s="12" t="e">
        <f>HYPERLINK(#REF!,"Link")</f>
        <v>#REF!</v>
      </c>
    </row>
    <row r="433" spans="1:17" x14ac:dyDescent="0.3">
      <c r="A433" t="s">
        <v>1076</v>
      </c>
      <c r="B433" t="s">
        <v>1077</v>
      </c>
      <c r="C433" s="9" t="s">
        <v>3748</v>
      </c>
      <c r="D433" s="9" t="s">
        <v>3762</v>
      </c>
      <c r="E433" s="14">
        <v>171</v>
      </c>
      <c r="F433" s="3">
        <v>99</v>
      </c>
      <c r="G433" s="3">
        <f t="shared" si="31"/>
        <v>684</v>
      </c>
      <c r="H433" s="3">
        <f t="shared" si="30"/>
        <v>396</v>
      </c>
      <c r="I433" s="14">
        <f t="shared" si="32"/>
        <v>287.27999999999997</v>
      </c>
      <c r="J433" s="14">
        <f t="shared" si="33"/>
        <v>-288</v>
      </c>
      <c r="K433" s="1">
        <v>0.42</v>
      </c>
      <c r="L433">
        <v>4.5</v>
      </c>
      <c r="M433" s="2">
        <v>11339</v>
      </c>
      <c r="N433" t="s">
        <v>1078</v>
      </c>
      <c r="O433">
        <f t="shared" si="34"/>
        <v>4</v>
      </c>
      <c r="P433" s="12" t="e">
        <f>HYPERLINK(#REF!,"Link")</f>
        <v>#REF!</v>
      </c>
      <c r="Q433" s="12" t="e">
        <f>HYPERLINK(#REF!,"Link")</f>
        <v>#REF!</v>
      </c>
    </row>
    <row r="434" spans="1:17" x14ac:dyDescent="0.3">
      <c r="A434" t="s">
        <v>1079</v>
      </c>
      <c r="B434" t="s">
        <v>1080</v>
      </c>
      <c r="C434" s="10" t="s">
        <v>3748</v>
      </c>
      <c r="D434" s="10" t="s">
        <v>3763</v>
      </c>
      <c r="E434" s="14">
        <v>1999</v>
      </c>
      <c r="F434" s="3">
        <v>489</v>
      </c>
      <c r="G434" s="3">
        <f t="shared" si="31"/>
        <v>5997</v>
      </c>
      <c r="H434" s="3">
        <f t="shared" si="30"/>
        <v>1467</v>
      </c>
      <c r="I434" s="14">
        <f t="shared" si="32"/>
        <v>4557.72</v>
      </c>
      <c r="J434" s="14">
        <f t="shared" si="33"/>
        <v>-4530</v>
      </c>
      <c r="K434" s="1">
        <v>0.76</v>
      </c>
      <c r="L434">
        <v>4</v>
      </c>
      <c r="M434" s="2">
        <v>3626</v>
      </c>
      <c r="N434" t="s">
        <v>1081</v>
      </c>
      <c r="O434">
        <f t="shared" si="34"/>
        <v>3</v>
      </c>
      <c r="P434" s="12" t="e">
        <f>HYPERLINK(#REF!,"Link")</f>
        <v>#REF!</v>
      </c>
      <c r="Q434" s="12" t="e">
        <f>HYPERLINK(#REF!,"Link")</f>
        <v>#REF!</v>
      </c>
    </row>
    <row r="435" spans="1:17" x14ac:dyDescent="0.3">
      <c r="A435" t="s">
        <v>1082</v>
      </c>
      <c r="B435" t="s">
        <v>1083</v>
      </c>
      <c r="C435" s="9" t="s">
        <v>3748</v>
      </c>
      <c r="D435" s="9" t="s">
        <v>3765</v>
      </c>
      <c r="E435" s="14">
        <v>1600</v>
      </c>
      <c r="F435" s="3">
        <v>369</v>
      </c>
      <c r="G435" s="3">
        <f t="shared" si="31"/>
        <v>1600</v>
      </c>
      <c r="H435" s="3">
        <f t="shared" si="30"/>
        <v>369</v>
      </c>
      <c r="I435" s="14">
        <f t="shared" si="32"/>
        <v>1232</v>
      </c>
      <c r="J435" s="14">
        <f t="shared" si="33"/>
        <v>-1231</v>
      </c>
      <c r="K435" s="1">
        <v>0.77</v>
      </c>
      <c r="L435">
        <v>4</v>
      </c>
      <c r="M435" s="2">
        <v>32625</v>
      </c>
      <c r="N435" t="s">
        <v>1084</v>
      </c>
      <c r="O435">
        <f t="shared" si="34"/>
        <v>1</v>
      </c>
      <c r="P435" s="12" t="e">
        <f>HYPERLINK(#REF!,"Link")</f>
        <v>#REF!</v>
      </c>
      <c r="Q435" s="12" t="e">
        <f>HYPERLINK(#REF!,"Link")</f>
        <v>#REF!</v>
      </c>
    </row>
    <row r="436" spans="1:17" x14ac:dyDescent="0.3">
      <c r="A436" t="s">
        <v>1085</v>
      </c>
      <c r="B436" t="s">
        <v>1021</v>
      </c>
      <c r="C436" s="10" t="s">
        <v>3748</v>
      </c>
      <c r="D436" s="10" t="s">
        <v>3736</v>
      </c>
      <c r="E436" s="14">
        <v>20999</v>
      </c>
      <c r="F436" s="3">
        <v>15499</v>
      </c>
      <c r="G436" s="3">
        <f t="shared" si="31"/>
        <v>41998</v>
      </c>
      <c r="H436" s="3">
        <f t="shared" si="30"/>
        <v>30998</v>
      </c>
      <c r="I436" s="14">
        <f t="shared" si="32"/>
        <v>10919.48</v>
      </c>
      <c r="J436" s="14">
        <f t="shared" si="33"/>
        <v>-11000</v>
      </c>
      <c r="K436" s="1">
        <v>0.26</v>
      </c>
      <c r="L436">
        <v>4.0999999999999996</v>
      </c>
      <c r="M436" s="2">
        <v>19252</v>
      </c>
      <c r="N436" t="s">
        <v>975</v>
      </c>
      <c r="O436">
        <f t="shared" si="34"/>
        <v>2</v>
      </c>
      <c r="P436" s="12" t="e">
        <f>HYPERLINK(#REF!,"Link")</f>
        <v>#REF!</v>
      </c>
      <c r="Q436" s="12" t="e">
        <f>HYPERLINK(#REF!,"Link")</f>
        <v>#REF!</v>
      </c>
    </row>
    <row r="437" spans="1:17" x14ac:dyDescent="0.3">
      <c r="A437" t="s">
        <v>1086</v>
      </c>
      <c r="B437" t="s">
        <v>974</v>
      </c>
      <c r="C437" s="9" t="s">
        <v>3748</v>
      </c>
      <c r="D437" s="9" t="s">
        <v>3766</v>
      </c>
      <c r="E437" s="14">
        <v>18999</v>
      </c>
      <c r="F437" s="3">
        <v>15499</v>
      </c>
      <c r="G437" s="3">
        <f t="shared" si="31"/>
        <v>37998</v>
      </c>
      <c r="H437" s="3">
        <f t="shared" si="30"/>
        <v>30998</v>
      </c>
      <c r="I437" s="14">
        <f t="shared" si="32"/>
        <v>6839.6399999999994</v>
      </c>
      <c r="J437" s="14">
        <f t="shared" si="33"/>
        <v>-7000</v>
      </c>
      <c r="K437" s="1">
        <v>0.18</v>
      </c>
      <c r="L437">
        <v>4.0999999999999996</v>
      </c>
      <c r="M437" s="2">
        <v>19252</v>
      </c>
      <c r="N437" t="s">
        <v>975</v>
      </c>
      <c r="O437">
        <f t="shared" si="34"/>
        <v>2</v>
      </c>
      <c r="P437" s="12" t="e">
        <f>HYPERLINK(#REF!,"Link")</f>
        <v>#REF!</v>
      </c>
      <c r="Q437" s="12" t="e">
        <f>HYPERLINK(#REF!,"Link")</f>
        <v>#REF!</v>
      </c>
    </row>
    <row r="438" spans="1:17" x14ac:dyDescent="0.3">
      <c r="A438" t="s">
        <v>1087</v>
      </c>
      <c r="B438" t="s">
        <v>992</v>
      </c>
      <c r="C438" s="10" t="s">
        <v>3748</v>
      </c>
      <c r="D438" s="10" t="s">
        <v>3736</v>
      </c>
      <c r="E438" s="14">
        <v>28999</v>
      </c>
      <c r="F438" s="3">
        <v>22999</v>
      </c>
      <c r="G438" s="3">
        <f t="shared" si="31"/>
        <v>86997</v>
      </c>
      <c r="H438" s="3">
        <f t="shared" si="30"/>
        <v>68997</v>
      </c>
      <c r="I438" s="14">
        <f t="shared" si="32"/>
        <v>18269.37</v>
      </c>
      <c r="J438" s="14">
        <f t="shared" si="33"/>
        <v>-18000</v>
      </c>
      <c r="K438" s="1">
        <v>0.21</v>
      </c>
      <c r="L438">
        <v>3.9</v>
      </c>
      <c r="M438" s="2">
        <v>25824</v>
      </c>
      <c r="N438" t="s">
        <v>993</v>
      </c>
      <c r="O438">
        <f t="shared" si="34"/>
        <v>3</v>
      </c>
      <c r="P438" s="12" t="e">
        <f>HYPERLINK(#REF!,"Link")</f>
        <v>#REF!</v>
      </c>
      <c r="Q438" s="12" t="e">
        <f>HYPERLINK(#REF!,"Link")</f>
        <v>#REF!</v>
      </c>
    </row>
    <row r="439" spans="1:17" x14ac:dyDescent="0.3">
      <c r="A439" t="s">
        <v>1088</v>
      </c>
      <c r="B439" t="s">
        <v>1089</v>
      </c>
      <c r="C439" s="9" t="s">
        <v>3755</v>
      </c>
      <c r="D439" s="9" t="s">
        <v>3767</v>
      </c>
      <c r="E439" s="14">
        <v>1490</v>
      </c>
      <c r="F439" s="3">
        <v>599</v>
      </c>
      <c r="G439" s="3">
        <f t="shared" si="31"/>
        <v>8940</v>
      </c>
      <c r="H439" s="3">
        <f t="shared" si="30"/>
        <v>3594</v>
      </c>
      <c r="I439" s="14">
        <f t="shared" si="32"/>
        <v>5364</v>
      </c>
      <c r="J439" s="14">
        <f t="shared" si="33"/>
        <v>-5346</v>
      </c>
      <c r="K439" s="1">
        <v>0.6</v>
      </c>
      <c r="L439">
        <v>4.0999999999999996</v>
      </c>
      <c r="M439" s="2">
        <v>161679</v>
      </c>
      <c r="N439" t="s">
        <v>1090</v>
      </c>
      <c r="O439">
        <f t="shared" si="34"/>
        <v>6</v>
      </c>
      <c r="P439" s="12" t="e">
        <f>HYPERLINK(#REF!,"Link")</f>
        <v>#REF!</v>
      </c>
      <c r="Q439" s="12" t="e">
        <f>HYPERLINK(#REF!,"Link")</f>
        <v>#REF!</v>
      </c>
    </row>
    <row r="440" spans="1:17" x14ac:dyDescent="0.3">
      <c r="A440" t="s">
        <v>1091</v>
      </c>
      <c r="B440" t="s">
        <v>1092</v>
      </c>
      <c r="C440" s="10" t="s">
        <v>3768</v>
      </c>
      <c r="D440" s="10" t="s">
        <v>3769</v>
      </c>
      <c r="E440" s="14">
        <v>699</v>
      </c>
      <c r="F440" s="3">
        <v>134</v>
      </c>
      <c r="G440" s="3">
        <f t="shared" si="31"/>
        <v>2097</v>
      </c>
      <c r="H440" s="3">
        <f t="shared" si="30"/>
        <v>402</v>
      </c>
      <c r="I440" s="14">
        <f t="shared" si="32"/>
        <v>1698.5700000000002</v>
      </c>
      <c r="J440" s="14">
        <f t="shared" si="33"/>
        <v>-1695</v>
      </c>
      <c r="K440" s="1">
        <v>0.81</v>
      </c>
      <c r="L440">
        <v>4.0999999999999996</v>
      </c>
      <c r="M440" s="2">
        <v>16685</v>
      </c>
      <c r="N440" t="s">
        <v>1093</v>
      </c>
      <c r="O440">
        <f t="shared" si="34"/>
        <v>3</v>
      </c>
      <c r="P440" s="12" t="e">
        <f>HYPERLINK(#REF!,"Link")</f>
        <v>#REF!</v>
      </c>
      <c r="Q440" s="12" t="e">
        <f>HYPERLINK(#REF!,"Link")</f>
        <v>#REF!</v>
      </c>
    </row>
    <row r="441" spans="1:17" x14ac:dyDescent="0.3">
      <c r="A441" t="s">
        <v>1094</v>
      </c>
      <c r="B441" t="s">
        <v>1095</v>
      </c>
      <c r="C441" s="9" t="s">
        <v>3738</v>
      </c>
      <c r="D441" s="9"/>
      <c r="E441" s="14">
        <v>7999</v>
      </c>
      <c r="F441" s="3">
        <v>7499</v>
      </c>
      <c r="G441" s="3">
        <f t="shared" si="31"/>
        <v>15998</v>
      </c>
      <c r="H441" s="3">
        <f t="shared" si="30"/>
        <v>14998</v>
      </c>
      <c r="I441" s="14">
        <f t="shared" si="32"/>
        <v>959.88</v>
      </c>
      <c r="J441" s="14">
        <f t="shared" si="33"/>
        <v>-1000</v>
      </c>
      <c r="K441" s="1">
        <v>0.06</v>
      </c>
      <c r="L441">
        <v>4</v>
      </c>
      <c r="M441" s="2">
        <v>30907</v>
      </c>
      <c r="N441" t="s">
        <v>1096</v>
      </c>
      <c r="O441">
        <f t="shared" si="34"/>
        <v>2</v>
      </c>
      <c r="P441" s="12" t="e">
        <f>HYPERLINK(#REF!,"Link")</f>
        <v>#REF!</v>
      </c>
      <c r="Q441" s="12" t="e">
        <f>HYPERLINK(#REF!,"Link")</f>
        <v>#REF!</v>
      </c>
    </row>
    <row r="442" spans="1:17" x14ac:dyDescent="0.3">
      <c r="A442" t="s">
        <v>1097</v>
      </c>
      <c r="B442" t="s">
        <v>1098</v>
      </c>
      <c r="C442" s="10" t="s">
        <v>3748</v>
      </c>
      <c r="D442" s="10" t="s">
        <v>3762</v>
      </c>
      <c r="E442" s="14">
        <v>2199</v>
      </c>
      <c r="F442" s="3">
        <v>1149</v>
      </c>
      <c r="G442" s="3">
        <f t="shared" si="31"/>
        <v>4398</v>
      </c>
      <c r="H442" s="3">
        <f t="shared" si="30"/>
        <v>2298</v>
      </c>
      <c r="I442" s="14">
        <f t="shared" si="32"/>
        <v>2111.04</v>
      </c>
      <c r="J442" s="14">
        <f t="shared" si="33"/>
        <v>-2100</v>
      </c>
      <c r="K442" s="1">
        <v>0.48</v>
      </c>
      <c r="L442">
        <v>4.3</v>
      </c>
      <c r="M442" s="2">
        <v>178912</v>
      </c>
      <c r="N442" t="s">
        <v>881</v>
      </c>
      <c r="O442">
        <f t="shared" si="34"/>
        <v>2</v>
      </c>
      <c r="P442" s="12" t="e">
        <f>HYPERLINK(#REF!,"Link")</f>
        <v>#REF!</v>
      </c>
      <c r="Q442" s="12" t="e">
        <f>HYPERLINK(#REF!,"Link")</f>
        <v>#REF!</v>
      </c>
    </row>
    <row r="443" spans="1:17" x14ac:dyDescent="0.3">
      <c r="A443" t="s">
        <v>1099</v>
      </c>
      <c r="B443" t="s">
        <v>1100</v>
      </c>
      <c r="C443" s="9" t="s">
        <v>3748</v>
      </c>
      <c r="D443" s="9" t="s">
        <v>3736</v>
      </c>
      <c r="E443" s="14">
        <v>1699</v>
      </c>
      <c r="F443" s="3">
        <v>1324</v>
      </c>
      <c r="G443" s="3">
        <f t="shared" si="31"/>
        <v>3398</v>
      </c>
      <c r="H443" s="3">
        <f t="shared" si="30"/>
        <v>2648</v>
      </c>
      <c r="I443" s="14">
        <f t="shared" si="32"/>
        <v>747.56000000000006</v>
      </c>
      <c r="J443" s="14">
        <f t="shared" si="33"/>
        <v>-750</v>
      </c>
      <c r="K443" s="1">
        <v>0.22</v>
      </c>
      <c r="L443">
        <v>4</v>
      </c>
      <c r="M443" s="2">
        <v>128311</v>
      </c>
      <c r="N443" t="s">
        <v>899</v>
      </c>
      <c r="O443">
        <f t="shared" si="34"/>
        <v>2</v>
      </c>
      <c r="P443" s="12" t="e">
        <f>HYPERLINK(#REF!,"Link")</f>
        <v>#REF!</v>
      </c>
      <c r="Q443" s="12" t="e">
        <f>HYPERLINK(#REF!,"Link")</f>
        <v>#REF!</v>
      </c>
    </row>
    <row r="444" spans="1:17" x14ac:dyDescent="0.3">
      <c r="A444" t="s">
        <v>1101</v>
      </c>
      <c r="B444" t="s">
        <v>1021</v>
      </c>
      <c r="C444" s="10" t="s">
        <v>3770</v>
      </c>
      <c r="D444" s="10"/>
      <c r="E444" s="14">
        <v>19999</v>
      </c>
      <c r="F444" s="3">
        <v>13999</v>
      </c>
      <c r="G444" s="3">
        <f t="shared" si="31"/>
        <v>39998</v>
      </c>
      <c r="H444" s="3">
        <f t="shared" si="30"/>
        <v>27998</v>
      </c>
      <c r="I444" s="14">
        <f t="shared" si="32"/>
        <v>11999.4</v>
      </c>
      <c r="J444" s="14">
        <f t="shared" si="33"/>
        <v>-12000</v>
      </c>
      <c r="K444" s="1">
        <v>0.3</v>
      </c>
      <c r="L444">
        <v>4.0999999999999996</v>
      </c>
      <c r="M444" s="2">
        <v>19252</v>
      </c>
      <c r="N444" t="s">
        <v>975</v>
      </c>
      <c r="O444">
        <f t="shared" si="34"/>
        <v>2</v>
      </c>
      <c r="P444" s="12" t="e">
        <f>HYPERLINK(#REF!,"Link")</f>
        <v>#REF!</v>
      </c>
      <c r="Q444" s="12" t="e">
        <f>HYPERLINK(#REF!,"Link")</f>
        <v>#REF!</v>
      </c>
    </row>
    <row r="445" spans="1:17" x14ac:dyDescent="0.3">
      <c r="A445" t="s">
        <v>40</v>
      </c>
      <c r="B445" t="s">
        <v>41</v>
      </c>
      <c r="C445" s="9" t="s">
        <v>3771</v>
      </c>
      <c r="D445" s="9" t="s">
        <v>3772</v>
      </c>
      <c r="E445" s="14">
        <v>799</v>
      </c>
      <c r="F445" s="3">
        <v>299</v>
      </c>
      <c r="G445" s="3">
        <f t="shared" si="31"/>
        <v>3196</v>
      </c>
      <c r="H445" s="3">
        <f t="shared" si="30"/>
        <v>1196</v>
      </c>
      <c r="I445" s="14">
        <f t="shared" si="32"/>
        <v>2013.48</v>
      </c>
      <c r="J445" s="14">
        <f t="shared" si="33"/>
        <v>-2000</v>
      </c>
      <c r="K445" s="1">
        <v>0.63</v>
      </c>
      <c r="L445">
        <v>4.2</v>
      </c>
      <c r="M445" s="2">
        <v>94364</v>
      </c>
      <c r="N445" t="s">
        <v>20</v>
      </c>
      <c r="O445">
        <f t="shared" si="34"/>
        <v>4</v>
      </c>
      <c r="P445" s="12" t="e">
        <f>HYPERLINK(#REF!,"Link")</f>
        <v>#REF!</v>
      </c>
      <c r="Q445" s="12" t="e">
        <f>HYPERLINK(#REF!,"Link")</f>
        <v>#REF!</v>
      </c>
    </row>
    <row r="446" spans="1:17" x14ac:dyDescent="0.3">
      <c r="A446" t="s">
        <v>1102</v>
      </c>
      <c r="B446" t="s">
        <v>1047</v>
      </c>
      <c r="C446" s="10" t="s">
        <v>3771</v>
      </c>
      <c r="D446" s="10" t="s">
        <v>3773</v>
      </c>
      <c r="E446" s="14">
        <v>1599</v>
      </c>
      <c r="F446" s="3">
        <v>999</v>
      </c>
      <c r="G446" s="3">
        <f t="shared" si="31"/>
        <v>3198</v>
      </c>
      <c r="H446" s="3">
        <f t="shared" si="30"/>
        <v>1998</v>
      </c>
      <c r="I446" s="14">
        <f t="shared" si="32"/>
        <v>1215.24</v>
      </c>
      <c r="J446" s="14">
        <f t="shared" si="33"/>
        <v>-1200</v>
      </c>
      <c r="K446" s="1">
        <v>0.38</v>
      </c>
      <c r="L446">
        <v>4</v>
      </c>
      <c r="M446" s="2">
        <v>7222</v>
      </c>
      <c r="N446" t="s">
        <v>1048</v>
      </c>
      <c r="O446">
        <f t="shared" si="34"/>
        <v>2</v>
      </c>
      <c r="P446" s="12" t="e">
        <f>HYPERLINK(#REF!,"Link")</f>
        <v>#REF!</v>
      </c>
      <c r="Q446" s="12" t="e">
        <f>HYPERLINK(#REF!,"Link")</f>
        <v>#REF!</v>
      </c>
    </row>
    <row r="447" spans="1:17" x14ac:dyDescent="0.3">
      <c r="A447" t="s">
        <v>1103</v>
      </c>
      <c r="B447" t="s">
        <v>947</v>
      </c>
      <c r="C447" s="9" t="s">
        <v>3768</v>
      </c>
      <c r="D447" s="9" t="s">
        <v>3774</v>
      </c>
      <c r="E447" s="14">
        <v>17999</v>
      </c>
      <c r="F447" s="3">
        <v>12999</v>
      </c>
      <c r="G447" s="3">
        <f t="shared" si="31"/>
        <v>35998</v>
      </c>
      <c r="H447" s="3">
        <f t="shared" si="30"/>
        <v>25998</v>
      </c>
      <c r="I447" s="14">
        <f t="shared" si="32"/>
        <v>10079.44</v>
      </c>
      <c r="J447" s="14">
        <f t="shared" si="33"/>
        <v>-10000</v>
      </c>
      <c r="K447" s="1">
        <v>0.28000000000000003</v>
      </c>
      <c r="L447">
        <v>4.0999999999999996</v>
      </c>
      <c r="M447" s="2">
        <v>18998</v>
      </c>
      <c r="N447" t="s">
        <v>948</v>
      </c>
      <c r="O447">
        <f t="shared" si="34"/>
        <v>2</v>
      </c>
      <c r="P447" s="12" t="e">
        <f>HYPERLINK(#REF!,"Link")</f>
        <v>#REF!</v>
      </c>
      <c r="Q447" s="12" t="e">
        <f>HYPERLINK(#REF!,"Link")</f>
        <v>#REF!</v>
      </c>
    </row>
    <row r="448" spans="1:17" x14ac:dyDescent="0.3">
      <c r="A448" t="s">
        <v>1104</v>
      </c>
      <c r="B448" t="s">
        <v>989</v>
      </c>
      <c r="C448" s="10" t="s">
        <v>3768</v>
      </c>
      <c r="D448" s="10" t="s">
        <v>3775</v>
      </c>
      <c r="E448" s="14">
        <v>20990</v>
      </c>
      <c r="F448" s="3">
        <v>15490</v>
      </c>
      <c r="G448" s="3">
        <f t="shared" si="31"/>
        <v>62970</v>
      </c>
      <c r="H448" s="3">
        <f t="shared" si="30"/>
        <v>46470</v>
      </c>
      <c r="I448" s="14">
        <f t="shared" si="32"/>
        <v>16372.2</v>
      </c>
      <c r="J448" s="14">
        <f t="shared" si="33"/>
        <v>-16500</v>
      </c>
      <c r="K448" s="1">
        <v>0.26</v>
      </c>
      <c r="L448">
        <v>4.2</v>
      </c>
      <c r="M448" s="2">
        <v>32916</v>
      </c>
      <c r="N448" t="s">
        <v>990</v>
      </c>
      <c r="O448">
        <f t="shared" si="34"/>
        <v>3</v>
      </c>
      <c r="P448" s="12" t="e">
        <f>HYPERLINK(#REF!,"Link")</f>
        <v>#REF!</v>
      </c>
      <c r="Q448" s="12" t="e">
        <f>HYPERLINK(#REF!,"Link")</f>
        <v>#REF!</v>
      </c>
    </row>
    <row r="449" spans="1:17" x14ac:dyDescent="0.3">
      <c r="A449" t="s">
        <v>1105</v>
      </c>
      <c r="B449" t="s">
        <v>1106</v>
      </c>
      <c r="C449" s="9" t="s">
        <v>3771</v>
      </c>
      <c r="D449" s="9" t="s">
        <v>3776</v>
      </c>
      <c r="E449" s="14">
        <v>2899</v>
      </c>
      <c r="F449" s="3">
        <v>999</v>
      </c>
      <c r="G449" s="3">
        <f t="shared" si="31"/>
        <v>5798</v>
      </c>
      <c r="H449" s="3">
        <f t="shared" si="30"/>
        <v>1998</v>
      </c>
      <c r="I449" s="14">
        <f t="shared" si="32"/>
        <v>3826.6800000000003</v>
      </c>
      <c r="J449" s="14">
        <f t="shared" si="33"/>
        <v>-3800</v>
      </c>
      <c r="K449" s="1">
        <v>0.66</v>
      </c>
      <c r="L449">
        <v>4.5999999999999996</v>
      </c>
      <c r="M449" s="2">
        <v>26603</v>
      </c>
      <c r="N449" t="s">
        <v>1107</v>
      </c>
      <c r="O449">
        <f t="shared" si="34"/>
        <v>2</v>
      </c>
      <c r="P449" s="12" t="e">
        <f>HYPERLINK(#REF!,"Link")</f>
        <v>#REF!</v>
      </c>
      <c r="Q449" s="12" t="e">
        <f>HYPERLINK(#REF!,"Link")</f>
        <v>#REF!</v>
      </c>
    </row>
    <row r="450" spans="1:17" x14ac:dyDescent="0.3">
      <c r="A450" t="s">
        <v>1108</v>
      </c>
      <c r="B450" t="s">
        <v>1109</v>
      </c>
      <c r="C450" s="10" t="s">
        <v>3777</v>
      </c>
      <c r="D450" s="10"/>
      <c r="E450" s="14">
        <v>4999</v>
      </c>
      <c r="F450" s="3">
        <v>1599</v>
      </c>
      <c r="G450" s="3">
        <f t="shared" si="31"/>
        <v>9998</v>
      </c>
      <c r="H450" s="3">
        <f t="shared" ref="H450:H513" si="35">F450*O450</f>
        <v>3198</v>
      </c>
      <c r="I450" s="14">
        <f t="shared" si="32"/>
        <v>6798.64</v>
      </c>
      <c r="J450" s="14">
        <f t="shared" si="33"/>
        <v>-6800</v>
      </c>
      <c r="K450" s="1">
        <v>0.68</v>
      </c>
      <c r="L450">
        <v>4</v>
      </c>
      <c r="M450" s="2">
        <v>67950</v>
      </c>
      <c r="N450" t="s">
        <v>1110</v>
      </c>
      <c r="O450">
        <f t="shared" si="34"/>
        <v>2</v>
      </c>
      <c r="P450" s="12" t="e">
        <f>HYPERLINK(#REF!,"Link")</f>
        <v>#REF!</v>
      </c>
      <c r="Q450" s="12" t="e">
        <f>HYPERLINK(#REF!,"Link")</f>
        <v>#REF!</v>
      </c>
    </row>
    <row r="451" spans="1:17" x14ac:dyDescent="0.3">
      <c r="A451" t="s">
        <v>1111</v>
      </c>
      <c r="B451" t="s">
        <v>1100</v>
      </c>
      <c r="C451" s="9" t="s">
        <v>3778</v>
      </c>
      <c r="D451" s="9"/>
      <c r="E451" s="14">
        <v>1699</v>
      </c>
      <c r="F451" s="3">
        <v>1324</v>
      </c>
      <c r="G451" s="3">
        <f t="shared" ref="G451:G514" si="36">E451*O451</f>
        <v>3398</v>
      </c>
      <c r="H451" s="3">
        <f t="shared" si="35"/>
        <v>2648</v>
      </c>
      <c r="I451" s="14">
        <f t="shared" ref="I451:I514" si="37">(E451*K451)*O451</f>
        <v>747.56000000000006</v>
      </c>
      <c r="J451" s="14">
        <f t="shared" ref="J451:J514" si="38">H451-G451</f>
        <v>-750</v>
      </c>
      <c r="K451" s="1">
        <v>0.22</v>
      </c>
      <c r="L451">
        <v>4</v>
      </c>
      <c r="M451" s="2">
        <v>128311</v>
      </c>
      <c r="N451" t="s">
        <v>899</v>
      </c>
      <c r="O451">
        <f t="shared" ref="O451:O514" si="39">LEN(N451)-LEN(SUBSTITUTE(N451,",",""))+1</f>
        <v>2</v>
      </c>
      <c r="P451" s="12" t="e">
        <f>HYPERLINK(#REF!,"Link")</f>
        <v>#REF!</v>
      </c>
      <c r="Q451" s="12" t="e">
        <f>HYPERLINK(#REF!,"Link")</f>
        <v>#REF!</v>
      </c>
    </row>
    <row r="452" spans="1:17" x14ac:dyDescent="0.3">
      <c r="A452" t="s">
        <v>1112</v>
      </c>
      <c r="B452" t="s">
        <v>1113</v>
      </c>
      <c r="C452" s="10" t="s">
        <v>3779</v>
      </c>
      <c r="D452" s="10" t="s">
        <v>3780</v>
      </c>
      <c r="E452" s="14">
        <v>29990</v>
      </c>
      <c r="F452" s="3">
        <v>20999</v>
      </c>
      <c r="G452" s="3">
        <f t="shared" si="36"/>
        <v>89970</v>
      </c>
      <c r="H452" s="3">
        <f t="shared" si="35"/>
        <v>62997</v>
      </c>
      <c r="I452" s="14">
        <f t="shared" si="37"/>
        <v>26991</v>
      </c>
      <c r="J452" s="14">
        <f t="shared" si="38"/>
        <v>-26973</v>
      </c>
      <c r="K452" s="1">
        <v>0.3</v>
      </c>
      <c r="L452">
        <v>4.3</v>
      </c>
      <c r="M452" s="2">
        <v>9499</v>
      </c>
      <c r="N452" t="s">
        <v>1114</v>
      </c>
      <c r="O452">
        <f t="shared" si="39"/>
        <v>3</v>
      </c>
      <c r="P452" s="12" t="e">
        <f>HYPERLINK(#REF!,"Link")</f>
        <v>#REF!</v>
      </c>
      <c r="Q452" s="12" t="e">
        <f>HYPERLINK(#REF!,"Link")</f>
        <v>#REF!</v>
      </c>
    </row>
    <row r="453" spans="1:17" x14ac:dyDescent="0.3">
      <c r="A453" t="s">
        <v>1115</v>
      </c>
      <c r="B453" t="s">
        <v>1116</v>
      </c>
      <c r="C453" s="9" t="s">
        <v>3781</v>
      </c>
      <c r="D453" s="9" t="s">
        <v>3782</v>
      </c>
      <c r="E453" s="14">
        <v>1999</v>
      </c>
      <c r="F453" s="3">
        <v>999</v>
      </c>
      <c r="G453" s="3">
        <f t="shared" si="36"/>
        <v>1999</v>
      </c>
      <c r="H453" s="3">
        <f t="shared" si="35"/>
        <v>999</v>
      </c>
      <c r="I453" s="14">
        <f t="shared" si="37"/>
        <v>999.5</v>
      </c>
      <c r="J453" s="14">
        <f t="shared" si="38"/>
        <v>-1000</v>
      </c>
      <c r="K453" s="1">
        <v>0.5</v>
      </c>
      <c r="L453">
        <v>4.3</v>
      </c>
      <c r="M453" s="2">
        <v>1777</v>
      </c>
      <c r="N453" t="s">
        <v>1117</v>
      </c>
      <c r="O453">
        <f t="shared" si="39"/>
        <v>1</v>
      </c>
      <c r="P453" s="12" t="e">
        <f>HYPERLINK(#REF!,"Link")</f>
        <v>#REF!</v>
      </c>
      <c r="Q453" s="12" t="e">
        <f>HYPERLINK(#REF!,"Link")</f>
        <v>#REF!</v>
      </c>
    </row>
    <row r="454" spans="1:17" x14ac:dyDescent="0.3">
      <c r="A454" t="s">
        <v>1118</v>
      </c>
      <c r="B454" t="s">
        <v>1119</v>
      </c>
      <c r="C454" s="10" t="s">
        <v>3771</v>
      </c>
      <c r="D454" s="10" t="s">
        <v>3783</v>
      </c>
      <c r="E454" s="14">
        <v>15990</v>
      </c>
      <c r="F454" s="3">
        <v>12490</v>
      </c>
      <c r="G454" s="3">
        <f t="shared" si="36"/>
        <v>31980</v>
      </c>
      <c r="H454" s="3">
        <f t="shared" si="35"/>
        <v>24980</v>
      </c>
      <c r="I454" s="14">
        <f t="shared" si="37"/>
        <v>7035.6</v>
      </c>
      <c r="J454" s="14">
        <f t="shared" si="38"/>
        <v>-7000</v>
      </c>
      <c r="K454" s="1">
        <v>0.22</v>
      </c>
      <c r="L454">
        <v>4.2</v>
      </c>
      <c r="M454" s="2">
        <v>58506</v>
      </c>
      <c r="N454" t="s">
        <v>1120</v>
      </c>
      <c r="O454">
        <f t="shared" si="39"/>
        <v>2</v>
      </c>
      <c r="P454" s="12" t="e">
        <f>HYPERLINK(#REF!,"Link")</f>
        <v>#REF!</v>
      </c>
      <c r="Q454" s="12" t="e">
        <f>HYPERLINK(#REF!,"Link")</f>
        <v>#REF!</v>
      </c>
    </row>
    <row r="455" spans="1:17" x14ac:dyDescent="0.3">
      <c r="A455" t="s">
        <v>1121</v>
      </c>
      <c r="B455" t="s">
        <v>955</v>
      </c>
      <c r="C455" s="9" t="s">
        <v>3784</v>
      </c>
      <c r="D455" s="9"/>
      <c r="E455" s="14">
        <v>21990</v>
      </c>
      <c r="F455" s="3">
        <v>17999</v>
      </c>
      <c r="G455" s="3">
        <f t="shared" si="36"/>
        <v>43980</v>
      </c>
      <c r="H455" s="3">
        <f t="shared" si="35"/>
        <v>35998</v>
      </c>
      <c r="I455" s="14">
        <f t="shared" si="37"/>
        <v>7916.4</v>
      </c>
      <c r="J455" s="14">
        <f t="shared" si="38"/>
        <v>-7982</v>
      </c>
      <c r="K455" s="1">
        <v>0.18</v>
      </c>
      <c r="L455">
        <v>4</v>
      </c>
      <c r="M455" s="2">
        <v>21350</v>
      </c>
      <c r="N455" t="s">
        <v>956</v>
      </c>
      <c r="O455">
        <f t="shared" si="39"/>
        <v>2</v>
      </c>
      <c r="P455" s="12" t="e">
        <f>HYPERLINK(#REF!,"Link")</f>
        <v>#REF!</v>
      </c>
      <c r="Q455" s="12" t="e">
        <f>HYPERLINK(#REF!,"Link")</f>
        <v>#REF!</v>
      </c>
    </row>
    <row r="456" spans="1:17" x14ac:dyDescent="0.3">
      <c r="A456" t="s">
        <v>45</v>
      </c>
      <c r="B456" t="s">
        <v>46</v>
      </c>
      <c r="C456" s="10" t="s">
        <v>3785</v>
      </c>
      <c r="D456" s="10"/>
      <c r="E456" s="14">
        <v>899</v>
      </c>
      <c r="F456" s="3">
        <v>350</v>
      </c>
      <c r="G456" s="3">
        <f t="shared" si="36"/>
        <v>5394</v>
      </c>
      <c r="H456" s="3">
        <f t="shared" si="35"/>
        <v>2100</v>
      </c>
      <c r="I456" s="14">
        <f t="shared" si="37"/>
        <v>3290.34</v>
      </c>
      <c r="J456" s="14">
        <f t="shared" si="38"/>
        <v>-3294</v>
      </c>
      <c r="K456" s="1">
        <v>0.61</v>
      </c>
      <c r="L456">
        <v>4.2</v>
      </c>
      <c r="M456" s="2">
        <v>2263</v>
      </c>
      <c r="N456" t="s">
        <v>47</v>
      </c>
      <c r="O456">
        <f t="shared" si="39"/>
        <v>6</v>
      </c>
      <c r="P456" s="12" t="e">
        <f>HYPERLINK(#REF!,"Link")</f>
        <v>#REF!</v>
      </c>
      <c r="Q456" s="12" t="e">
        <f>HYPERLINK(#REF!,"Link")</f>
        <v>#REF!</v>
      </c>
    </row>
    <row r="457" spans="1:17" x14ac:dyDescent="0.3">
      <c r="A457" t="s">
        <v>1122</v>
      </c>
      <c r="B457" t="s">
        <v>1123</v>
      </c>
      <c r="C457" s="9" t="s">
        <v>3729</v>
      </c>
      <c r="D457" s="9" t="s">
        <v>3786</v>
      </c>
      <c r="E457" s="14">
        <v>1630</v>
      </c>
      <c r="F457" s="3">
        <v>1399</v>
      </c>
      <c r="G457" s="3">
        <f t="shared" si="36"/>
        <v>11410</v>
      </c>
      <c r="H457" s="3">
        <f t="shared" si="35"/>
        <v>9793</v>
      </c>
      <c r="I457" s="14">
        <f t="shared" si="37"/>
        <v>1597.4</v>
      </c>
      <c r="J457" s="14">
        <f t="shared" si="38"/>
        <v>-1617</v>
      </c>
      <c r="K457" s="1">
        <v>0.14000000000000001</v>
      </c>
      <c r="L457">
        <v>4</v>
      </c>
      <c r="M457" s="2">
        <v>9378</v>
      </c>
      <c r="N457" t="s">
        <v>1124</v>
      </c>
      <c r="O457">
        <f t="shared" si="39"/>
        <v>7</v>
      </c>
      <c r="P457" s="12" t="e">
        <f>HYPERLINK(#REF!,"Link")</f>
        <v>#REF!</v>
      </c>
      <c r="Q457" s="12" t="e">
        <f>HYPERLINK(#REF!,"Link")</f>
        <v>#REF!</v>
      </c>
    </row>
    <row r="458" spans="1:17" x14ac:dyDescent="0.3">
      <c r="A458" t="s">
        <v>48</v>
      </c>
      <c r="B458" t="s">
        <v>22</v>
      </c>
      <c r="C458" s="10" t="s">
        <v>3787</v>
      </c>
      <c r="D458" s="10" t="s">
        <v>3788</v>
      </c>
      <c r="E458" s="14">
        <v>399</v>
      </c>
      <c r="F458" s="3">
        <v>159</v>
      </c>
      <c r="G458" s="3">
        <f t="shared" si="36"/>
        <v>798</v>
      </c>
      <c r="H458" s="3">
        <f t="shared" si="35"/>
        <v>318</v>
      </c>
      <c r="I458" s="14">
        <f t="shared" si="37"/>
        <v>478.79999999999995</v>
      </c>
      <c r="J458" s="14">
        <f t="shared" si="38"/>
        <v>-480</v>
      </c>
      <c r="K458" s="1">
        <v>0.6</v>
      </c>
      <c r="L458">
        <v>4.0999999999999996</v>
      </c>
      <c r="M458" s="2">
        <v>4768</v>
      </c>
      <c r="N458" t="s">
        <v>49</v>
      </c>
      <c r="O458">
        <f t="shared" si="39"/>
        <v>2</v>
      </c>
      <c r="P458" s="12" t="e">
        <f>HYPERLINK(#REF!,"Link")</f>
        <v>#REF!</v>
      </c>
      <c r="Q458" s="12" t="e">
        <f>HYPERLINK(#REF!,"Link")</f>
        <v>#REF!</v>
      </c>
    </row>
    <row r="459" spans="1:17" x14ac:dyDescent="0.3">
      <c r="A459" t="s">
        <v>1125</v>
      </c>
      <c r="B459" t="s">
        <v>901</v>
      </c>
      <c r="C459" s="9" t="s">
        <v>3789</v>
      </c>
      <c r="D459" s="9"/>
      <c r="E459" s="14">
        <v>6990</v>
      </c>
      <c r="F459" s="3">
        <v>1499</v>
      </c>
      <c r="G459" s="3">
        <f t="shared" si="36"/>
        <v>13980</v>
      </c>
      <c r="H459" s="3">
        <f t="shared" si="35"/>
        <v>2998</v>
      </c>
      <c r="I459" s="14">
        <f t="shared" si="37"/>
        <v>11044.2</v>
      </c>
      <c r="J459" s="14">
        <f t="shared" si="38"/>
        <v>-10982</v>
      </c>
      <c r="K459" s="1">
        <v>0.79</v>
      </c>
      <c r="L459">
        <v>3.9</v>
      </c>
      <c r="M459" s="2">
        <v>21796</v>
      </c>
      <c r="N459" t="s">
        <v>902</v>
      </c>
      <c r="O459">
        <f t="shared" si="39"/>
        <v>2</v>
      </c>
      <c r="P459" s="12" t="e">
        <f>HYPERLINK(#REF!,"Link")</f>
        <v>#REF!</v>
      </c>
      <c r="Q459" s="12" t="e">
        <f>HYPERLINK(#REF!,"Link")</f>
        <v>#REF!</v>
      </c>
    </row>
    <row r="460" spans="1:17" x14ac:dyDescent="0.3">
      <c r="A460" t="s">
        <v>1126</v>
      </c>
      <c r="B460" t="s">
        <v>877</v>
      </c>
      <c r="C460" s="10" t="s">
        <v>3729</v>
      </c>
      <c r="D460" s="10" t="s">
        <v>3786</v>
      </c>
      <c r="E460" s="14">
        <v>7990</v>
      </c>
      <c r="F460" s="3">
        <v>1999</v>
      </c>
      <c r="G460" s="3">
        <f t="shared" si="36"/>
        <v>23970</v>
      </c>
      <c r="H460" s="3">
        <f t="shared" si="35"/>
        <v>5997</v>
      </c>
      <c r="I460" s="14">
        <f t="shared" si="37"/>
        <v>17977.5</v>
      </c>
      <c r="J460" s="14">
        <f t="shared" si="38"/>
        <v>-17973</v>
      </c>
      <c r="K460" s="1">
        <v>0.75</v>
      </c>
      <c r="L460">
        <v>3.8</v>
      </c>
      <c r="M460" s="2">
        <v>17833</v>
      </c>
      <c r="N460" t="s">
        <v>878</v>
      </c>
      <c r="O460">
        <f t="shared" si="39"/>
        <v>3</v>
      </c>
      <c r="P460" s="12" t="e">
        <f>HYPERLINK(#REF!,"Link")</f>
        <v>#REF!</v>
      </c>
      <c r="Q460" s="12" t="e">
        <f>HYPERLINK(#REF!,"Link")</f>
        <v>#REF!</v>
      </c>
    </row>
    <row r="461" spans="1:17" x14ac:dyDescent="0.3">
      <c r="A461" t="s">
        <v>1127</v>
      </c>
      <c r="B461" t="s">
        <v>1106</v>
      </c>
      <c r="C461" s="9" t="s">
        <v>3790</v>
      </c>
      <c r="D461" s="9" t="s">
        <v>3791</v>
      </c>
      <c r="E461" s="14">
        <v>2899</v>
      </c>
      <c r="F461" s="3">
        <v>999</v>
      </c>
      <c r="G461" s="3">
        <f t="shared" si="36"/>
        <v>8697</v>
      </c>
      <c r="H461" s="3">
        <f t="shared" si="35"/>
        <v>2997</v>
      </c>
      <c r="I461" s="14">
        <f t="shared" si="37"/>
        <v>5740.02</v>
      </c>
      <c r="J461" s="14">
        <f t="shared" si="38"/>
        <v>-5700</v>
      </c>
      <c r="K461" s="1">
        <v>0.66</v>
      </c>
      <c r="L461">
        <v>4.7</v>
      </c>
      <c r="M461" s="2">
        <v>7779</v>
      </c>
      <c r="N461" t="s">
        <v>1128</v>
      </c>
      <c r="O461">
        <f t="shared" si="39"/>
        <v>3</v>
      </c>
      <c r="P461" s="12" t="e">
        <f>HYPERLINK(#REF!,"Link")</f>
        <v>#REF!</v>
      </c>
      <c r="Q461" s="12" t="e">
        <f>HYPERLINK(#REF!,"Link")</f>
        <v>#REF!</v>
      </c>
    </row>
    <row r="462" spans="1:17" x14ac:dyDescent="0.3">
      <c r="A462" t="s">
        <v>1129</v>
      </c>
      <c r="B462" t="s">
        <v>1130</v>
      </c>
      <c r="C462" s="10" t="s">
        <v>3771</v>
      </c>
      <c r="D462" s="10" t="s">
        <v>3792</v>
      </c>
      <c r="E462" s="14">
        <v>5999</v>
      </c>
      <c r="F462" s="3">
        <v>2099</v>
      </c>
      <c r="G462" s="3">
        <f t="shared" si="36"/>
        <v>5999</v>
      </c>
      <c r="H462" s="3">
        <f t="shared" si="35"/>
        <v>2099</v>
      </c>
      <c r="I462" s="14">
        <f t="shared" si="37"/>
        <v>3899.35</v>
      </c>
      <c r="J462" s="14">
        <f t="shared" si="38"/>
        <v>-3900</v>
      </c>
      <c r="K462" s="1">
        <v>0.65</v>
      </c>
      <c r="L462">
        <v>4.3</v>
      </c>
      <c r="M462" s="2">
        <v>17129</v>
      </c>
      <c r="N462" t="s">
        <v>1131</v>
      </c>
      <c r="O462">
        <f t="shared" si="39"/>
        <v>1</v>
      </c>
      <c r="P462" s="12" t="e">
        <f>HYPERLINK(#REF!,"Link")</f>
        <v>#REF!</v>
      </c>
      <c r="Q462" s="12" t="e">
        <f>HYPERLINK(#REF!,"Link")</f>
        <v>#REF!</v>
      </c>
    </row>
    <row r="463" spans="1:17" x14ac:dyDescent="0.3">
      <c r="A463" t="s">
        <v>1132</v>
      </c>
      <c r="B463" t="s">
        <v>1133</v>
      </c>
      <c r="C463" s="9" t="s">
        <v>3793</v>
      </c>
      <c r="D463" s="9" t="s">
        <v>3794</v>
      </c>
      <c r="E463" s="14">
        <v>699</v>
      </c>
      <c r="F463" s="3">
        <v>337</v>
      </c>
      <c r="G463" s="3">
        <f t="shared" si="36"/>
        <v>2796</v>
      </c>
      <c r="H463" s="3">
        <f t="shared" si="35"/>
        <v>1348</v>
      </c>
      <c r="I463" s="14">
        <f t="shared" si="37"/>
        <v>1453.92</v>
      </c>
      <c r="J463" s="14">
        <f t="shared" si="38"/>
        <v>-1448</v>
      </c>
      <c r="K463" s="1">
        <v>0.52</v>
      </c>
      <c r="L463">
        <v>4.2</v>
      </c>
      <c r="M463" s="2">
        <v>4969</v>
      </c>
      <c r="N463" t="s">
        <v>1134</v>
      </c>
      <c r="O463">
        <f t="shared" si="39"/>
        <v>4</v>
      </c>
      <c r="P463" s="12" t="e">
        <f>HYPERLINK(#REF!,"Link")</f>
        <v>#REF!</v>
      </c>
      <c r="Q463" s="12" t="e">
        <f>HYPERLINK(#REF!,"Link")</f>
        <v>#REF!</v>
      </c>
    </row>
    <row r="464" spans="1:17" x14ac:dyDescent="0.3">
      <c r="A464" t="s">
        <v>1135</v>
      </c>
      <c r="B464" t="s">
        <v>1136</v>
      </c>
      <c r="C464" s="10" t="s">
        <v>3795</v>
      </c>
      <c r="D464" s="10" t="s">
        <v>3796</v>
      </c>
      <c r="E464" s="14">
        <v>7990</v>
      </c>
      <c r="F464" s="3">
        <v>2999</v>
      </c>
      <c r="G464" s="3">
        <f t="shared" si="36"/>
        <v>23970</v>
      </c>
      <c r="H464" s="3">
        <f t="shared" si="35"/>
        <v>8997</v>
      </c>
      <c r="I464" s="14">
        <f t="shared" si="37"/>
        <v>14861.400000000001</v>
      </c>
      <c r="J464" s="14">
        <f t="shared" si="38"/>
        <v>-14973</v>
      </c>
      <c r="K464" s="1">
        <v>0.62</v>
      </c>
      <c r="L464">
        <v>4.0999999999999996</v>
      </c>
      <c r="M464">
        <v>154</v>
      </c>
      <c r="N464" t="s">
        <v>1137</v>
      </c>
      <c r="O464">
        <f t="shared" si="39"/>
        <v>3</v>
      </c>
      <c r="P464" s="12" t="e">
        <f>HYPERLINK(#REF!,"Link")</f>
        <v>#REF!</v>
      </c>
      <c r="Q464" s="12" t="e">
        <f>HYPERLINK(#REF!,"Link")</f>
        <v>#REF!</v>
      </c>
    </row>
    <row r="465" spans="1:17" x14ac:dyDescent="0.3">
      <c r="A465" t="s">
        <v>1138</v>
      </c>
      <c r="B465" t="s">
        <v>1139</v>
      </c>
      <c r="C465" s="9" t="s">
        <v>3771</v>
      </c>
      <c r="D465" s="9" t="s">
        <v>3792</v>
      </c>
      <c r="E465" s="14">
        <v>5999</v>
      </c>
      <c r="F465" s="3">
        <v>1299</v>
      </c>
      <c r="G465" s="3">
        <f t="shared" si="36"/>
        <v>17997</v>
      </c>
      <c r="H465" s="3">
        <f t="shared" si="35"/>
        <v>3897</v>
      </c>
      <c r="I465" s="14">
        <f t="shared" si="37"/>
        <v>14037.66</v>
      </c>
      <c r="J465" s="14">
        <f t="shared" si="38"/>
        <v>-14100</v>
      </c>
      <c r="K465" s="1">
        <v>0.78</v>
      </c>
      <c r="L465">
        <v>3.3</v>
      </c>
      <c r="M465" s="2">
        <v>4415</v>
      </c>
      <c r="N465" t="s">
        <v>1140</v>
      </c>
      <c r="O465">
        <f t="shared" si="39"/>
        <v>3</v>
      </c>
      <c r="P465" s="12" t="e">
        <f>HYPERLINK(#REF!,"Link")</f>
        <v>#REF!</v>
      </c>
      <c r="Q465" s="12" t="e">
        <f>HYPERLINK(#REF!,"Link")</f>
        <v>#REF!</v>
      </c>
    </row>
    <row r="466" spans="1:17" x14ac:dyDescent="0.3">
      <c r="A466" t="s">
        <v>50</v>
      </c>
      <c r="B466" t="s">
        <v>51</v>
      </c>
      <c r="C466" s="10" t="s">
        <v>3797</v>
      </c>
      <c r="D466" s="10"/>
      <c r="E466" s="14">
        <v>399</v>
      </c>
      <c r="F466" s="3">
        <v>349</v>
      </c>
      <c r="G466" s="3">
        <f t="shared" si="36"/>
        <v>399</v>
      </c>
      <c r="H466" s="3">
        <f t="shared" si="35"/>
        <v>349</v>
      </c>
      <c r="I466" s="14">
        <f t="shared" si="37"/>
        <v>51.870000000000005</v>
      </c>
      <c r="J466" s="14">
        <f t="shared" si="38"/>
        <v>-50</v>
      </c>
      <c r="K466" s="1">
        <v>0.13</v>
      </c>
      <c r="L466">
        <v>4.4000000000000004</v>
      </c>
      <c r="M466" s="2">
        <v>18757</v>
      </c>
      <c r="N466" t="s">
        <v>52</v>
      </c>
      <c r="O466">
        <f t="shared" si="39"/>
        <v>1</v>
      </c>
      <c r="P466" s="12" t="e">
        <f>HYPERLINK(#REF!,"Link")</f>
        <v>#REF!</v>
      </c>
      <c r="Q466" s="12" t="e">
        <f>HYPERLINK(#REF!,"Link")</f>
        <v>#REF!</v>
      </c>
    </row>
    <row r="467" spans="1:17" x14ac:dyDescent="0.3">
      <c r="A467" t="s">
        <v>1141</v>
      </c>
      <c r="B467" t="s">
        <v>955</v>
      </c>
      <c r="C467" s="9" t="s">
        <v>3798</v>
      </c>
      <c r="D467" s="9" t="s">
        <v>3799</v>
      </c>
      <c r="E467" s="14">
        <v>20990</v>
      </c>
      <c r="F467" s="3">
        <v>16499</v>
      </c>
      <c r="G467" s="3">
        <f t="shared" si="36"/>
        <v>41980</v>
      </c>
      <c r="H467" s="3">
        <f t="shared" si="35"/>
        <v>32998</v>
      </c>
      <c r="I467" s="14">
        <f t="shared" si="37"/>
        <v>8815.7999999999993</v>
      </c>
      <c r="J467" s="14">
        <f t="shared" si="38"/>
        <v>-8982</v>
      </c>
      <c r="K467" s="1">
        <v>0.21</v>
      </c>
      <c r="L467">
        <v>4</v>
      </c>
      <c r="M467" s="2">
        <v>21350</v>
      </c>
      <c r="N467" t="s">
        <v>956</v>
      </c>
      <c r="O467">
        <f t="shared" si="39"/>
        <v>2</v>
      </c>
      <c r="P467" s="12" t="e">
        <f>HYPERLINK(#REF!,"Link")</f>
        <v>#REF!</v>
      </c>
      <c r="Q467" s="12" t="e">
        <f>HYPERLINK(#REF!,"Link")</f>
        <v>#REF!</v>
      </c>
    </row>
    <row r="468" spans="1:17" x14ac:dyDescent="0.3">
      <c r="A468" t="s">
        <v>1142</v>
      </c>
      <c r="B468" t="s">
        <v>1143</v>
      </c>
      <c r="C468" s="10"/>
      <c r="D468" s="10"/>
      <c r="E468" s="14">
        <v>499</v>
      </c>
      <c r="F468" s="3">
        <v>499</v>
      </c>
      <c r="G468" s="3">
        <f t="shared" si="36"/>
        <v>998</v>
      </c>
      <c r="H468" s="3">
        <f t="shared" si="35"/>
        <v>998</v>
      </c>
      <c r="I468" s="14">
        <f t="shared" si="37"/>
        <v>0</v>
      </c>
      <c r="J468" s="14">
        <f t="shared" si="38"/>
        <v>0</v>
      </c>
      <c r="K468" s="1">
        <v>0</v>
      </c>
      <c r="L468">
        <v>4.2</v>
      </c>
      <c r="M468" s="2">
        <v>31539</v>
      </c>
      <c r="N468" t="s">
        <v>1144</v>
      </c>
      <c r="O468">
        <f t="shared" si="39"/>
        <v>2</v>
      </c>
      <c r="P468" s="12" t="e">
        <f>HYPERLINK(#REF!,"Link")</f>
        <v>#REF!</v>
      </c>
      <c r="Q468" s="12" t="e">
        <f>HYPERLINK(#REF!,"Link")</f>
        <v>#REF!</v>
      </c>
    </row>
    <row r="469" spans="1:17" x14ac:dyDescent="0.3">
      <c r="A469" t="s">
        <v>63</v>
      </c>
      <c r="B469" t="s">
        <v>64</v>
      </c>
      <c r="C469" s="9" t="s">
        <v>3800</v>
      </c>
      <c r="D469" s="9"/>
      <c r="E469" s="14">
        <v>1799</v>
      </c>
      <c r="F469" s="3">
        <v>970</v>
      </c>
      <c r="G469" s="3">
        <f t="shared" si="36"/>
        <v>3598</v>
      </c>
      <c r="H469" s="3">
        <f t="shared" si="35"/>
        <v>1940</v>
      </c>
      <c r="I469" s="14">
        <f t="shared" si="37"/>
        <v>1655.0800000000002</v>
      </c>
      <c r="J469" s="14">
        <f t="shared" si="38"/>
        <v>-1658</v>
      </c>
      <c r="K469" s="1">
        <v>0.46</v>
      </c>
      <c r="L469">
        <v>4.5</v>
      </c>
      <c r="M469">
        <v>815</v>
      </c>
      <c r="N469" t="s">
        <v>65</v>
      </c>
      <c r="O469">
        <f t="shared" si="39"/>
        <v>2</v>
      </c>
      <c r="P469" s="12" t="e">
        <f>HYPERLINK(#REF!,"Link")</f>
        <v>#REF!</v>
      </c>
      <c r="Q469" s="12" t="e">
        <f>HYPERLINK(#REF!,"Link")</f>
        <v>#REF!</v>
      </c>
    </row>
    <row r="470" spans="1:17" x14ac:dyDescent="0.3">
      <c r="A470" t="s">
        <v>1145</v>
      </c>
      <c r="B470" t="s">
        <v>1106</v>
      </c>
      <c r="C470" s="10" t="s">
        <v>3755</v>
      </c>
      <c r="D470" s="10" t="s">
        <v>3801</v>
      </c>
      <c r="E470" s="14">
        <v>2899</v>
      </c>
      <c r="F470" s="3">
        <v>999</v>
      </c>
      <c r="G470" s="3">
        <f t="shared" si="36"/>
        <v>5798</v>
      </c>
      <c r="H470" s="3">
        <f t="shared" si="35"/>
        <v>1998</v>
      </c>
      <c r="I470" s="14">
        <f t="shared" si="37"/>
        <v>3826.6800000000003</v>
      </c>
      <c r="J470" s="14">
        <f t="shared" si="38"/>
        <v>-3800</v>
      </c>
      <c r="K470" s="1">
        <v>0.66</v>
      </c>
      <c r="L470">
        <v>4.5999999999999996</v>
      </c>
      <c r="M470" s="2">
        <v>6129</v>
      </c>
      <c r="N470" t="s">
        <v>1146</v>
      </c>
      <c r="O470">
        <f t="shared" si="39"/>
        <v>2</v>
      </c>
      <c r="P470" s="12" t="e">
        <f>HYPERLINK(#REF!,"Link")</f>
        <v>#REF!</v>
      </c>
      <c r="Q470" s="12" t="e">
        <f>HYPERLINK(#REF!,"Link")</f>
        <v>#REF!</v>
      </c>
    </row>
    <row r="471" spans="1:17" x14ac:dyDescent="0.3">
      <c r="A471" t="s">
        <v>1147</v>
      </c>
      <c r="B471" t="s">
        <v>907</v>
      </c>
      <c r="C471" s="9" t="s">
        <v>3744</v>
      </c>
      <c r="D471" s="9" t="s">
        <v>3802</v>
      </c>
      <c r="E471" s="14">
        <v>13499</v>
      </c>
      <c r="F471" s="3">
        <v>10499</v>
      </c>
      <c r="G471" s="3">
        <f t="shared" si="36"/>
        <v>26998</v>
      </c>
      <c r="H471" s="3">
        <f t="shared" si="35"/>
        <v>20998</v>
      </c>
      <c r="I471" s="14">
        <f t="shared" si="37"/>
        <v>5939.56</v>
      </c>
      <c r="J471" s="14">
        <f t="shared" si="38"/>
        <v>-6000</v>
      </c>
      <c r="K471" s="1">
        <v>0.22</v>
      </c>
      <c r="L471">
        <v>4.2</v>
      </c>
      <c r="M471">
        <v>284</v>
      </c>
      <c r="N471" t="s">
        <v>908</v>
      </c>
      <c r="O471">
        <f t="shared" si="39"/>
        <v>2</v>
      </c>
      <c r="P471" s="12" t="e">
        <f>HYPERLINK(#REF!,"Link")</f>
        <v>#REF!</v>
      </c>
      <c r="Q471" s="12" t="e">
        <f>HYPERLINK(#REF!,"Link")</f>
        <v>#REF!</v>
      </c>
    </row>
    <row r="472" spans="1:17" x14ac:dyDescent="0.3">
      <c r="A472" t="s">
        <v>56</v>
      </c>
      <c r="B472" t="s">
        <v>13</v>
      </c>
      <c r="C472" s="10"/>
      <c r="D472" s="10"/>
      <c r="E472" s="14">
        <v>399</v>
      </c>
      <c r="F472" s="3">
        <v>249</v>
      </c>
      <c r="G472" s="3">
        <f t="shared" si="36"/>
        <v>1197</v>
      </c>
      <c r="H472" s="3">
        <f t="shared" si="35"/>
        <v>747</v>
      </c>
      <c r="I472" s="14">
        <f t="shared" si="37"/>
        <v>454.86</v>
      </c>
      <c r="J472" s="14">
        <f t="shared" si="38"/>
        <v>-450</v>
      </c>
      <c r="K472" s="1">
        <v>0.38</v>
      </c>
      <c r="L472">
        <v>4</v>
      </c>
      <c r="M472" s="2">
        <v>43994</v>
      </c>
      <c r="N472" t="s">
        <v>14</v>
      </c>
      <c r="O472">
        <f t="shared" si="39"/>
        <v>3</v>
      </c>
      <c r="P472" s="12" t="e">
        <f>HYPERLINK(#REF!,"Link")</f>
        <v>#REF!</v>
      </c>
      <c r="Q472" s="12" t="e">
        <f>HYPERLINK(#REF!,"Link")</f>
        <v>#REF!</v>
      </c>
    </row>
    <row r="473" spans="1:17" x14ac:dyDescent="0.3">
      <c r="A473" t="s">
        <v>1148</v>
      </c>
      <c r="B473" t="s">
        <v>1149</v>
      </c>
      <c r="C473" s="9" t="s">
        <v>3779</v>
      </c>
      <c r="D473" s="9" t="s">
        <v>3780</v>
      </c>
      <c r="E473" s="14">
        <v>999</v>
      </c>
      <c r="F473" s="3">
        <v>251</v>
      </c>
      <c r="G473" s="3">
        <f t="shared" si="36"/>
        <v>2997</v>
      </c>
      <c r="H473" s="3">
        <f t="shared" si="35"/>
        <v>753</v>
      </c>
      <c r="I473" s="14">
        <f t="shared" si="37"/>
        <v>2247.75</v>
      </c>
      <c r="J473" s="14">
        <f t="shared" si="38"/>
        <v>-2244</v>
      </c>
      <c r="K473" s="1">
        <v>0.75</v>
      </c>
      <c r="L473">
        <v>3.7</v>
      </c>
      <c r="M473" s="2">
        <v>3234</v>
      </c>
      <c r="N473" t="s">
        <v>1150</v>
      </c>
      <c r="O473">
        <f t="shared" si="39"/>
        <v>3</v>
      </c>
      <c r="P473" s="12" t="e">
        <f>HYPERLINK(#REF!,"Link")</f>
        <v>#REF!</v>
      </c>
      <c r="Q473" s="12" t="e">
        <f>HYPERLINK(#REF!,"Link")</f>
        <v>#REF!</v>
      </c>
    </row>
    <row r="474" spans="1:17" x14ac:dyDescent="0.3">
      <c r="A474" t="s">
        <v>57</v>
      </c>
      <c r="B474" t="s">
        <v>58</v>
      </c>
      <c r="C474" s="10" t="s">
        <v>3803</v>
      </c>
      <c r="D474" s="10"/>
      <c r="E474" s="14">
        <v>499</v>
      </c>
      <c r="F474" s="3">
        <v>199</v>
      </c>
      <c r="G474" s="3">
        <f t="shared" si="36"/>
        <v>998</v>
      </c>
      <c r="H474" s="3">
        <f t="shared" si="35"/>
        <v>398</v>
      </c>
      <c r="I474" s="14">
        <f t="shared" si="37"/>
        <v>598.79999999999995</v>
      </c>
      <c r="J474" s="14">
        <f t="shared" si="38"/>
        <v>-600</v>
      </c>
      <c r="K474" s="1">
        <v>0.6</v>
      </c>
      <c r="L474">
        <v>4.0999999999999996</v>
      </c>
      <c r="M474" s="2">
        <v>13045</v>
      </c>
      <c r="N474" t="s">
        <v>59</v>
      </c>
      <c r="O474">
        <f t="shared" si="39"/>
        <v>2</v>
      </c>
      <c r="P474" s="12" t="e">
        <f>HYPERLINK(#REF!,"Link")</f>
        <v>#REF!</v>
      </c>
      <c r="Q474" s="12" t="e">
        <f>HYPERLINK(#REF!,"Link")</f>
        <v>#REF!</v>
      </c>
    </row>
    <row r="475" spans="1:17" x14ac:dyDescent="0.3">
      <c r="A475" t="s">
        <v>1151</v>
      </c>
      <c r="B475" t="s">
        <v>962</v>
      </c>
      <c r="C475" s="9" t="s">
        <v>3727</v>
      </c>
      <c r="D475" s="9" t="s">
        <v>3804</v>
      </c>
      <c r="E475" s="14">
        <v>7999</v>
      </c>
      <c r="F475" s="3">
        <v>6499</v>
      </c>
      <c r="G475" s="3">
        <f t="shared" si="36"/>
        <v>7999</v>
      </c>
      <c r="H475" s="3">
        <f t="shared" si="35"/>
        <v>6499</v>
      </c>
      <c r="I475" s="14">
        <f t="shared" si="37"/>
        <v>1519.81</v>
      </c>
      <c r="J475" s="14">
        <f t="shared" si="38"/>
        <v>-1500</v>
      </c>
      <c r="K475" s="1">
        <v>0.19</v>
      </c>
      <c r="L475">
        <v>4.0999999999999996</v>
      </c>
      <c r="M475" s="2">
        <v>313832</v>
      </c>
      <c r="N475" t="s">
        <v>960</v>
      </c>
      <c r="O475">
        <f t="shared" si="39"/>
        <v>1</v>
      </c>
      <c r="P475" s="12" t="e">
        <f>HYPERLINK(#REF!,"Link")</f>
        <v>#REF!</v>
      </c>
      <c r="Q475" s="12" t="e">
        <f>HYPERLINK(#REF!,"Link")</f>
        <v>#REF!</v>
      </c>
    </row>
    <row r="476" spans="1:17" x14ac:dyDescent="0.3">
      <c r="A476" t="s">
        <v>1152</v>
      </c>
      <c r="B476" t="s">
        <v>1153</v>
      </c>
      <c r="C476" s="10" t="s">
        <v>3738</v>
      </c>
      <c r="D476" s="10" t="s">
        <v>3805</v>
      </c>
      <c r="E476" s="14">
        <v>9999</v>
      </c>
      <c r="F476" s="3">
        <v>2999</v>
      </c>
      <c r="G476" s="3">
        <f t="shared" si="36"/>
        <v>39996</v>
      </c>
      <c r="H476" s="3">
        <f t="shared" si="35"/>
        <v>11996</v>
      </c>
      <c r="I476" s="14">
        <f t="shared" si="37"/>
        <v>27997.199999999997</v>
      </c>
      <c r="J476" s="14">
        <f t="shared" si="38"/>
        <v>-28000</v>
      </c>
      <c r="K476" s="1">
        <v>0.7</v>
      </c>
      <c r="L476">
        <v>4.2</v>
      </c>
      <c r="M476" s="2">
        <v>20879</v>
      </c>
      <c r="N476" t="s">
        <v>1154</v>
      </c>
      <c r="O476">
        <f t="shared" si="39"/>
        <v>4</v>
      </c>
      <c r="P476" s="12" t="e">
        <f>HYPERLINK(#REF!,"Link")</f>
        <v>#REF!</v>
      </c>
      <c r="Q476" s="12" t="e">
        <f>HYPERLINK(#REF!,"Link")</f>
        <v>#REF!</v>
      </c>
    </row>
    <row r="477" spans="1:17" x14ac:dyDescent="0.3">
      <c r="A477" t="s">
        <v>1155</v>
      </c>
      <c r="B477" t="s">
        <v>1156</v>
      </c>
      <c r="C477" s="9" t="s">
        <v>3729</v>
      </c>
      <c r="D477" s="9" t="s">
        <v>3786</v>
      </c>
      <c r="E477" s="14">
        <v>1499</v>
      </c>
      <c r="F477" s="3">
        <v>279</v>
      </c>
      <c r="G477" s="3">
        <f t="shared" si="36"/>
        <v>2998</v>
      </c>
      <c r="H477" s="3">
        <f t="shared" si="35"/>
        <v>558</v>
      </c>
      <c r="I477" s="14">
        <f t="shared" si="37"/>
        <v>2428.38</v>
      </c>
      <c r="J477" s="14">
        <f t="shared" si="38"/>
        <v>-2440</v>
      </c>
      <c r="K477" s="1">
        <v>0.81</v>
      </c>
      <c r="L477">
        <v>4.2</v>
      </c>
      <c r="M477" s="2">
        <v>2646</v>
      </c>
      <c r="N477" t="s">
        <v>1157</v>
      </c>
      <c r="O477">
        <f t="shared" si="39"/>
        <v>2</v>
      </c>
      <c r="P477" s="12" t="e">
        <f>HYPERLINK(#REF!,"Link")</f>
        <v>#REF!</v>
      </c>
      <c r="Q477" s="12" t="e">
        <f>HYPERLINK(#REF!,"Link")</f>
        <v>#REF!</v>
      </c>
    </row>
    <row r="478" spans="1:17" x14ac:dyDescent="0.3">
      <c r="A478" t="s">
        <v>1158</v>
      </c>
      <c r="B478" t="s">
        <v>1159</v>
      </c>
      <c r="C478" s="10" t="s">
        <v>3729</v>
      </c>
      <c r="D478" s="10" t="s">
        <v>3806</v>
      </c>
      <c r="E478" s="14">
        <v>1499</v>
      </c>
      <c r="F478" s="3">
        <v>269</v>
      </c>
      <c r="G478" s="3">
        <f t="shared" si="36"/>
        <v>1499</v>
      </c>
      <c r="H478" s="3">
        <f t="shared" si="35"/>
        <v>269</v>
      </c>
      <c r="I478" s="14">
        <f t="shared" si="37"/>
        <v>1229.1799999999998</v>
      </c>
      <c r="J478" s="14">
        <f t="shared" si="38"/>
        <v>-1230</v>
      </c>
      <c r="K478" s="1">
        <v>0.82</v>
      </c>
      <c r="L478">
        <v>4.5</v>
      </c>
      <c r="M478" s="2">
        <v>28978</v>
      </c>
      <c r="N478" t="s">
        <v>1160</v>
      </c>
      <c r="O478">
        <f t="shared" si="39"/>
        <v>1</v>
      </c>
      <c r="P478" s="12" t="e">
        <f>HYPERLINK(#REF!,"Link")</f>
        <v>#REF!</v>
      </c>
      <c r="Q478" s="12" t="e">
        <f>HYPERLINK(#REF!,"Link")</f>
        <v>#REF!</v>
      </c>
    </row>
    <row r="479" spans="1:17" x14ac:dyDescent="0.3">
      <c r="A479" t="s">
        <v>1161</v>
      </c>
      <c r="B479" t="s">
        <v>1162</v>
      </c>
      <c r="C479" s="9"/>
      <c r="D479" s="9"/>
      <c r="E479" s="14">
        <v>13499</v>
      </c>
      <c r="F479" s="3">
        <v>8999</v>
      </c>
      <c r="G479" s="3">
        <f t="shared" si="36"/>
        <v>40497</v>
      </c>
      <c r="H479" s="3">
        <f t="shared" si="35"/>
        <v>26997</v>
      </c>
      <c r="I479" s="14">
        <f t="shared" si="37"/>
        <v>13364.01</v>
      </c>
      <c r="J479" s="14">
        <f t="shared" si="38"/>
        <v>-13500</v>
      </c>
      <c r="K479" s="1">
        <v>0.33</v>
      </c>
      <c r="L479">
        <v>3.8</v>
      </c>
      <c r="M479" s="2">
        <v>3145</v>
      </c>
      <c r="N479" t="s">
        <v>1163</v>
      </c>
      <c r="O479">
        <f t="shared" si="39"/>
        <v>3</v>
      </c>
      <c r="P479" s="12" t="e">
        <f>HYPERLINK(#REF!,"Link")</f>
        <v>#REF!</v>
      </c>
      <c r="Q479" s="12" t="e">
        <f>HYPERLINK(#REF!,"Link")</f>
        <v>#REF!</v>
      </c>
    </row>
    <row r="480" spans="1:17" x14ac:dyDescent="0.3">
      <c r="A480" t="s">
        <v>72</v>
      </c>
      <c r="B480" t="s">
        <v>73</v>
      </c>
      <c r="C480" s="10" t="s">
        <v>3807</v>
      </c>
      <c r="D480" s="10" t="s">
        <v>3808</v>
      </c>
      <c r="E480" s="14">
        <v>199</v>
      </c>
      <c r="F480" s="3">
        <v>59</v>
      </c>
      <c r="G480" s="3">
        <f t="shared" si="36"/>
        <v>597</v>
      </c>
      <c r="H480" s="3">
        <f t="shared" si="35"/>
        <v>177</v>
      </c>
      <c r="I480" s="14">
        <f t="shared" si="37"/>
        <v>417.9</v>
      </c>
      <c r="J480" s="14">
        <f t="shared" si="38"/>
        <v>-420</v>
      </c>
      <c r="K480" s="1">
        <v>0.7</v>
      </c>
      <c r="L480">
        <v>4</v>
      </c>
      <c r="M480" s="2">
        <v>9377</v>
      </c>
      <c r="N480" t="s">
        <v>74</v>
      </c>
      <c r="O480">
        <f t="shared" si="39"/>
        <v>3</v>
      </c>
      <c r="P480" s="12" t="e">
        <f>HYPERLINK(#REF!,"Link")</f>
        <v>#REF!</v>
      </c>
      <c r="Q480" s="12" t="e">
        <f>HYPERLINK(#REF!,"Link")</f>
        <v>#REF!</v>
      </c>
    </row>
    <row r="481" spans="1:17" x14ac:dyDescent="0.3">
      <c r="A481" t="s">
        <v>1164</v>
      </c>
      <c r="B481" t="s">
        <v>904</v>
      </c>
      <c r="C481" s="9" t="s">
        <v>3729</v>
      </c>
      <c r="D481" s="9" t="s">
        <v>3809</v>
      </c>
      <c r="E481" s="14">
        <v>1299</v>
      </c>
      <c r="F481" s="3">
        <v>599</v>
      </c>
      <c r="G481" s="3">
        <f t="shared" si="36"/>
        <v>2598</v>
      </c>
      <c r="H481" s="3">
        <f t="shared" si="35"/>
        <v>1198</v>
      </c>
      <c r="I481" s="14">
        <f t="shared" si="37"/>
        <v>1402.92</v>
      </c>
      <c r="J481" s="14">
        <f t="shared" si="38"/>
        <v>-1400</v>
      </c>
      <c r="K481" s="1">
        <v>0.54</v>
      </c>
      <c r="L481">
        <v>4.0999999999999996</v>
      </c>
      <c r="M481" s="2">
        <v>192589</v>
      </c>
      <c r="N481" t="s">
        <v>905</v>
      </c>
      <c r="O481">
        <f t="shared" si="39"/>
        <v>2</v>
      </c>
      <c r="P481" s="12" t="e">
        <f>HYPERLINK(#REF!,"Link")</f>
        <v>#REF!</v>
      </c>
      <c r="Q481" s="12" t="e">
        <f>HYPERLINK(#REF!,"Link")</f>
        <v>#REF!</v>
      </c>
    </row>
    <row r="482" spans="1:17" x14ac:dyDescent="0.3">
      <c r="A482" t="s">
        <v>1165</v>
      </c>
      <c r="B482" t="s">
        <v>1166</v>
      </c>
      <c r="C482" s="10" t="s">
        <v>3810</v>
      </c>
      <c r="D482" s="10" t="s">
        <v>3811</v>
      </c>
      <c r="E482" s="14">
        <v>999</v>
      </c>
      <c r="F482" s="3">
        <v>349</v>
      </c>
      <c r="G482" s="3">
        <f t="shared" si="36"/>
        <v>2997</v>
      </c>
      <c r="H482" s="3">
        <f t="shared" si="35"/>
        <v>1047</v>
      </c>
      <c r="I482" s="14">
        <f t="shared" si="37"/>
        <v>1948.0500000000002</v>
      </c>
      <c r="J482" s="14">
        <f t="shared" si="38"/>
        <v>-1950</v>
      </c>
      <c r="K482" s="1">
        <v>0.65</v>
      </c>
      <c r="L482">
        <v>3.8</v>
      </c>
      <c r="M482" s="2">
        <v>16557</v>
      </c>
      <c r="N482" t="s">
        <v>1167</v>
      </c>
      <c r="O482">
        <f t="shared" si="39"/>
        <v>3</v>
      </c>
      <c r="P482" s="12" t="e">
        <f>HYPERLINK(#REF!,"Link")</f>
        <v>#REF!</v>
      </c>
      <c r="Q482" s="12" t="e">
        <f>HYPERLINK(#REF!,"Link")</f>
        <v>#REF!</v>
      </c>
    </row>
    <row r="483" spans="1:17" x14ac:dyDescent="0.3">
      <c r="A483" t="s">
        <v>1168</v>
      </c>
      <c r="B483" t="s">
        <v>1018</v>
      </c>
      <c r="C483" s="9" t="s">
        <v>3812</v>
      </c>
      <c r="D483" s="9" t="s">
        <v>3764</v>
      </c>
      <c r="E483" s="14">
        <v>19499</v>
      </c>
      <c r="F483" s="3">
        <v>13999</v>
      </c>
      <c r="G483" s="3">
        <f t="shared" si="36"/>
        <v>38998</v>
      </c>
      <c r="H483" s="3">
        <f t="shared" si="35"/>
        <v>27998</v>
      </c>
      <c r="I483" s="14">
        <f t="shared" si="37"/>
        <v>10919.44</v>
      </c>
      <c r="J483" s="14">
        <f t="shared" si="38"/>
        <v>-11000</v>
      </c>
      <c r="K483" s="1">
        <v>0.28000000000000003</v>
      </c>
      <c r="L483">
        <v>4.0999999999999996</v>
      </c>
      <c r="M483" s="2">
        <v>18998</v>
      </c>
      <c r="N483" t="s">
        <v>948</v>
      </c>
      <c r="O483">
        <f t="shared" si="39"/>
        <v>2</v>
      </c>
      <c r="P483" s="12" t="e">
        <f>HYPERLINK(#REF!,"Link")</f>
        <v>#REF!</v>
      </c>
      <c r="Q483" s="12" t="e">
        <f>HYPERLINK(#REF!,"Link")</f>
        <v>#REF!</v>
      </c>
    </row>
    <row r="484" spans="1:17" x14ac:dyDescent="0.3">
      <c r="A484" t="s">
        <v>1169</v>
      </c>
      <c r="B484" t="s">
        <v>1166</v>
      </c>
      <c r="C484" s="10" t="s">
        <v>3793</v>
      </c>
      <c r="D484" s="10" t="s">
        <v>3813</v>
      </c>
      <c r="E484" s="14">
        <v>999</v>
      </c>
      <c r="F484" s="3">
        <v>349</v>
      </c>
      <c r="G484" s="3">
        <f t="shared" si="36"/>
        <v>2997</v>
      </c>
      <c r="H484" s="3">
        <f t="shared" si="35"/>
        <v>1047</v>
      </c>
      <c r="I484" s="14">
        <f t="shared" si="37"/>
        <v>1948.0500000000002</v>
      </c>
      <c r="J484" s="14">
        <f t="shared" si="38"/>
        <v>-1950</v>
      </c>
      <c r="K484" s="1">
        <v>0.65</v>
      </c>
      <c r="L484">
        <v>3.8</v>
      </c>
      <c r="M484" s="2">
        <v>16557</v>
      </c>
      <c r="N484" t="s">
        <v>1167</v>
      </c>
      <c r="O484">
        <f t="shared" si="39"/>
        <v>3</v>
      </c>
      <c r="P484" s="12" t="e">
        <f>HYPERLINK(#REF!,"Link")</f>
        <v>#REF!</v>
      </c>
      <c r="Q484" s="12" t="e">
        <f>HYPERLINK(#REF!,"Link")</f>
        <v>#REF!</v>
      </c>
    </row>
    <row r="485" spans="1:17" x14ac:dyDescent="0.3">
      <c r="A485" t="s">
        <v>1170</v>
      </c>
      <c r="B485" t="s">
        <v>1171</v>
      </c>
      <c r="C485" s="9" t="s">
        <v>3787</v>
      </c>
      <c r="D485" s="9" t="s">
        <v>3814</v>
      </c>
      <c r="E485" s="14">
        <v>599</v>
      </c>
      <c r="F485" s="3">
        <v>499</v>
      </c>
      <c r="G485" s="3">
        <f t="shared" si="36"/>
        <v>1198</v>
      </c>
      <c r="H485" s="3">
        <f t="shared" si="35"/>
        <v>998</v>
      </c>
      <c r="I485" s="14">
        <f t="shared" si="37"/>
        <v>203.66000000000003</v>
      </c>
      <c r="J485" s="14">
        <f t="shared" si="38"/>
        <v>-200</v>
      </c>
      <c r="K485" s="1">
        <v>0.17</v>
      </c>
      <c r="L485">
        <v>4.2</v>
      </c>
      <c r="M485" s="2">
        <v>21916</v>
      </c>
      <c r="N485" t="s">
        <v>1172</v>
      </c>
      <c r="O485">
        <f t="shared" si="39"/>
        <v>2</v>
      </c>
      <c r="P485" s="12" t="e">
        <f>HYPERLINK(#REF!,"Link")</f>
        <v>#REF!</v>
      </c>
      <c r="Q485" s="12" t="e">
        <f>HYPERLINK(#REF!,"Link")</f>
        <v>#REF!</v>
      </c>
    </row>
    <row r="486" spans="1:17" x14ac:dyDescent="0.3">
      <c r="A486" t="s">
        <v>1173</v>
      </c>
      <c r="B486" t="s">
        <v>951</v>
      </c>
      <c r="C486" s="10" t="s">
        <v>3815</v>
      </c>
      <c r="D486" s="10"/>
      <c r="E486" s="14">
        <v>9999</v>
      </c>
      <c r="F486" s="3">
        <v>2199</v>
      </c>
      <c r="G486" s="3">
        <f t="shared" si="36"/>
        <v>19998</v>
      </c>
      <c r="H486" s="3">
        <f t="shared" si="35"/>
        <v>4398</v>
      </c>
      <c r="I486" s="14">
        <f t="shared" si="37"/>
        <v>15598.44</v>
      </c>
      <c r="J486" s="14">
        <f t="shared" si="38"/>
        <v>-15600</v>
      </c>
      <c r="K486" s="1">
        <v>0.78</v>
      </c>
      <c r="L486">
        <v>4.2</v>
      </c>
      <c r="M486" s="2">
        <v>29472</v>
      </c>
      <c r="N486" t="s">
        <v>952</v>
      </c>
      <c r="O486">
        <f t="shared" si="39"/>
        <v>2</v>
      </c>
      <c r="P486" s="12" t="e">
        <f>HYPERLINK(#REF!,"Link")</f>
        <v>#REF!</v>
      </c>
      <c r="Q486" s="12" t="e">
        <f>HYPERLINK(#REF!,"Link")</f>
        <v>#REF!</v>
      </c>
    </row>
    <row r="487" spans="1:17" x14ac:dyDescent="0.3">
      <c r="A487" t="s">
        <v>1174</v>
      </c>
      <c r="B487" t="s">
        <v>1175</v>
      </c>
      <c r="C487" s="9" t="s">
        <v>3816</v>
      </c>
      <c r="D487" s="9" t="s">
        <v>3817</v>
      </c>
      <c r="E487" s="14">
        <v>499</v>
      </c>
      <c r="F487" s="3">
        <v>95</v>
      </c>
      <c r="G487" s="3">
        <f t="shared" si="36"/>
        <v>998</v>
      </c>
      <c r="H487" s="3">
        <f t="shared" si="35"/>
        <v>190</v>
      </c>
      <c r="I487" s="14">
        <f t="shared" si="37"/>
        <v>808.38000000000011</v>
      </c>
      <c r="J487" s="14">
        <f t="shared" si="38"/>
        <v>-808</v>
      </c>
      <c r="K487" s="1">
        <v>0.81</v>
      </c>
      <c r="L487">
        <v>4.2</v>
      </c>
      <c r="M487" s="2">
        <v>1949</v>
      </c>
      <c r="N487" t="s">
        <v>1176</v>
      </c>
      <c r="O487">
        <f t="shared" si="39"/>
        <v>2</v>
      </c>
      <c r="P487" s="12" t="e">
        <f>HYPERLINK(#REF!,"Link")</f>
        <v>#REF!</v>
      </c>
      <c r="Q487" s="12" t="e">
        <f>HYPERLINK(#REF!,"Link")</f>
        <v>#REF!</v>
      </c>
    </row>
    <row r="488" spans="1:17" x14ac:dyDescent="0.3">
      <c r="A488" t="s">
        <v>1177</v>
      </c>
      <c r="B488" t="s">
        <v>134</v>
      </c>
      <c r="C488" s="10" t="s">
        <v>3744</v>
      </c>
      <c r="D488" s="10" t="s">
        <v>3818</v>
      </c>
      <c r="E488" s="14">
        <v>249</v>
      </c>
      <c r="F488" s="3">
        <v>139</v>
      </c>
      <c r="G488" s="3">
        <f t="shared" si="36"/>
        <v>747</v>
      </c>
      <c r="H488" s="3">
        <f t="shared" si="35"/>
        <v>417</v>
      </c>
      <c r="I488" s="14">
        <f t="shared" si="37"/>
        <v>328.68</v>
      </c>
      <c r="J488" s="14">
        <f t="shared" si="38"/>
        <v>-330</v>
      </c>
      <c r="K488" s="1">
        <v>0.44</v>
      </c>
      <c r="L488">
        <v>4</v>
      </c>
      <c r="M488" s="2">
        <v>9377</v>
      </c>
      <c r="N488" t="s">
        <v>74</v>
      </c>
      <c r="O488">
        <f t="shared" si="39"/>
        <v>3</v>
      </c>
      <c r="P488" s="12" t="e">
        <f>HYPERLINK(#REF!,"Link")</f>
        <v>#REF!</v>
      </c>
      <c r="Q488" s="12" t="e">
        <f>HYPERLINK(#REF!,"Link")</f>
        <v>#REF!</v>
      </c>
    </row>
    <row r="489" spans="1:17" x14ac:dyDescent="0.3">
      <c r="A489" t="s">
        <v>1178</v>
      </c>
      <c r="B489" t="s">
        <v>971</v>
      </c>
      <c r="C489" s="9" t="s">
        <v>3768</v>
      </c>
      <c r="D489" s="9" t="s">
        <v>3819</v>
      </c>
      <c r="E489" s="14">
        <v>7999</v>
      </c>
      <c r="F489" s="3">
        <v>4499</v>
      </c>
      <c r="G489" s="3">
        <f t="shared" si="36"/>
        <v>23997</v>
      </c>
      <c r="H489" s="3">
        <f t="shared" si="35"/>
        <v>13497</v>
      </c>
      <c r="I489" s="14">
        <f t="shared" si="37"/>
        <v>10558.68</v>
      </c>
      <c r="J489" s="14">
        <f t="shared" si="38"/>
        <v>-10500</v>
      </c>
      <c r="K489" s="1">
        <v>0.44</v>
      </c>
      <c r="L489">
        <v>3.5</v>
      </c>
      <c r="M489">
        <v>37</v>
      </c>
      <c r="N489" t="s">
        <v>1179</v>
      </c>
      <c r="O489">
        <f t="shared" si="39"/>
        <v>3</v>
      </c>
      <c r="P489" s="12" t="e">
        <f>HYPERLINK(#REF!,"Link")</f>
        <v>#REF!</v>
      </c>
      <c r="Q489" s="12" t="e">
        <f>HYPERLINK(#REF!,"Link")</f>
        <v>#REF!</v>
      </c>
    </row>
    <row r="490" spans="1:17" x14ac:dyDescent="0.3">
      <c r="A490" t="s">
        <v>1180</v>
      </c>
      <c r="B490" t="s">
        <v>1181</v>
      </c>
      <c r="C490" s="10" t="s">
        <v>3820</v>
      </c>
      <c r="D490" s="10"/>
      <c r="E490" s="14">
        <v>599</v>
      </c>
      <c r="F490" s="3">
        <v>89</v>
      </c>
      <c r="G490" s="3">
        <f t="shared" si="36"/>
        <v>1198</v>
      </c>
      <c r="H490" s="3">
        <f t="shared" si="35"/>
        <v>178</v>
      </c>
      <c r="I490" s="14">
        <f t="shared" si="37"/>
        <v>1018.3</v>
      </c>
      <c r="J490" s="14">
        <f t="shared" si="38"/>
        <v>-1020</v>
      </c>
      <c r="K490" s="1">
        <v>0.85</v>
      </c>
      <c r="L490">
        <v>4.3</v>
      </c>
      <c r="M490" s="2">
        <v>2351</v>
      </c>
      <c r="N490" t="s">
        <v>1182</v>
      </c>
      <c r="O490">
        <f t="shared" si="39"/>
        <v>2</v>
      </c>
      <c r="P490" s="12" t="e">
        <f>HYPERLINK(#REF!,"Link")</f>
        <v>#REF!</v>
      </c>
      <c r="Q490" s="12" t="e">
        <f>HYPERLINK(#REF!,"Link")</f>
        <v>#REF!</v>
      </c>
    </row>
    <row r="491" spans="1:17" x14ac:dyDescent="0.3">
      <c r="A491" t="s">
        <v>1183</v>
      </c>
      <c r="B491" t="s">
        <v>1021</v>
      </c>
      <c r="C491" s="9" t="s">
        <v>3725</v>
      </c>
      <c r="D491" s="9" t="s">
        <v>3726</v>
      </c>
      <c r="E491" s="14">
        <v>20999</v>
      </c>
      <c r="F491" s="3">
        <v>15499</v>
      </c>
      <c r="G491" s="3">
        <f t="shared" si="36"/>
        <v>41998</v>
      </c>
      <c r="H491" s="3">
        <f t="shared" si="35"/>
        <v>30998</v>
      </c>
      <c r="I491" s="14">
        <f t="shared" si="37"/>
        <v>10919.48</v>
      </c>
      <c r="J491" s="14">
        <f t="shared" si="38"/>
        <v>-11000</v>
      </c>
      <c r="K491" s="1">
        <v>0.26</v>
      </c>
      <c r="L491">
        <v>4.0999999999999996</v>
      </c>
      <c r="M491" s="2">
        <v>19253</v>
      </c>
      <c r="N491" t="s">
        <v>975</v>
      </c>
      <c r="O491">
        <f t="shared" si="39"/>
        <v>2</v>
      </c>
      <c r="P491" s="12" t="e">
        <f>HYPERLINK(#REF!,"Link")</f>
        <v>#REF!</v>
      </c>
      <c r="Q491" s="12" t="e">
        <f>HYPERLINK(#REF!,"Link")</f>
        <v>#REF!</v>
      </c>
    </row>
    <row r="492" spans="1:17" x14ac:dyDescent="0.3">
      <c r="A492" t="s">
        <v>1184</v>
      </c>
      <c r="B492" t="s">
        <v>1185</v>
      </c>
      <c r="C492" s="10" t="s">
        <v>3821</v>
      </c>
      <c r="D492" s="10"/>
      <c r="E492" s="14">
        <v>15999</v>
      </c>
      <c r="F492" s="3">
        <v>13999</v>
      </c>
      <c r="G492" s="3">
        <f t="shared" si="36"/>
        <v>127992</v>
      </c>
      <c r="H492" s="3">
        <f t="shared" si="35"/>
        <v>111992</v>
      </c>
      <c r="I492" s="14">
        <f t="shared" si="37"/>
        <v>16638.96</v>
      </c>
      <c r="J492" s="14">
        <f t="shared" si="38"/>
        <v>-16000</v>
      </c>
      <c r="K492" s="1">
        <v>0.13</v>
      </c>
      <c r="L492">
        <v>3.9</v>
      </c>
      <c r="M492" s="2">
        <v>2180</v>
      </c>
      <c r="N492" t="s">
        <v>1186</v>
      </c>
      <c r="O492">
        <f t="shared" si="39"/>
        <v>8</v>
      </c>
      <c r="P492" s="12" t="e">
        <f>HYPERLINK(#REF!,"Link")</f>
        <v>#REF!</v>
      </c>
      <c r="Q492" s="12" t="e">
        <f>HYPERLINK(#REF!,"Link")</f>
        <v>#REF!</v>
      </c>
    </row>
    <row r="493" spans="1:17" x14ac:dyDescent="0.3">
      <c r="A493" t="s">
        <v>1187</v>
      </c>
      <c r="B493" t="s">
        <v>1188</v>
      </c>
      <c r="C493" s="9" t="s">
        <v>3822</v>
      </c>
      <c r="D493" s="9"/>
      <c r="E493" s="14">
        <v>4999</v>
      </c>
      <c r="F493" s="3">
        <v>1999</v>
      </c>
      <c r="G493" s="3">
        <f t="shared" si="36"/>
        <v>9998</v>
      </c>
      <c r="H493" s="3">
        <f t="shared" si="35"/>
        <v>3998</v>
      </c>
      <c r="I493" s="14">
        <f t="shared" si="37"/>
        <v>5998.8</v>
      </c>
      <c r="J493" s="14">
        <f t="shared" si="38"/>
        <v>-6000</v>
      </c>
      <c r="K493" s="1">
        <v>0.6</v>
      </c>
      <c r="L493">
        <v>3.9</v>
      </c>
      <c r="M493" s="2">
        <v>7571</v>
      </c>
      <c r="N493" t="s">
        <v>1189</v>
      </c>
      <c r="O493">
        <f t="shared" si="39"/>
        <v>2</v>
      </c>
      <c r="P493" s="12" t="e">
        <f>HYPERLINK(#REF!,"Link")</f>
        <v>#REF!</v>
      </c>
      <c r="Q493" s="12" t="e">
        <f>HYPERLINK(#REF!,"Link")</f>
        <v>#REF!</v>
      </c>
    </row>
    <row r="494" spans="1:17" x14ac:dyDescent="0.3">
      <c r="A494" t="s">
        <v>1190</v>
      </c>
      <c r="B494" t="s">
        <v>1139</v>
      </c>
      <c r="C494" s="10" t="s">
        <v>3823</v>
      </c>
      <c r="D494" s="10"/>
      <c r="E494" s="14">
        <v>5999</v>
      </c>
      <c r="F494" s="3">
        <v>1399</v>
      </c>
      <c r="G494" s="3">
        <f t="shared" si="36"/>
        <v>17997</v>
      </c>
      <c r="H494" s="3">
        <f t="shared" si="35"/>
        <v>4197</v>
      </c>
      <c r="I494" s="14">
        <f t="shared" si="37"/>
        <v>13857.690000000002</v>
      </c>
      <c r="J494" s="14">
        <f t="shared" si="38"/>
        <v>-13800</v>
      </c>
      <c r="K494" s="1">
        <v>0.77</v>
      </c>
      <c r="L494">
        <v>3.3</v>
      </c>
      <c r="M494" s="2">
        <v>4415</v>
      </c>
      <c r="N494" t="s">
        <v>1140</v>
      </c>
      <c r="O494">
        <f t="shared" si="39"/>
        <v>3</v>
      </c>
      <c r="P494" s="12" t="e">
        <f>HYPERLINK(#REF!,"Link")</f>
        <v>#REF!</v>
      </c>
      <c r="Q494" s="12" t="e">
        <f>HYPERLINK(#REF!,"Link")</f>
        <v>#REF!</v>
      </c>
    </row>
    <row r="495" spans="1:17" x14ac:dyDescent="0.3">
      <c r="A495" t="s">
        <v>1191</v>
      </c>
      <c r="B495" t="s">
        <v>1192</v>
      </c>
      <c r="C495" s="9" t="s">
        <v>3752</v>
      </c>
      <c r="D495" s="9" t="s">
        <v>3824</v>
      </c>
      <c r="E495" s="14">
        <v>999</v>
      </c>
      <c r="F495" s="3">
        <v>599</v>
      </c>
      <c r="G495" s="3">
        <f t="shared" si="36"/>
        <v>4995</v>
      </c>
      <c r="H495" s="3">
        <f t="shared" si="35"/>
        <v>2995</v>
      </c>
      <c r="I495" s="14">
        <f t="shared" si="37"/>
        <v>1998</v>
      </c>
      <c r="J495" s="14">
        <f t="shared" si="38"/>
        <v>-2000</v>
      </c>
      <c r="K495" s="1">
        <v>0.4</v>
      </c>
      <c r="L495">
        <v>4</v>
      </c>
      <c r="M495" s="2">
        <v>18654</v>
      </c>
      <c r="N495" t="s">
        <v>1193</v>
      </c>
      <c r="O495">
        <f t="shared" si="39"/>
        <v>5</v>
      </c>
      <c r="P495" s="12" t="e">
        <f>HYPERLINK(#REF!,"Link")</f>
        <v>#REF!</v>
      </c>
      <c r="Q495" s="12" t="e">
        <f>HYPERLINK(#REF!,"Link")</f>
        <v>#REF!</v>
      </c>
    </row>
    <row r="496" spans="1:17" x14ac:dyDescent="0.3">
      <c r="A496" t="s">
        <v>1194</v>
      </c>
      <c r="B496" t="s">
        <v>1195</v>
      </c>
      <c r="C496" s="10" t="s">
        <v>3748</v>
      </c>
      <c r="D496" s="10" t="s">
        <v>3759</v>
      </c>
      <c r="E496" s="14">
        <v>1099</v>
      </c>
      <c r="F496" s="3">
        <v>199</v>
      </c>
      <c r="G496" s="3">
        <f t="shared" si="36"/>
        <v>4396</v>
      </c>
      <c r="H496" s="3">
        <f t="shared" si="35"/>
        <v>796</v>
      </c>
      <c r="I496" s="14">
        <f t="shared" si="37"/>
        <v>3604.72</v>
      </c>
      <c r="J496" s="14">
        <f t="shared" si="38"/>
        <v>-3600</v>
      </c>
      <c r="K496" s="1">
        <v>0.82</v>
      </c>
      <c r="L496">
        <v>4</v>
      </c>
      <c r="M496" s="2">
        <v>3197</v>
      </c>
      <c r="N496" t="s">
        <v>1196</v>
      </c>
      <c r="O496">
        <f t="shared" si="39"/>
        <v>4</v>
      </c>
      <c r="P496" s="12" t="e">
        <f>HYPERLINK(#REF!,"Link")</f>
        <v>#REF!</v>
      </c>
      <c r="Q496" s="12" t="e">
        <f>HYPERLINK(#REF!,"Link")</f>
        <v>#REF!</v>
      </c>
    </row>
    <row r="497" spans="1:17" x14ac:dyDescent="0.3">
      <c r="A497" t="s">
        <v>1197</v>
      </c>
      <c r="B497" t="s">
        <v>1198</v>
      </c>
      <c r="C497" s="9" t="s">
        <v>3816</v>
      </c>
      <c r="D497" s="9" t="s">
        <v>3825</v>
      </c>
      <c r="E497" s="14">
        <v>6990</v>
      </c>
      <c r="F497" s="3">
        <v>1799</v>
      </c>
      <c r="G497" s="3">
        <f t="shared" si="36"/>
        <v>13980</v>
      </c>
      <c r="H497" s="3">
        <f t="shared" si="35"/>
        <v>3598</v>
      </c>
      <c r="I497" s="14">
        <f t="shared" si="37"/>
        <v>10345.200000000001</v>
      </c>
      <c r="J497" s="14">
        <f t="shared" si="38"/>
        <v>-10382</v>
      </c>
      <c r="K497" s="1">
        <v>0.74</v>
      </c>
      <c r="L497">
        <v>4</v>
      </c>
      <c r="M497" s="2">
        <v>26880</v>
      </c>
      <c r="N497" t="s">
        <v>1199</v>
      </c>
      <c r="O497">
        <f t="shared" si="39"/>
        <v>2</v>
      </c>
      <c r="P497" s="12" t="e">
        <f>HYPERLINK(#REF!,"Link")</f>
        <v>#REF!</v>
      </c>
      <c r="Q497" s="12" t="e">
        <f>HYPERLINK(#REF!,"Link")</f>
        <v>#REF!</v>
      </c>
    </row>
    <row r="498" spans="1:17" x14ac:dyDescent="0.3">
      <c r="A498" t="s">
        <v>1200</v>
      </c>
      <c r="B498" t="s">
        <v>901</v>
      </c>
      <c r="C498" s="10" t="s">
        <v>3768</v>
      </c>
      <c r="D498" s="10" t="s">
        <v>3826</v>
      </c>
      <c r="E498" s="14">
        <v>6990</v>
      </c>
      <c r="F498" s="3">
        <v>1499</v>
      </c>
      <c r="G498" s="3">
        <f t="shared" si="36"/>
        <v>13980</v>
      </c>
      <c r="H498" s="3">
        <f t="shared" si="35"/>
        <v>2998</v>
      </c>
      <c r="I498" s="14">
        <f t="shared" si="37"/>
        <v>11044.2</v>
      </c>
      <c r="J498" s="14">
        <f t="shared" si="38"/>
        <v>-10982</v>
      </c>
      <c r="K498" s="1">
        <v>0.79</v>
      </c>
      <c r="L498">
        <v>3.9</v>
      </c>
      <c r="M498" s="2">
        <v>21796</v>
      </c>
      <c r="N498" t="s">
        <v>902</v>
      </c>
      <c r="O498">
        <f t="shared" si="39"/>
        <v>2</v>
      </c>
      <c r="P498" s="12" t="e">
        <f>HYPERLINK(#REF!,"Link")</f>
        <v>#REF!</v>
      </c>
      <c r="Q498" s="12" t="e">
        <f>HYPERLINK(#REF!,"Link")</f>
        <v>#REF!</v>
      </c>
    </row>
    <row r="499" spans="1:17" x14ac:dyDescent="0.3">
      <c r="A499" t="s">
        <v>1201</v>
      </c>
      <c r="B499" t="s">
        <v>1113</v>
      </c>
      <c r="C499" s="9" t="s">
        <v>3768</v>
      </c>
      <c r="D499" s="9"/>
      <c r="E499" s="14">
        <v>29990</v>
      </c>
      <c r="F499" s="3">
        <v>20999</v>
      </c>
      <c r="G499" s="3">
        <f t="shared" si="36"/>
        <v>89970</v>
      </c>
      <c r="H499" s="3">
        <f t="shared" si="35"/>
        <v>62997</v>
      </c>
      <c r="I499" s="14">
        <f t="shared" si="37"/>
        <v>26991</v>
      </c>
      <c r="J499" s="14">
        <f t="shared" si="38"/>
        <v>-26973</v>
      </c>
      <c r="K499" s="1">
        <v>0.3</v>
      </c>
      <c r="L499">
        <v>4.3</v>
      </c>
      <c r="M499" s="2">
        <v>9499</v>
      </c>
      <c r="N499" t="s">
        <v>1114</v>
      </c>
      <c r="O499">
        <f t="shared" si="39"/>
        <v>3</v>
      </c>
      <c r="P499" s="12" t="e">
        <f>HYPERLINK(#REF!,"Link")</f>
        <v>#REF!</v>
      </c>
      <c r="Q499" s="12" t="e">
        <f>HYPERLINK(#REF!,"Link")</f>
        <v>#REF!</v>
      </c>
    </row>
    <row r="500" spans="1:17" x14ac:dyDescent="0.3">
      <c r="A500" t="s">
        <v>1202</v>
      </c>
      <c r="B500" t="s">
        <v>1203</v>
      </c>
      <c r="C500" s="10" t="s">
        <v>3812</v>
      </c>
      <c r="D500" s="10" t="s">
        <v>3760</v>
      </c>
      <c r="E500" s="14">
        <v>13499</v>
      </c>
      <c r="F500" s="3">
        <v>12999</v>
      </c>
      <c r="G500" s="3">
        <f t="shared" si="36"/>
        <v>26998</v>
      </c>
      <c r="H500" s="3">
        <f t="shared" si="35"/>
        <v>25998</v>
      </c>
      <c r="I500" s="14">
        <f t="shared" si="37"/>
        <v>1079.92</v>
      </c>
      <c r="J500" s="14">
        <f t="shared" si="38"/>
        <v>-1000</v>
      </c>
      <c r="K500" s="1">
        <v>0.04</v>
      </c>
      <c r="L500">
        <v>4.0999999999999996</v>
      </c>
      <c r="M500" s="2">
        <v>56098</v>
      </c>
      <c r="N500" t="s">
        <v>1204</v>
      </c>
      <c r="O500">
        <f t="shared" si="39"/>
        <v>2</v>
      </c>
      <c r="P500" s="12" t="e">
        <f>HYPERLINK(#REF!,"Link")</f>
        <v>#REF!</v>
      </c>
      <c r="Q500" s="12" t="e">
        <f>HYPERLINK(#REF!,"Link")</f>
        <v>#REF!</v>
      </c>
    </row>
    <row r="501" spans="1:17" x14ac:dyDescent="0.3">
      <c r="A501" t="s">
        <v>1205</v>
      </c>
      <c r="B501" t="s">
        <v>1206</v>
      </c>
      <c r="C501" s="9" t="s">
        <v>3827</v>
      </c>
      <c r="D501" s="9"/>
      <c r="E501" s="14">
        <v>20999</v>
      </c>
      <c r="F501" s="3">
        <v>16999</v>
      </c>
      <c r="G501" s="3">
        <f t="shared" si="36"/>
        <v>41998</v>
      </c>
      <c r="H501" s="3">
        <f t="shared" si="35"/>
        <v>33998</v>
      </c>
      <c r="I501" s="14">
        <f t="shared" si="37"/>
        <v>7979.62</v>
      </c>
      <c r="J501" s="14">
        <f t="shared" si="38"/>
        <v>-8000</v>
      </c>
      <c r="K501" s="1">
        <v>0.19</v>
      </c>
      <c r="L501">
        <v>4.0999999999999996</v>
      </c>
      <c r="M501" s="2">
        <v>31822</v>
      </c>
      <c r="N501" t="s">
        <v>1207</v>
      </c>
      <c r="O501">
        <f t="shared" si="39"/>
        <v>2</v>
      </c>
      <c r="P501" s="12" t="e">
        <f>HYPERLINK(#REF!,"Link")</f>
        <v>#REF!</v>
      </c>
      <c r="Q501" s="12" t="e">
        <f>HYPERLINK(#REF!,"Link")</f>
        <v>#REF!</v>
      </c>
    </row>
    <row r="502" spans="1:17" x14ac:dyDescent="0.3">
      <c r="A502" t="s">
        <v>1208</v>
      </c>
      <c r="B502" t="s">
        <v>1113</v>
      </c>
      <c r="C502" s="10" t="s">
        <v>3779</v>
      </c>
      <c r="D502" s="10" t="s">
        <v>3828</v>
      </c>
      <c r="E502" s="14">
        <v>27990</v>
      </c>
      <c r="F502" s="3">
        <v>19999</v>
      </c>
      <c r="G502" s="3">
        <f t="shared" si="36"/>
        <v>83970</v>
      </c>
      <c r="H502" s="3">
        <f t="shared" si="35"/>
        <v>59997</v>
      </c>
      <c r="I502" s="14">
        <f t="shared" si="37"/>
        <v>24351.3</v>
      </c>
      <c r="J502" s="14">
        <f t="shared" si="38"/>
        <v>-23973</v>
      </c>
      <c r="K502" s="1">
        <v>0.28999999999999998</v>
      </c>
      <c r="L502">
        <v>4.3</v>
      </c>
      <c r="M502" s="2">
        <v>9499</v>
      </c>
      <c r="N502" t="s">
        <v>1114</v>
      </c>
      <c r="O502">
        <f t="shared" si="39"/>
        <v>3</v>
      </c>
      <c r="P502" s="12" t="e">
        <f>HYPERLINK(#REF!,"Link")</f>
        <v>#REF!</v>
      </c>
      <c r="Q502" s="12" t="e">
        <f>HYPERLINK(#REF!,"Link")</f>
        <v>#REF!</v>
      </c>
    </row>
    <row r="503" spans="1:17" x14ac:dyDescent="0.3">
      <c r="A503" t="s">
        <v>1209</v>
      </c>
      <c r="B503" t="s">
        <v>1070</v>
      </c>
      <c r="C503" s="9" t="s">
        <v>3829</v>
      </c>
      <c r="D503" s="9"/>
      <c r="E503" s="14">
        <v>18999</v>
      </c>
      <c r="F503" s="3">
        <v>12999</v>
      </c>
      <c r="G503" s="3">
        <f t="shared" si="36"/>
        <v>56997</v>
      </c>
      <c r="H503" s="3">
        <f t="shared" si="35"/>
        <v>38997</v>
      </c>
      <c r="I503" s="14">
        <f t="shared" si="37"/>
        <v>18239.04</v>
      </c>
      <c r="J503" s="14">
        <f t="shared" si="38"/>
        <v>-18000</v>
      </c>
      <c r="K503" s="1">
        <v>0.32</v>
      </c>
      <c r="L503">
        <v>4.0999999999999996</v>
      </c>
      <c r="M503" s="2">
        <v>50772</v>
      </c>
      <c r="N503" t="s">
        <v>1071</v>
      </c>
      <c r="O503">
        <f t="shared" si="39"/>
        <v>3</v>
      </c>
      <c r="P503" s="12" t="e">
        <f>HYPERLINK(#REF!,"Link")</f>
        <v>#REF!</v>
      </c>
      <c r="Q503" s="12" t="e">
        <f>HYPERLINK(#REF!,"Link")</f>
        <v>#REF!</v>
      </c>
    </row>
    <row r="504" spans="1:17" x14ac:dyDescent="0.3">
      <c r="A504" t="s">
        <v>1210</v>
      </c>
      <c r="B504" t="s">
        <v>1211</v>
      </c>
      <c r="C504" s="10" t="s">
        <v>3744</v>
      </c>
      <c r="D504" s="10" t="s">
        <v>3830</v>
      </c>
      <c r="E504" s="14">
        <v>5999</v>
      </c>
      <c r="F504" s="3">
        <v>2999</v>
      </c>
      <c r="G504" s="3">
        <f t="shared" si="36"/>
        <v>11998</v>
      </c>
      <c r="H504" s="3">
        <f t="shared" si="35"/>
        <v>5998</v>
      </c>
      <c r="I504" s="14">
        <f t="shared" si="37"/>
        <v>5999</v>
      </c>
      <c r="J504" s="14">
        <f t="shared" si="38"/>
        <v>-6000</v>
      </c>
      <c r="K504" s="1">
        <v>0.5</v>
      </c>
      <c r="L504">
        <v>4.0999999999999996</v>
      </c>
      <c r="M504" s="2">
        <v>7148</v>
      </c>
      <c r="N504" t="s">
        <v>1212</v>
      </c>
      <c r="O504">
        <f t="shared" si="39"/>
        <v>2</v>
      </c>
      <c r="P504" s="12" t="e">
        <f>HYPERLINK(#REF!,"Link")</f>
        <v>#REF!</v>
      </c>
      <c r="Q504" s="12" t="e">
        <f>HYPERLINK(#REF!,"Link")</f>
        <v>#REF!</v>
      </c>
    </row>
    <row r="505" spans="1:17" x14ac:dyDescent="0.3">
      <c r="A505" t="s">
        <v>90</v>
      </c>
      <c r="B505" t="s">
        <v>91</v>
      </c>
      <c r="C505" s="9" t="s">
        <v>3831</v>
      </c>
      <c r="D505" s="9"/>
      <c r="E505" s="14">
        <v>999</v>
      </c>
      <c r="F505" s="3">
        <v>299</v>
      </c>
      <c r="G505" s="3">
        <f t="shared" si="36"/>
        <v>2997</v>
      </c>
      <c r="H505" s="3">
        <f t="shared" si="35"/>
        <v>897</v>
      </c>
      <c r="I505" s="14">
        <f t="shared" si="37"/>
        <v>2097.8999999999996</v>
      </c>
      <c r="J505" s="14">
        <f t="shared" si="38"/>
        <v>-2100</v>
      </c>
      <c r="K505" s="1">
        <v>0.7</v>
      </c>
      <c r="L505">
        <v>4.3</v>
      </c>
      <c r="M505" s="2">
        <v>20850</v>
      </c>
      <c r="N505" t="s">
        <v>1213</v>
      </c>
      <c r="O505">
        <f t="shared" si="39"/>
        <v>3</v>
      </c>
      <c r="P505" s="12" t="e">
        <f>HYPERLINK(#REF!,"Link")</f>
        <v>#REF!</v>
      </c>
      <c r="Q505" s="12" t="e">
        <f>HYPERLINK(#REF!,"Link")</f>
        <v>#REF!</v>
      </c>
    </row>
    <row r="506" spans="1:17" x14ac:dyDescent="0.3">
      <c r="A506" t="s">
        <v>87</v>
      </c>
      <c r="B506" t="s">
        <v>88</v>
      </c>
      <c r="C506" s="10" t="s">
        <v>3768</v>
      </c>
      <c r="D506" s="10" t="s">
        <v>3832</v>
      </c>
      <c r="E506" s="14">
        <v>1999</v>
      </c>
      <c r="F506" s="3">
        <v>970</v>
      </c>
      <c r="G506" s="3">
        <f t="shared" si="36"/>
        <v>3998</v>
      </c>
      <c r="H506" s="3">
        <f t="shared" si="35"/>
        <v>1940</v>
      </c>
      <c r="I506" s="14">
        <f t="shared" si="37"/>
        <v>2038.98</v>
      </c>
      <c r="J506" s="14">
        <f t="shared" si="38"/>
        <v>-2058</v>
      </c>
      <c r="K506" s="1">
        <v>0.51</v>
      </c>
      <c r="L506">
        <v>4.4000000000000004</v>
      </c>
      <c r="M506">
        <v>184</v>
      </c>
      <c r="N506" t="s">
        <v>89</v>
      </c>
      <c r="O506">
        <f t="shared" si="39"/>
        <v>2</v>
      </c>
      <c r="P506" s="12" t="e">
        <f>HYPERLINK(#REF!,"Link")</f>
        <v>#REF!</v>
      </c>
      <c r="Q506" s="12" t="e">
        <f>HYPERLINK(#REF!,"Link")</f>
        <v>#REF!</v>
      </c>
    </row>
    <row r="507" spans="1:17" x14ac:dyDescent="0.3">
      <c r="A507" t="s">
        <v>1214</v>
      </c>
      <c r="B507" t="s">
        <v>1215</v>
      </c>
      <c r="C507" s="9" t="s">
        <v>3816</v>
      </c>
      <c r="D507" s="9" t="s">
        <v>3833</v>
      </c>
      <c r="E507" s="14">
        <v>999</v>
      </c>
      <c r="F507" s="3">
        <v>329</v>
      </c>
      <c r="G507" s="3">
        <f t="shared" si="36"/>
        <v>1998</v>
      </c>
      <c r="H507" s="3">
        <f t="shared" si="35"/>
        <v>658</v>
      </c>
      <c r="I507" s="14">
        <f t="shared" si="37"/>
        <v>1338.66</v>
      </c>
      <c r="J507" s="14">
        <f t="shared" si="38"/>
        <v>-1340</v>
      </c>
      <c r="K507" s="1">
        <v>0.67</v>
      </c>
      <c r="L507">
        <v>4.2</v>
      </c>
      <c r="M507" s="2">
        <v>3492</v>
      </c>
      <c r="N507" t="s">
        <v>1216</v>
      </c>
      <c r="O507">
        <f t="shared" si="39"/>
        <v>2</v>
      </c>
      <c r="P507" s="12" t="e">
        <f>HYPERLINK(#REF!,"Link")</f>
        <v>#REF!</v>
      </c>
      <c r="Q507" s="12" t="e">
        <f>HYPERLINK(#REF!,"Link")</f>
        <v>#REF!</v>
      </c>
    </row>
    <row r="508" spans="1:17" x14ac:dyDescent="0.3">
      <c r="A508" t="s">
        <v>1217</v>
      </c>
      <c r="B508" t="s">
        <v>1139</v>
      </c>
      <c r="C508" s="10" t="s">
        <v>3729</v>
      </c>
      <c r="D508" s="10" t="s">
        <v>3834</v>
      </c>
      <c r="E508" s="14">
        <v>5999</v>
      </c>
      <c r="F508" s="3">
        <v>1299</v>
      </c>
      <c r="G508" s="3">
        <f t="shared" si="36"/>
        <v>17997</v>
      </c>
      <c r="H508" s="3">
        <f t="shared" si="35"/>
        <v>3897</v>
      </c>
      <c r="I508" s="14">
        <f t="shared" si="37"/>
        <v>14037.66</v>
      </c>
      <c r="J508" s="14">
        <f t="shared" si="38"/>
        <v>-14100</v>
      </c>
      <c r="K508" s="1">
        <v>0.78</v>
      </c>
      <c r="L508">
        <v>3.3</v>
      </c>
      <c r="M508" s="2">
        <v>4415</v>
      </c>
      <c r="N508" t="s">
        <v>1140</v>
      </c>
      <c r="O508">
        <f t="shared" si="39"/>
        <v>3</v>
      </c>
      <c r="P508" s="12" t="e">
        <f>HYPERLINK(#REF!,"Link")</f>
        <v>#REF!</v>
      </c>
      <c r="Q508" s="12" t="e">
        <f>HYPERLINK(#REF!,"Link")</f>
        <v>#REF!</v>
      </c>
    </row>
    <row r="509" spans="1:17" x14ac:dyDescent="0.3">
      <c r="A509" t="s">
        <v>1218</v>
      </c>
      <c r="B509" t="s">
        <v>892</v>
      </c>
      <c r="C509" s="9" t="s">
        <v>3812</v>
      </c>
      <c r="D509" s="9" t="s">
        <v>3835</v>
      </c>
      <c r="E509" s="14">
        <v>3500</v>
      </c>
      <c r="F509" s="3">
        <v>1989</v>
      </c>
      <c r="G509" s="3">
        <f t="shared" si="36"/>
        <v>10500</v>
      </c>
      <c r="H509" s="3">
        <f t="shared" si="35"/>
        <v>5967</v>
      </c>
      <c r="I509" s="14">
        <f t="shared" si="37"/>
        <v>4515</v>
      </c>
      <c r="J509" s="14">
        <f t="shared" si="38"/>
        <v>-4533</v>
      </c>
      <c r="K509" s="1">
        <v>0.43</v>
      </c>
      <c r="L509">
        <v>4.4000000000000004</v>
      </c>
      <c r="M509" s="2">
        <v>67260</v>
      </c>
      <c r="N509" t="s">
        <v>893</v>
      </c>
      <c r="O509">
        <f t="shared" si="39"/>
        <v>3</v>
      </c>
      <c r="P509" s="12" t="e">
        <f>HYPERLINK(#REF!,"Link")</f>
        <v>#REF!</v>
      </c>
      <c r="Q509" s="12" t="e">
        <f>HYPERLINK(#REF!,"Link")</f>
        <v>#REF!</v>
      </c>
    </row>
    <row r="510" spans="1:17" x14ac:dyDescent="0.3">
      <c r="A510" t="s">
        <v>1219</v>
      </c>
      <c r="B510" t="s">
        <v>874</v>
      </c>
      <c r="C510" s="10" t="s">
        <v>3836</v>
      </c>
      <c r="D510" s="10" t="s">
        <v>3837</v>
      </c>
      <c r="E510" s="14">
        <v>9999</v>
      </c>
      <c r="F510" s="3">
        <v>1999</v>
      </c>
      <c r="G510" s="3">
        <f t="shared" si="36"/>
        <v>19998</v>
      </c>
      <c r="H510" s="3">
        <f t="shared" si="35"/>
        <v>3998</v>
      </c>
      <c r="I510" s="14">
        <f t="shared" si="37"/>
        <v>15998.400000000001</v>
      </c>
      <c r="J510" s="14">
        <f t="shared" si="38"/>
        <v>-16000</v>
      </c>
      <c r="K510" s="1">
        <v>0.8</v>
      </c>
      <c r="L510">
        <v>4.3</v>
      </c>
      <c r="M510" s="2">
        <v>27704</v>
      </c>
      <c r="N510" t="s">
        <v>875</v>
      </c>
      <c r="O510">
        <f t="shared" si="39"/>
        <v>2</v>
      </c>
      <c r="P510" s="12" t="e">
        <f>HYPERLINK(#REF!,"Link")</f>
        <v>#REF!</v>
      </c>
      <c r="Q510" s="12" t="e">
        <f>HYPERLINK(#REF!,"Link")</f>
        <v>#REF!</v>
      </c>
    </row>
    <row r="511" spans="1:17" x14ac:dyDescent="0.3">
      <c r="A511" t="s">
        <v>1220</v>
      </c>
      <c r="B511" t="s">
        <v>1070</v>
      </c>
      <c r="C511" s="9" t="s">
        <v>3838</v>
      </c>
      <c r="D511" s="9"/>
      <c r="E511" s="14">
        <v>18999</v>
      </c>
      <c r="F511" s="3">
        <v>12999</v>
      </c>
      <c r="G511" s="3">
        <f t="shared" si="36"/>
        <v>56997</v>
      </c>
      <c r="H511" s="3">
        <f t="shared" si="35"/>
        <v>38997</v>
      </c>
      <c r="I511" s="14">
        <f t="shared" si="37"/>
        <v>18239.04</v>
      </c>
      <c r="J511" s="14">
        <f t="shared" si="38"/>
        <v>-18000</v>
      </c>
      <c r="K511" s="1">
        <v>0.32</v>
      </c>
      <c r="L511">
        <v>4.0999999999999996</v>
      </c>
      <c r="M511" s="2">
        <v>50772</v>
      </c>
      <c r="N511" t="s">
        <v>1071</v>
      </c>
      <c r="O511">
        <f t="shared" si="39"/>
        <v>3</v>
      </c>
      <c r="P511" s="12" t="e">
        <f>HYPERLINK(#REF!,"Link")</f>
        <v>#REF!</v>
      </c>
      <c r="Q511" s="12" t="e">
        <f>HYPERLINK(#REF!,"Link")</f>
        <v>#REF!</v>
      </c>
    </row>
    <row r="512" spans="1:17" x14ac:dyDescent="0.3">
      <c r="A512" t="s">
        <v>1221</v>
      </c>
      <c r="B512" t="s">
        <v>1222</v>
      </c>
      <c r="C512" s="10" t="s">
        <v>3839</v>
      </c>
      <c r="D512" s="10"/>
      <c r="E512" s="14">
        <v>4999</v>
      </c>
      <c r="F512" s="3">
        <v>1499</v>
      </c>
      <c r="G512" s="3">
        <f t="shared" si="36"/>
        <v>14997</v>
      </c>
      <c r="H512" s="3">
        <f t="shared" si="35"/>
        <v>4497</v>
      </c>
      <c r="I512" s="14">
        <f t="shared" si="37"/>
        <v>10497.9</v>
      </c>
      <c r="J512" s="14">
        <f t="shared" si="38"/>
        <v>-10500</v>
      </c>
      <c r="K512" s="1">
        <v>0.7</v>
      </c>
      <c r="L512">
        <v>4</v>
      </c>
      <c r="M512" s="2">
        <v>92588</v>
      </c>
      <c r="N512" t="s">
        <v>1223</v>
      </c>
      <c r="O512">
        <f t="shared" si="39"/>
        <v>3</v>
      </c>
      <c r="P512" s="12" t="e">
        <f>HYPERLINK(#REF!,"Link")</f>
        <v>#REF!</v>
      </c>
      <c r="Q512" s="12" t="e">
        <f>HYPERLINK(#REF!,"Link")</f>
        <v>#REF!</v>
      </c>
    </row>
    <row r="513" spans="1:17" x14ac:dyDescent="0.3">
      <c r="A513" t="s">
        <v>1224</v>
      </c>
      <c r="B513" t="s">
        <v>1206</v>
      </c>
      <c r="C513" s="9" t="s">
        <v>3836</v>
      </c>
      <c r="D513" s="9" t="s">
        <v>3837</v>
      </c>
      <c r="E513" s="14">
        <v>20999</v>
      </c>
      <c r="F513" s="3">
        <v>16999</v>
      </c>
      <c r="G513" s="3">
        <f t="shared" si="36"/>
        <v>41998</v>
      </c>
      <c r="H513" s="3">
        <f t="shared" si="35"/>
        <v>33998</v>
      </c>
      <c r="I513" s="14">
        <f t="shared" si="37"/>
        <v>7979.62</v>
      </c>
      <c r="J513" s="14">
        <f t="shared" si="38"/>
        <v>-8000</v>
      </c>
      <c r="K513" s="1">
        <v>0.19</v>
      </c>
      <c r="L513">
        <v>4.0999999999999996</v>
      </c>
      <c r="M513" s="2">
        <v>31822</v>
      </c>
      <c r="N513" t="s">
        <v>1207</v>
      </c>
      <c r="O513">
        <f t="shared" si="39"/>
        <v>2</v>
      </c>
      <c r="P513" s="12" t="e">
        <f>HYPERLINK(#REF!,"Link")</f>
        <v>#REF!</v>
      </c>
      <c r="Q513" s="12" t="e">
        <f>HYPERLINK(#REF!,"Link")</f>
        <v>#REF!</v>
      </c>
    </row>
    <row r="514" spans="1:17" x14ac:dyDescent="0.3">
      <c r="A514" t="s">
        <v>1225</v>
      </c>
      <c r="B514" t="s">
        <v>1226</v>
      </c>
      <c r="C514" s="10" t="s">
        <v>3725</v>
      </c>
      <c r="D514" s="10" t="s">
        <v>3726</v>
      </c>
      <c r="E514" s="14">
        <v>8499</v>
      </c>
      <c r="F514" s="3">
        <v>1999</v>
      </c>
      <c r="G514" s="3">
        <f t="shared" si="36"/>
        <v>25497</v>
      </c>
      <c r="H514" s="3">
        <f t="shared" ref="H514:H577" si="40">F514*O514</f>
        <v>5997</v>
      </c>
      <c r="I514" s="14">
        <f t="shared" si="37"/>
        <v>19377.72</v>
      </c>
      <c r="J514" s="14">
        <f t="shared" si="38"/>
        <v>-19500</v>
      </c>
      <c r="K514" s="1">
        <v>0.76</v>
      </c>
      <c r="L514">
        <v>4.3</v>
      </c>
      <c r="M514">
        <v>240</v>
      </c>
      <c r="N514" t="s">
        <v>1227</v>
      </c>
      <c r="O514">
        <f t="shared" si="39"/>
        <v>3</v>
      </c>
      <c r="P514" s="12" t="e">
        <f>HYPERLINK(#REF!,"Link")</f>
        <v>#REF!</v>
      </c>
      <c r="Q514" s="12" t="e">
        <f>HYPERLINK(#REF!,"Link")</f>
        <v>#REF!</v>
      </c>
    </row>
    <row r="515" spans="1:17" x14ac:dyDescent="0.3">
      <c r="A515" t="s">
        <v>1228</v>
      </c>
      <c r="B515" t="s">
        <v>1229</v>
      </c>
      <c r="C515" s="9" t="s">
        <v>3816</v>
      </c>
      <c r="D515" s="9" t="s">
        <v>3840</v>
      </c>
      <c r="E515" s="14">
        <v>6999</v>
      </c>
      <c r="F515" s="3">
        <v>4999</v>
      </c>
      <c r="G515" s="3">
        <f t="shared" ref="G515:G578" si="41">E515*O515</f>
        <v>20997</v>
      </c>
      <c r="H515" s="3">
        <f t="shared" si="40"/>
        <v>14997</v>
      </c>
      <c r="I515" s="14">
        <f t="shared" ref="I515:I578" si="42">(E515*K515)*O515</f>
        <v>6089.1299999999992</v>
      </c>
      <c r="J515" s="14">
        <f t="shared" ref="J515:J578" si="43">H515-G515</f>
        <v>-6000</v>
      </c>
      <c r="K515" s="1">
        <v>0.28999999999999998</v>
      </c>
      <c r="L515">
        <v>3.8</v>
      </c>
      <c r="M515">
        <v>758</v>
      </c>
      <c r="N515" t="s">
        <v>1230</v>
      </c>
      <c r="O515">
        <f t="shared" ref="O515:O578" si="44">LEN(N515)-LEN(SUBSTITUTE(N515,",",""))+1</f>
        <v>3</v>
      </c>
      <c r="P515" s="12" t="e">
        <f>HYPERLINK(#REF!,"Link")</f>
        <v>#REF!</v>
      </c>
      <c r="Q515" s="12" t="e">
        <f>HYPERLINK(#REF!,"Link")</f>
        <v>#REF!</v>
      </c>
    </row>
    <row r="516" spans="1:17" x14ac:dyDescent="0.3">
      <c r="A516" t="s">
        <v>108</v>
      </c>
      <c r="B516" t="s">
        <v>109</v>
      </c>
      <c r="C516" s="10" t="s">
        <v>3793</v>
      </c>
      <c r="D516" s="10" t="s">
        <v>3841</v>
      </c>
      <c r="E516" s="14">
        <v>666.66</v>
      </c>
      <c r="F516" s="3">
        <v>99</v>
      </c>
      <c r="G516" s="3">
        <f t="shared" si="41"/>
        <v>2666.64</v>
      </c>
      <c r="H516" s="3">
        <f t="shared" si="40"/>
        <v>396</v>
      </c>
      <c r="I516" s="14">
        <f t="shared" si="42"/>
        <v>2266.6439999999998</v>
      </c>
      <c r="J516" s="14">
        <f t="shared" si="43"/>
        <v>-2270.64</v>
      </c>
      <c r="K516" s="1">
        <v>0.85</v>
      </c>
      <c r="L516">
        <v>3.9</v>
      </c>
      <c r="M516" s="2">
        <v>24870</v>
      </c>
      <c r="N516" t="s">
        <v>26</v>
      </c>
      <c r="O516">
        <f t="shared" si="44"/>
        <v>4</v>
      </c>
      <c r="P516" s="12" t="e">
        <f>HYPERLINK(#REF!,"Link")</f>
        <v>#REF!</v>
      </c>
      <c r="Q516" s="12" t="e">
        <f>HYPERLINK(#REF!,"Link")</f>
        <v>#REF!</v>
      </c>
    </row>
    <row r="517" spans="1:17" x14ac:dyDescent="0.3">
      <c r="A517" t="s">
        <v>1231</v>
      </c>
      <c r="B517" t="s">
        <v>1232</v>
      </c>
      <c r="C517" s="9" t="s">
        <v>3744</v>
      </c>
      <c r="D517" s="9" t="s">
        <v>3842</v>
      </c>
      <c r="E517" s="14">
        <v>5999</v>
      </c>
      <c r="F517" s="3">
        <v>2499</v>
      </c>
      <c r="G517" s="3">
        <f t="shared" si="41"/>
        <v>11998</v>
      </c>
      <c r="H517" s="3">
        <f t="shared" si="40"/>
        <v>4998</v>
      </c>
      <c r="I517" s="14">
        <f t="shared" si="42"/>
        <v>6958.8399999999992</v>
      </c>
      <c r="J517" s="14">
        <f t="shared" si="43"/>
        <v>-7000</v>
      </c>
      <c r="K517" s="1">
        <v>0.57999999999999996</v>
      </c>
      <c r="L517">
        <v>3.7</v>
      </c>
      <c r="M517">
        <v>828</v>
      </c>
      <c r="N517" t="s">
        <v>1233</v>
      </c>
      <c r="O517">
        <f t="shared" si="44"/>
        <v>2</v>
      </c>
      <c r="P517" s="12" t="e">
        <f>HYPERLINK(#REF!,"Link")</f>
        <v>#REF!</v>
      </c>
      <c r="Q517" s="12" t="e">
        <f>HYPERLINK(#REF!,"Link")</f>
        <v>#REF!</v>
      </c>
    </row>
    <row r="518" spans="1:17" x14ac:dyDescent="0.3">
      <c r="A518" t="s">
        <v>1234</v>
      </c>
      <c r="B518" t="s">
        <v>1123</v>
      </c>
      <c r="C518" s="10" t="s">
        <v>3843</v>
      </c>
      <c r="D518" s="10"/>
      <c r="E518" s="14">
        <v>1630</v>
      </c>
      <c r="F518" s="3">
        <v>1399</v>
      </c>
      <c r="G518" s="3">
        <f t="shared" si="41"/>
        <v>11410</v>
      </c>
      <c r="H518" s="3">
        <f t="shared" si="40"/>
        <v>9793</v>
      </c>
      <c r="I518" s="14">
        <f t="shared" si="42"/>
        <v>1597.4</v>
      </c>
      <c r="J518" s="14">
        <f t="shared" si="43"/>
        <v>-1617</v>
      </c>
      <c r="K518" s="1">
        <v>0.14000000000000001</v>
      </c>
      <c r="L518">
        <v>4</v>
      </c>
      <c r="M518" s="2">
        <v>9378</v>
      </c>
      <c r="N518" t="s">
        <v>1124</v>
      </c>
      <c r="O518">
        <f t="shared" si="44"/>
        <v>7</v>
      </c>
      <c r="P518" s="12" t="e">
        <f>HYPERLINK(#REF!,"Link")</f>
        <v>#REF!</v>
      </c>
      <c r="Q518" s="12" t="e">
        <f>HYPERLINK(#REF!,"Link")</f>
        <v>#REF!</v>
      </c>
    </row>
    <row r="519" spans="1:17" x14ac:dyDescent="0.3">
      <c r="A519" t="s">
        <v>1235</v>
      </c>
      <c r="B519" t="s">
        <v>939</v>
      </c>
      <c r="C519" s="9" t="s">
        <v>3839</v>
      </c>
      <c r="D519" s="9" t="s">
        <v>3844</v>
      </c>
      <c r="E519" s="14">
        <v>9999</v>
      </c>
      <c r="F519" s="3">
        <v>1499</v>
      </c>
      <c r="G519" s="3">
        <f t="shared" si="41"/>
        <v>9999</v>
      </c>
      <c r="H519" s="3">
        <f t="shared" si="40"/>
        <v>1499</v>
      </c>
      <c r="I519" s="14">
        <f t="shared" si="42"/>
        <v>8499.15</v>
      </c>
      <c r="J519" s="14">
        <f t="shared" si="43"/>
        <v>-8500</v>
      </c>
      <c r="K519" s="1">
        <v>0.85</v>
      </c>
      <c r="L519">
        <v>4.2</v>
      </c>
      <c r="M519" s="2">
        <v>22638</v>
      </c>
      <c r="N519" t="s">
        <v>940</v>
      </c>
      <c r="O519">
        <f t="shared" si="44"/>
        <v>1</v>
      </c>
      <c r="P519" s="12" t="e">
        <f>HYPERLINK(#REF!,"Link")</f>
        <v>#REF!</v>
      </c>
      <c r="Q519" s="12" t="e">
        <f>HYPERLINK(#REF!,"Link")</f>
        <v>#REF!</v>
      </c>
    </row>
    <row r="520" spans="1:17" x14ac:dyDescent="0.3">
      <c r="A520" t="s">
        <v>110</v>
      </c>
      <c r="B520" t="s">
        <v>111</v>
      </c>
      <c r="C520" s="10" t="s">
        <v>3845</v>
      </c>
      <c r="D520" s="10" t="s">
        <v>3846</v>
      </c>
      <c r="E520" s="14">
        <v>1900</v>
      </c>
      <c r="F520" s="3">
        <v>899</v>
      </c>
      <c r="G520" s="3">
        <f t="shared" si="41"/>
        <v>5700</v>
      </c>
      <c r="H520" s="3">
        <f t="shared" si="40"/>
        <v>2697</v>
      </c>
      <c r="I520" s="14">
        <f t="shared" si="42"/>
        <v>3021</v>
      </c>
      <c r="J520" s="14">
        <f t="shared" si="43"/>
        <v>-3003</v>
      </c>
      <c r="K520" s="1">
        <v>0.53</v>
      </c>
      <c r="L520">
        <v>4.4000000000000004</v>
      </c>
      <c r="M520" s="2">
        <v>13552</v>
      </c>
      <c r="N520" t="s">
        <v>112</v>
      </c>
      <c r="O520">
        <f t="shared" si="44"/>
        <v>3</v>
      </c>
      <c r="P520" s="12" t="e">
        <f>HYPERLINK(#REF!,"Link")</f>
        <v>#REF!</v>
      </c>
      <c r="Q520" s="12" t="e">
        <f>HYPERLINK(#REF!,"Link")</f>
        <v>#REF!</v>
      </c>
    </row>
    <row r="521" spans="1:17" x14ac:dyDescent="0.3">
      <c r="A521" t="s">
        <v>1236</v>
      </c>
      <c r="B521" t="s">
        <v>233</v>
      </c>
      <c r="C521" s="9" t="s">
        <v>3793</v>
      </c>
      <c r="D521" s="9" t="s">
        <v>3847</v>
      </c>
      <c r="E521" s="14">
        <v>599</v>
      </c>
      <c r="F521" s="3">
        <v>249</v>
      </c>
      <c r="G521" s="3">
        <f t="shared" si="41"/>
        <v>1198</v>
      </c>
      <c r="H521" s="3">
        <f t="shared" si="40"/>
        <v>498</v>
      </c>
      <c r="I521" s="14">
        <f t="shared" si="42"/>
        <v>694.83999999999992</v>
      </c>
      <c r="J521" s="14">
        <f t="shared" si="43"/>
        <v>-700</v>
      </c>
      <c r="K521" s="1">
        <v>0.57999999999999996</v>
      </c>
      <c r="L521">
        <v>3.9</v>
      </c>
      <c r="M521" s="2">
        <v>2147</v>
      </c>
      <c r="N521" t="s">
        <v>1237</v>
      </c>
      <c r="O521">
        <f t="shared" si="44"/>
        <v>2</v>
      </c>
      <c r="P521" s="12" t="e">
        <f>HYPERLINK(#REF!,"Link")</f>
        <v>#REF!</v>
      </c>
      <c r="Q521" s="12" t="e">
        <f>HYPERLINK(#REF!,"Link")</f>
        <v>#REF!</v>
      </c>
    </row>
    <row r="522" spans="1:17" x14ac:dyDescent="0.3">
      <c r="A522" t="s">
        <v>1238</v>
      </c>
      <c r="B522" t="s">
        <v>1239</v>
      </c>
      <c r="C522" s="10" t="s">
        <v>3848</v>
      </c>
      <c r="D522" s="10"/>
      <c r="E522" s="14">
        <v>1199</v>
      </c>
      <c r="F522" s="3">
        <v>299</v>
      </c>
      <c r="G522" s="3">
        <f t="shared" si="41"/>
        <v>4796</v>
      </c>
      <c r="H522" s="3">
        <f t="shared" si="40"/>
        <v>1196</v>
      </c>
      <c r="I522" s="14">
        <f t="shared" si="42"/>
        <v>3597</v>
      </c>
      <c r="J522" s="14">
        <f t="shared" si="43"/>
        <v>-3600</v>
      </c>
      <c r="K522" s="1">
        <v>0.75</v>
      </c>
      <c r="L522">
        <v>4.5</v>
      </c>
      <c r="M522">
        <v>596</v>
      </c>
      <c r="N522" t="s">
        <v>1240</v>
      </c>
      <c r="O522">
        <f t="shared" si="44"/>
        <v>4</v>
      </c>
      <c r="P522" s="12" t="e">
        <f>HYPERLINK(#REF!,"Link")</f>
        <v>#REF!</v>
      </c>
      <c r="Q522" s="12" t="e">
        <f>HYPERLINK(#REF!,"Link")</f>
        <v>#REF!</v>
      </c>
    </row>
    <row r="523" spans="1:17" x14ac:dyDescent="0.3">
      <c r="A523" t="s">
        <v>1241</v>
      </c>
      <c r="B523" t="s">
        <v>1175</v>
      </c>
      <c r="C523" s="9" t="s">
        <v>3727</v>
      </c>
      <c r="D523" s="9" t="s">
        <v>3849</v>
      </c>
      <c r="E523" s="14">
        <v>499</v>
      </c>
      <c r="F523" s="3">
        <v>79</v>
      </c>
      <c r="G523" s="3">
        <f t="shared" si="41"/>
        <v>998</v>
      </c>
      <c r="H523" s="3">
        <f t="shared" si="40"/>
        <v>158</v>
      </c>
      <c r="I523" s="14">
        <f t="shared" si="42"/>
        <v>838.31999999999994</v>
      </c>
      <c r="J523" s="14">
        <f t="shared" si="43"/>
        <v>-840</v>
      </c>
      <c r="K523" s="1">
        <v>0.84</v>
      </c>
      <c r="L523">
        <v>4.2</v>
      </c>
      <c r="M523" s="2">
        <v>1949</v>
      </c>
      <c r="N523" t="s">
        <v>1176</v>
      </c>
      <c r="O523">
        <f t="shared" si="44"/>
        <v>2</v>
      </c>
      <c r="P523" s="12" t="e">
        <f>HYPERLINK(#REF!,"Link")</f>
        <v>#REF!</v>
      </c>
      <c r="Q523" s="12" t="e">
        <f>HYPERLINK(#REF!,"Link")</f>
        <v>#REF!</v>
      </c>
    </row>
    <row r="524" spans="1:17" x14ac:dyDescent="0.3">
      <c r="A524" t="s">
        <v>1242</v>
      </c>
      <c r="B524" t="s">
        <v>1185</v>
      </c>
      <c r="C524" s="10" t="s">
        <v>3790</v>
      </c>
      <c r="D524" s="10" t="s">
        <v>3850</v>
      </c>
      <c r="E524" s="14">
        <v>15999</v>
      </c>
      <c r="F524" s="3">
        <v>13999</v>
      </c>
      <c r="G524" s="3">
        <f t="shared" si="41"/>
        <v>47997</v>
      </c>
      <c r="H524" s="3">
        <f t="shared" si="40"/>
        <v>41997</v>
      </c>
      <c r="I524" s="14">
        <f t="shared" si="42"/>
        <v>6239.61</v>
      </c>
      <c r="J524" s="14">
        <f t="shared" si="43"/>
        <v>-6000</v>
      </c>
      <c r="K524" s="1">
        <v>0.13</v>
      </c>
      <c r="L524">
        <v>3.9</v>
      </c>
      <c r="M524" s="2">
        <v>2180</v>
      </c>
      <c r="N524" t="s">
        <v>1243</v>
      </c>
      <c r="O524">
        <f t="shared" si="44"/>
        <v>3</v>
      </c>
      <c r="P524" s="12" t="e">
        <f>HYPERLINK(#REF!,"Link")</f>
        <v>#REF!</v>
      </c>
      <c r="Q524" s="12" t="e">
        <f>HYPERLINK(#REF!,"Link")</f>
        <v>#REF!</v>
      </c>
    </row>
    <row r="525" spans="1:17" x14ac:dyDescent="0.3">
      <c r="A525" t="s">
        <v>1244</v>
      </c>
      <c r="B525" t="s">
        <v>1245</v>
      </c>
      <c r="C525" s="9" t="s">
        <v>3729</v>
      </c>
      <c r="D525" s="9" t="s">
        <v>3851</v>
      </c>
      <c r="E525" s="14">
        <v>999</v>
      </c>
      <c r="F525" s="3">
        <v>949</v>
      </c>
      <c r="G525" s="3">
        <f t="shared" si="41"/>
        <v>1998</v>
      </c>
      <c r="H525" s="3">
        <f t="shared" si="40"/>
        <v>1898</v>
      </c>
      <c r="I525" s="14">
        <f t="shared" si="42"/>
        <v>99.9</v>
      </c>
      <c r="J525" s="14">
        <f t="shared" si="43"/>
        <v>-100</v>
      </c>
      <c r="K525" s="1">
        <v>0.05</v>
      </c>
      <c r="L525">
        <v>4.2</v>
      </c>
      <c r="M525" s="2">
        <v>31539</v>
      </c>
      <c r="N525" t="s">
        <v>1144</v>
      </c>
      <c r="O525">
        <f t="shared" si="44"/>
        <v>2</v>
      </c>
      <c r="P525" s="12" t="e">
        <f>HYPERLINK(#REF!,"Link")</f>
        <v>#REF!</v>
      </c>
      <c r="Q525" s="12" t="e">
        <f>HYPERLINK(#REF!,"Link")</f>
        <v>#REF!</v>
      </c>
    </row>
    <row r="526" spans="1:17" x14ac:dyDescent="0.3">
      <c r="A526" t="s">
        <v>1246</v>
      </c>
      <c r="B526" t="s">
        <v>1247</v>
      </c>
      <c r="C526" s="10" t="s">
        <v>3787</v>
      </c>
      <c r="D526" s="10" t="s">
        <v>3852</v>
      </c>
      <c r="E526" s="14">
        <v>499</v>
      </c>
      <c r="F526" s="3">
        <v>99</v>
      </c>
      <c r="G526" s="3">
        <f t="shared" si="41"/>
        <v>998</v>
      </c>
      <c r="H526" s="3">
        <f t="shared" si="40"/>
        <v>198</v>
      </c>
      <c r="I526" s="14">
        <f t="shared" si="42"/>
        <v>798.40000000000009</v>
      </c>
      <c r="J526" s="14">
        <f t="shared" si="43"/>
        <v>-800</v>
      </c>
      <c r="K526" s="1">
        <v>0.8</v>
      </c>
      <c r="L526">
        <v>4.0999999999999996</v>
      </c>
      <c r="M526" s="2">
        <v>2451</v>
      </c>
      <c r="N526" t="s">
        <v>1248</v>
      </c>
      <c r="O526">
        <f t="shared" si="44"/>
        <v>2</v>
      </c>
      <c r="P526" s="12" t="e">
        <f>HYPERLINK(#REF!,"Link")</f>
        <v>#REF!</v>
      </c>
      <c r="Q526" s="12" t="e">
        <f>HYPERLINK(#REF!,"Link")</f>
        <v>#REF!</v>
      </c>
    </row>
    <row r="527" spans="1:17" x14ac:dyDescent="0.3">
      <c r="A527" t="s">
        <v>1249</v>
      </c>
      <c r="B527" t="s">
        <v>1136</v>
      </c>
      <c r="C527" s="9" t="s">
        <v>3853</v>
      </c>
      <c r="D527" s="9"/>
      <c r="E527" s="14">
        <v>7990</v>
      </c>
      <c r="F527" s="3">
        <v>2499</v>
      </c>
      <c r="G527" s="3">
        <f t="shared" si="41"/>
        <v>23970</v>
      </c>
      <c r="H527" s="3">
        <f t="shared" si="40"/>
        <v>7497</v>
      </c>
      <c r="I527" s="14">
        <f t="shared" si="42"/>
        <v>16539.3</v>
      </c>
      <c r="J527" s="14">
        <f t="shared" si="43"/>
        <v>-16473</v>
      </c>
      <c r="K527" s="1">
        <v>0.69</v>
      </c>
      <c r="L527">
        <v>4.0999999999999996</v>
      </c>
      <c r="M527">
        <v>154</v>
      </c>
      <c r="N527" t="s">
        <v>1137</v>
      </c>
      <c r="O527">
        <f t="shared" si="44"/>
        <v>3</v>
      </c>
      <c r="P527" s="12" t="e">
        <f>HYPERLINK(#REF!,"Link")</f>
        <v>#REF!</v>
      </c>
      <c r="Q527" s="12" t="e">
        <f>HYPERLINK(#REF!,"Link")</f>
        <v>#REF!</v>
      </c>
    </row>
    <row r="528" spans="1:17" x14ac:dyDescent="0.3">
      <c r="A528" t="s">
        <v>1250</v>
      </c>
      <c r="B528" t="s">
        <v>1251</v>
      </c>
      <c r="C528" s="10"/>
      <c r="D528" s="10"/>
      <c r="E528" s="14">
        <v>1999</v>
      </c>
      <c r="F528" s="3">
        <v>689</v>
      </c>
      <c r="G528" s="3">
        <f t="shared" si="41"/>
        <v>3998</v>
      </c>
      <c r="H528" s="3">
        <f t="shared" si="40"/>
        <v>1378</v>
      </c>
      <c r="I528" s="14">
        <f t="shared" si="42"/>
        <v>2638.6800000000003</v>
      </c>
      <c r="J528" s="14">
        <f t="shared" si="43"/>
        <v>-2620</v>
      </c>
      <c r="K528" s="1">
        <v>0.66</v>
      </c>
      <c r="L528">
        <v>4.3</v>
      </c>
      <c r="M528" s="2">
        <v>1193</v>
      </c>
      <c r="N528" t="s">
        <v>1252</v>
      </c>
      <c r="O528">
        <f t="shared" si="44"/>
        <v>2</v>
      </c>
      <c r="P528" s="12" t="e">
        <f>HYPERLINK(#REF!,"Link")</f>
        <v>#REF!</v>
      </c>
      <c r="Q528" s="12" t="e">
        <f>HYPERLINK(#REF!,"Link")</f>
        <v>#REF!</v>
      </c>
    </row>
    <row r="529" spans="1:17" x14ac:dyDescent="0.3">
      <c r="A529" t="s">
        <v>1253</v>
      </c>
      <c r="B529" t="s">
        <v>1254</v>
      </c>
      <c r="C529" s="9" t="s">
        <v>3854</v>
      </c>
      <c r="D529" s="9"/>
      <c r="E529" s="14">
        <v>1899</v>
      </c>
      <c r="F529" s="3">
        <v>499</v>
      </c>
      <c r="G529" s="3">
        <f t="shared" si="41"/>
        <v>5697</v>
      </c>
      <c r="H529" s="3">
        <f t="shared" si="40"/>
        <v>1497</v>
      </c>
      <c r="I529" s="14">
        <f t="shared" si="42"/>
        <v>4215.78</v>
      </c>
      <c r="J529" s="14">
        <f t="shared" si="43"/>
        <v>-4200</v>
      </c>
      <c r="K529" s="1">
        <v>0.74</v>
      </c>
      <c r="L529">
        <v>4.0999999999999996</v>
      </c>
      <c r="M529" s="2">
        <v>1475</v>
      </c>
      <c r="N529" t="s">
        <v>1255</v>
      </c>
      <c r="O529">
        <f t="shared" si="44"/>
        <v>3</v>
      </c>
      <c r="P529" s="12" t="e">
        <f>HYPERLINK(#REF!,"Link")</f>
        <v>#REF!</v>
      </c>
      <c r="Q529" s="12" t="e">
        <f>HYPERLINK(#REF!,"Link")</f>
        <v>#REF!</v>
      </c>
    </row>
    <row r="530" spans="1:17" x14ac:dyDescent="0.3">
      <c r="A530" t="s">
        <v>1256</v>
      </c>
      <c r="B530" t="s">
        <v>1257</v>
      </c>
      <c r="C530" s="10" t="s">
        <v>3795</v>
      </c>
      <c r="D530" s="10"/>
      <c r="E530" s="14">
        <v>999</v>
      </c>
      <c r="F530" s="3">
        <v>299</v>
      </c>
      <c r="G530" s="3">
        <f t="shared" si="41"/>
        <v>4995</v>
      </c>
      <c r="H530" s="3">
        <f t="shared" si="40"/>
        <v>1495</v>
      </c>
      <c r="I530" s="14">
        <f t="shared" si="42"/>
        <v>3496.5</v>
      </c>
      <c r="J530" s="14">
        <f t="shared" si="43"/>
        <v>-3500</v>
      </c>
      <c r="K530" s="1">
        <v>0.7</v>
      </c>
      <c r="L530">
        <v>4.3</v>
      </c>
      <c r="M530" s="2">
        <v>8891</v>
      </c>
      <c r="N530" t="s">
        <v>1258</v>
      </c>
      <c r="O530">
        <f t="shared" si="44"/>
        <v>5</v>
      </c>
      <c r="P530" s="12" t="e">
        <f>HYPERLINK(#REF!,"Link")</f>
        <v>#REF!</v>
      </c>
      <c r="Q530" s="12" t="e">
        <f>HYPERLINK(#REF!,"Link")</f>
        <v>#REF!</v>
      </c>
    </row>
    <row r="531" spans="1:17" x14ac:dyDescent="0.3">
      <c r="A531" t="s">
        <v>1259</v>
      </c>
      <c r="B531" t="s">
        <v>1260</v>
      </c>
      <c r="C531" s="9" t="s">
        <v>3790</v>
      </c>
      <c r="D531" s="9" t="s">
        <v>3855</v>
      </c>
      <c r="E531" s="14">
        <v>499</v>
      </c>
      <c r="F531" s="3">
        <v>209</v>
      </c>
      <c r="G531" s="3">
        <f t="shared" si="41"/>
        <v>2994</v>
      </c>
      <c r="H531" s="3">
        <f t="shared" si="40"/>
        <v>1254</v>
      </c>
      <c r="I531" s="14">
        <f t="shared" si="42"/>
        <v>1736.5199999999998</v>
      </c>
      <c r="J531" s="14">
        <f t="shared" si="43"/>
        <v>-1740</v>
      </c>
      <c r="K531" s="1">
        <v>0.57999999999999996</v>
      </c>
      <c r="L531">
        <v>3.6</v>
      </c>
      <c r="M531">
        <v>104</v>
      </c>
      <c r="N531" t="s">
        <v>1261</v>
      </c>
      <c r="O531">
        <f t="shared" si="44"/>
        <v>6</v>
      </c>
      <c r="P531" s="12" t="e">
        <f>HYPERLINK(#REF!,"Link")</f>
        <v>#REF!</v>
      </c>
      <c r="Q531" s="12" t="e">
        <f>HYPERLINK(#REF!,"Link")</f>
        <v>#REF!</v>
      </c>
    </row>
    <row r="532" spans="1:17" x14ac:dyDescent="0.3">
      <c r="A532" t="s">
        <v>1262</v>
      </c>
      <c r="B532" t="s">
        <v>1263</v>
      </c>
      <c r="C532" s="10" t="s">
        <v>3856</v>
      </c>
      <c r="D532" s="10" t="s">
        <v>3857</v>
      </c>
      <c r="E532" s="14">
        <v>12999</v>
      </c>
      <c r="F532" s="3">
        <v>8499</v>
      </c>
      <c r="G532" s="3">
        <f t="shared" si="41"/>
        <v>25998</v>
      </c>
      <c r="H532" s="3">
        <f t="shared" si="40"/>
        <v>16998</v>
      </c>
      <c r="I532" s="14">
        <f t="shared" si="42"/>
        <v>9099.2999999999993</v>
      </c>
      <c r="J532" s="14">
        <f t="shared" si="43"/>
        <v>-9000</v>
      </c>
      <c r="K532" s="1">
        <v>0.35</v>
      </c>
      <c r="L532">
        <v>4.0999999999999996</v>
      </c>
      <c r="M532" s="2">
        <v>6662</v>
      </c>
      <c r="N532" t="s">
        <v>1264</v>
      </c>
      <c r="O532">
        <f t="shared" si="44"/>
        <v>2</v>
      </c>
      <c r="P532" s="12" t="e">
        <f>HYPERLINK(#REF!,"Link")</f>
        <v>#REF!</v>
      </c>
      <c r="Q532" s="12" t="e">
        <f>HYPERLINK(#REF!,"Link")</f>
        <v>#REF!</v>
      </c>
    </row>
    <row r="533" spans="1:17" x14ac:dyDescent="0.3">
      <c r="A533" t="s">
        <v>1265</v>
      </c>
      <c r="B533" t="s">
        <v>1266</v>
      </c>
      <c r="C533" s="9" t="s">
        <v>3858</v>
      </c>
      <c r="D533" s="9"/>
      <c r="E533" s="14">
        <v>3999</v>
      </c>
      <c r="F533" s="3">
        <v>2179</v>
      </c>
      <c r="G533" s="3">
        <f t="shared" si="41"/>
        <v>15996</v>
      </c>
      <c r="H533" s="3">
        <f t="shared" si="40"/>
        <v>8716</v>
      </c>
      <c r="I533" s="14">
        <f t="shared" si="42"/>
        <v>7358.1600000000008</v>
      </c>
      <c r="J533" s="14">
        <f t="shared" si="43"/>
        <v>-7280</v>
      </c>
      <c r="K533" s="1">
        <v>0.46</v>
      </c>
      <c r="L533">
        <v>4</v>
      </c>
      <c r="M533" s="2">
        <v>8380</v>
      </c>
      <c r="N533" t="s">
        <v>1267</v>
      </c>
      <c r="O533">
        <f t="shared" si="44"/>
        <v>4</v>
      </c>
      <c r="P533" s="12" t="e">
        <f>HYPERLINK(#REF!,"Link")</f>
        <v>#REF!</v>
      </c>
      <c r="Q533" s="12" t="e">
        <f>HYPERLINK(#REF!,"Link")</f>
        <v>#REF!</v>
      </c>
    </row>
    <row r="534" spans="1:17" x14ac:dyDescent="0.3">
      <c r="A534" t="s">
        <v>1268</v>
      </c>
      <c r="B534" t="s">
        <v>1206</v>
      </c>
      <c r="C534" s="10" t="s">
        <v>3859</v>
      </c>
      <c r="D534" s="10" t="s">
        <v>3860</v>
      </c>
      <c r="E534" s="14">
        <v>20999</v>
      </c>
      <c r="F534" s="3">
        <v>16999</v>
      </c>
      <c r="G534" s="3">
        <f t="shared" si="41"/>
        <v>41998</v>
      </c>
      <c r="H534" s="3">
        <f t="shared" si="40"/>
        <v>33998</v>
      </c>
      <c r="I534" s="14">
        <f t="shared" si="42"/>
        <v>7979.62</v>
      </c>
      <c r="J534" s="14">
        <f t="shared" si="43"/>
        <v>-8000</v>
      </c>
      <c r="K534" s="1">
        <v>0.19</v>
      </c>
      <c r="L534">
        <v>4.0999999999999996</v>
      </c>
      <c r="M534" s="2">
        <v>31822</v>
      </c>
      <c r="N534" t="s">
        <v>1207</v>
      </c>
      <c r="O534">
        <f t="shared" si="44"/>
        <v>2</v>
      </c>
      <c r="P534" s="12" t="e">
        <f>HYPERLINK(#REF!,"Link")</f>
        <v>#REF!</v>
      </c>
      <c r="Q534" s="12" t="e">
        <f>HYPERLINK(#REF!,"Link")</f>
        <v>#REF!</v>
      </c>
    </row>
    <row r="535" spans="1:17" x14ac:dyDescent="0.3">
      <c r="A535" t="s">
        <v>1269</v>
      </c>
      <c r="B535" t="s">
        <v>1270</v>
      </c>
      <c r="C535" s="9" t="s">
        <v>3861</v>
      </c>
      <c r="D535" s="9" t="s">
        <v>3862</v>
      </c>
      <c r="E535" s="14">
        <v>49999</v>
      </c>
      <c r="F535" s="3">
        <v>44999</v>
      </c>
      <c r="G535" s="3">
        <f t="shared" si="41"/>
        <v>149997</v>
      </c>
      <c r="H535" s="3">
        <f t="shared" si="40"/>
        <v>134997</v>
      </c>
      <c r="I535" s="14">
        <f t="shared" si="42"/>
        <v>14999.7</v>
      </c>
      <c r="J535" s="14">
        <f t="shared" si="43"/>
        <v>-15000</v>
      </c>
      <c r="K535" s="1">
        <v>0.1</v>
      </c>
      <c r="L535">
        <v>4.3</v>
      </c>
      <c r="M535" s="2">
        <v>3075</v>
      </c>
      <c r="N535" t="s">
        <v>1271</v>
      </c>
      <c r="O535">
        <f t="shared" si="44"/>
        <v>3</v>
      </c>
      <c r="P535" s="12" t="e">
        <f>HYPERLINK(#REF!,"Link")</f>
        <v>#REF!</v>
      </c>
      <c r="Q535" s="12" t="e">
        <f>HYPERLINK(#REF!,"Link")</f>
        <v>#REF!</v>
      </c>
    </row>
    <row r="536" spans="1:17" x14ac:dyDescent="0.3">
      <c r="A536" t="s">
        <v>1272</v>
      </c>
      <c r="B536" t="s">
        <v>1273</v>
      </c>
      <c r="C536" s="10" t="s">
        <v>3861</v>
      </c>
      <c r="D536" s="10" t="s">
        <v>3863</v>
      </c>
      <c r="E536" s="14">
        <v>2999</v>
      </c>
      <c r="F536" s="3">
        <v>2599</v>
      </c>
      <c r="G536" s="3">
        <f t="shared" si="41"/>
        <v>11996</v>
      </c>
      <c r="H536" s="3">
        <f t="shared" si="40"/>
        <v>10396</v>
      </c>
      <c r="I536" s="14">
        <f t="shared" si="42"/>
        <v>1559.48</v>
      </c>
      <c r="J536" s="14">
        <f t="shared" si="43"/>
        <v>-1600</v>
      </c>
      <c r="K536" s="1">
        <v>0.13</v>
      </c>
      <c r="L536">
        <v>3.9</v>
      </c>
      <c r="M536" s="2">
        <v>14266</v>
      </c>
      <c r="N536" t="s">
        <v>1274</v>
      </c>
      <c r="O536">
        <f t="shared" si="44"/>
        <v>4</v>
      </c>
      <c r="P536" s="12" t="e">
        <f>HYPERLINK(#REF!,"Link")</f>
        <v>#REF!</v>
      </c>
      <c r="Q536" s="12" t="e">
        <f>HYPERLINK(#REF!,"Link")</f>
        <v>#REF!</v>
      </c>
    </row>
    <row r="537" spans="1:17" x14ac:dyDescent="0.3">
      <c r="A537" t="s">
        <v>1275</v>
      </c>
      <c r="B537" t="s">
        <v>1276</v>
      </c>
      <c r="C537" s="9" t="s">
        <v>3864</v>
      </c>
      <c r="D537" s="9" t="s">
        <v>3865</v>
      </c>
      <c r="E537" s="14">
        <v>6499</v>
      </c>
      <c r="F537" s="3">
        <v>2799</v>
      </c>
      <c r="G537" s="3">
        <f t="shared" si="41"/>
        <v>19497</v>
      </c>
      <c r="H537" s="3">
        <f t="shared" si="40"/>
        <v>8397</v>
      </c>
      <c r="I537" s="14">
        <f t="shared" si="42"/>
        <v>11113.289999999999</v>
      </c>
      <c r="J537" s="14">
        <f t="shared" si="43"/>
        <v>-11100</v>
      </c>
      <c r="K537" s="1">
        <v>0.56999999999999995</v>
      </c>
      <c r="L537">
        <v>4.0999999999999996</v>
      </c>
      <c r="M537" s="2">
        <v>38879</v>
      </c>
      <c r="N537" t="s">
        <v>1277</v>
      </c>
      <c r="O537">
        <f t="shared" si="44"/>
        <v>3</v>
      </c>
      <c r="P537" s="12" t="e">
        <f>HYPERLINK(#REF!,"Link")</f>
        <v>#REF!</v>
      </c>
      <c r="Q537" s="12" t="e">
        <f>HYPERLINK(#REF!,"Link")</f>
        <v>#REF!</v>
      </c>
    </row>
    <row r="538" spans="1:17" x14ac:dyDescent="0.3">
      <c r="A538" t="s">
        <v>1278</v>
      </c>
      <c r="B538" t="s">
        <v>1279</v>
      </c>
      <c r="C538" s="10" t="s">
        <v>3859</v>
      </c>
      <c r="D538" s="10" t="s">
        <v>3866</v>
      </c>
      <c r="E538" s="14">
        <v>2990</v>
      </c>
      <c r="F538" s="3">
        <v>1399</v>
      </c>
      <c r="G538" s="3">
        <f t="shared" si="41"/>
        <v>11960</v>
      </c>
      <c r="H538" s="3">
        <f t="shared" si="40"/>
        <v>5596</v>
      </c>
      <c r="I538" s="14">
        <f t="shared" si="42"/>
        <v>6338.8</v>
      </c>
      <c r="J538" s="14">
        <f t="shared" si="43"/>
        <v>-6364</v>
      </c>
      <c r="K538" s="1">
        <v>0.53</v>
      </c>
      <c r="L538">
        <v>4.0999999999999996</v>
      </c>
      <c r="M538" s="2">
        <v>97175</v>
      </c>
      <c r="N538" t="s">
        <v>1280</v>
      </c>
      <c r="O538">
        <f t="shared" si="44"/>
        <v>4</v>
      </c>
      <c r="P538" s="12" t="e">
        <f>HYPERLINK(#REF!,"Link")</f>
        <v>#REF!</v>
      </c>
      <c r="Q538" s="12" t="e">
        <f>HYPERLINK(#REF!,"Link")</f>
        <v>#REF!</v>
      </c>
    </row>
    <row r="539" spans="1:17" x14ac:dyDescent="0.3">
      <c r="A539" t="s">
        <v>1281</v>
      </c>
      <c r="B539" t="s">
        <v>945</v>
      </c>
      <c r="C539" s="9" t="s">
        <v>3867</v>
      </c>
      <c r="D539" s="9" t="s">
        <v>3868</v>
      </c>
      <c r="E539" s="14">
        <v>2400</v>
      </c>
      <c r="F539" s="3">
        <v>649</v>
      </c>
      <c r="G539" s="3">
        <f t="shared" si="41"/>
        <v>7200</v>
      </c>
      <c r="H539" s="3">
        <f t="shared" si="40"/>
        <v>1947</v>
      </c>
      <c r="I539" s="14">
        <f t="shared" si="42"/>
        <v>5256</v>
      </c>
      <c r="J539" s="14">
        <f t="shared" si="43"/>
        <v>-5253</v>
      </c>
      <c r="K539" s="1">
        <v>0.73</v>
      </c>
      <c r="L539">
        <v>4.4000000000000004</v>
      </c>
      <c r="M539" s="2">
        <v>67260</v>
      </c>
      <c r="N539" t="s">
        <v>893</v>
      </c>
      <c r="O539">
        <f t="shared" si="44"/>
        <v>3</v>
      </c>
      <c r="P539" s="12" t="e">
        <f>HYPERLINK(#REF!,"Link")</f>
        <v>#REF!</v>
      </c>
      <c r="Q539" s="12" t="e">
        <f>HYPERLINK(#REF!,"Link")</f>
        <v>#REF!</v>
      </c>
    </row>
    <row r="540" spans="1:17" x14ac:dyDescent="0.3">
      <c r="A540" t="s">
        <v>1282</v>
      </c>
      <c r="B540" t="s">
        <v>1283</v>
      </c>
      <c r="C540" s="10" t="s">
        <v>3859</v>
      </c>
      <c r="D540" s="10" t="s">
        <v>3869</v>
      </c>
      <c r="E540" s="14">
        <v>3990</v>
      </c>
      <c r="F540" s="3">
        <v>799</v>
      </c>
      <c r="G540" s="3">
        <f t="shared" si="41"/>
        <v>7980</v>
      </c>
      <c r="H540" s="3">
        <f t="shared" si="40"/>
        <v>1598</v>
      </c>
      <c r="I540" s="14">
        <f t="shared" si="42"/>
        <v>6384</v>
      </c>
      <c r="J540" s="14">
        <f t="shared" si="43"/>
        <v>-6382</v>
      </c>
      <c r="K540" s="1">
        <v>0.8</v>
      </c>
      <c r="L540">
        <v>3.8</v>
      </c>
      <c r="M540">
        <v>119</v>
      </c>
      <c r="N540" t="s">
        <v>1284</v>
      </c>
      <c r="O540">
        <f t="shared" si="44"/>
        <v>2</v>
      </c>
      <c r="P540" s="12" t="e">
        <f>HYPERLINK(#REF!,"Link")</f>
        <v>#REF!</v>
      </c>
      <c r="Q540" s="12" t="e">
        <f>HYPERLINK(#REF!,"Link")</f>
        <v>#REF!</v>
      </c>
    </row>
    <row r="541" spans="1:17" x14ac:dyDescent="0.3">
      <c r="A541" t="s">
        <v>1285</v>
      </c>
      <c r="B541" t="s">
        <v>1286</v>
      </c>
      <c r="C541" s="9" t="s">
        <v>3859</v>
      </c>
      <c r="D541" s="9" t="s">
        <v>3870</v>
      </c>
      <c r="E541" s="14">
        <v>149</v>
      </c>
      <c r="F541" s="3">
        <v>149</v>
      </c>
      <c r="G541" s="3">
        <f t="shared" si="41"/>
        <v>298</v>
      </c>
      <c r="H541" s="3">
        <f t="shared" si="40"/>
        <v>298</v>
      </c>
      <c r="I541" s="14">
        <f t="shared" si="42"/>
        <v>0</v>
      </c>
      <c r="J541" s="14">
        <f t="shared" si="43"/>
        <v>0</v>
      </c>
      <c r="K541" s="1">
        <v>0</v>
      </c>
      <c r="L541">
        <v>4.3</v>
      </c>
      <c r="M541" s="2">
        <v>10833</v>
      </c>
      <c r="N541" t="s">
        <v>1287</v>
      </c>
      <c r="O541">
        <f t="shared" si="44"/>
        <v>2</v>
      </c>
      <c r="P541" s="12" t="e">
        <f>HYPERLINK(#REF!,"Link")</f>
        <v>#REF!</v>
      </c>
      <c r="Q541" s="12" t="e">
        <f>HYPERLINK(#REF!,"Link")</f>
        <v>#REF!</v>
      </c>
    </row>
    <row r="542" spans="1:17" x14ac:dyDescent="0.3">
      <c r="A542" t="s">
        <v>154</v>
      </c>
      <c r="B542" t="s">
        <v>155</v>
      </c>
      <c r="C542" s="10" t="s">
        <v>3864</v>
      </c>
      <c r="D542" s="10" t="s">
        <v>3865</v>
      </c>
      <c r="E542" s="14">
        <v>2100</v>
      </c>
      <c r="F542" s="3">
        <v>799</v>
      </c>
      <c r="G542" s="3">
        <f t="shared" si="41"/>
        <v>6300</v>
      </c>
      <c r="H542" s="3">
        <f t="shared" si="40"/>
        <v>2397</v>
      </c>
      <c r="I542" s="14">
        <f t="shared" si="42"/>
        <v>3906</v>
      </c>
      <c r="J542" s="14">
        <f t="shared" si="43"/>
        <v>-3903</v>
      </c>
      <c r="K542" s="1">
        <v>0.62</v>
      </c>
      <c r="L542">
        <v>4.3</v>
      </c>
      <c r="M542" s="2">
        <v>8188</v>
      </c>
      <c r="N542" t="s">
        <v>156</v>
      </c>
      <c r="O542">
        <f t="shared" si="44"/>
        <v>3</v>
      </c>
      <c r="P542" s="12" t="e">
        <f>HYPERLINK(#REF!,"Link")</f>
        <v>#REF!</v>
      </c>
      <c r="Q542" s="12" t="e">
        <f>HYPERLINK(#REF!,"Link")</f>
        <v>#REF!</v>
      </c>
    </row>
    <row r="543" spans="1:17" x14ac:dyDescent="0.3">
      <c r="A543" t="s">
        <v>1288</v>
      </c>
      <c r="B543" t="s">
        <v>1289</v>
      </c>
      <c r="C543" s="9" t="s">
        <v>3859</v>
      </c>
      <c r="D543" s="9" t="s">
        <v>3871</v>
      </c>
      <c r="E543" s="14">
        <v>5299</v>
      </c>
      <c r="F543" s="3">
        <v>3799</v>
      </c>
      <c r="G543" s="3">
        <f t="shared" si="41"/>
        <v>21196</v>
      </c>
      <c r="H543" s="3">
        <f t="shared" si="40"/>
        <v>15196</v>
      </c>
      <c r="I543" s="14">
        <f t="shared" si="42"/>
        <v>5934.880000000001</v>
      </c>
      <c r="J543" s="14">
        <f t="shared" si="43"/>
        <v>-6000</v>
      </c>
      <c r="K543" s="1">
        <v>0.28000000000000003</v>
      </c>
      <c r="L543">
        <v>3.5</v>
      </c>
      <c r="M543" s="2">
        <v>1641</v>
      </c>
      <c r="N543" t="s">
        <v>1290</v>
      </c>
      <c r="O543">
        <f t="shared" si="44"/>
        <v>4</v>
      </c>
      <c r="P543" s="12" t="e">
        <f>HYPERLINK(#REF!,"Link")</f>
        <v>#REF!</v>
      </c>
      <c r="Q543" s="12" t="e">
        <f>HYPERLINK(#REF!,"Link")</f>
        <v>#REF!</v>
      </c>
    </row>
    <row r="544" spans="1:17" x14ac:dyDescent="0.3">
      <c r="A544" t="s">
        <v>1291</v>
      </c>
      <c r="B544" t="s">
        <v>1292</v>
      </c>
      <c r="C544" s="10" t="s">
        <v>3872</v>
      </c>
      <c r="D544" s="10" t="s">
        <v>3873</v>
      </c>
      <c r="E544" s="14">
        <v>1899</v>
      </c>
      <c r="F544" s="3">
        <v>199</v>
      </c>
      <c r="G544" s="3">
        <f t="shared" si="41"/>
        <v>1899</v>
      </c>
      <c r="H544" s="3">
        <f t="shared" si="40"/>
        <v>199</v>
      </c>
      <c r="I544" s="14">
        <f t="shared" si="42"/>
        <v>1709.1000000000001</v>
      </c>
      <c r="J544" s="14">
        <f t="shared" si="43"/>
        <v>-1700</v>
      </c>
      <c r="K544" s="1">
        <v>0.9</v>
      </c>
      <c r="L544">
        <v>4</v>
      </c>
      <c r="M544" s="2">
        <v>4740</v>
      </c>
      <c r="N544" t="s">
        <v>1293</v>
      </c>
      <c r="O544">
        <f t="shared" si="44"/>
        <v>1</v>
      </c>
      <c r="P544" s="12" t="e">
        <f>HYPERLINK(#REF!,"Link")</f>
        <v>#REF!</v>
      </c>
      <c r="Q544" s="12" t="e">
        <f>HYPERLINK(#REF!,"Link")</f>
        <v>#REF!</v>
      </c>
    </row>
    <row r="545" spans="1:17" x14ac:dyDescent="0.3">
      <c r="A545" t="s">
        <v>1294</v>
      </c>
      <c r="B545" t="s">
        <v>1295</v>
      </c>
      <c r="C545" s="9" t="s">
        <v>3861</v>
      </c>
      <c r="D545" s="9"/>
      <c r="E545" s="14">
        <v>32999</v>
      </c>
      <c r="F545" s="3">
        <v>23999</v>
      </c>
      <c r="G545" s="3">
        <f t="shared" si="41"/>
        <v>32999</v>
      </c>
      <c r="H545" s="3">
        <f t="shared" si="40"/>
        <v>23999</v>
      </c>
      <c r="I545" s="14">
        <f t="shared" si="42"/>
        <v>8909.7300000000014</v>
      </c>
      <c r="J545" s="14">
        <f t="shared" si="43"/>
        <v>-9000</v>
      </c>
      <c r="K545" s="1">
        <v>0.27</v>
      </c>
      <c r="L545">
        <v>3.9</v>
      </c>
      <c r="M545" s="2">
        <v>8866</v>
      </c>
      <c r="N545" t="s">
        <v>1296</v>
      </c>
      <c r="O545">
        <f t="shared" si="44"/>
        <v>1</v>
      </c>
      <c r="P545" s="12" t="e">
        <f>HYPERLINK(#REF!,"Link")</f>
        <v>#REF!</v>
      </c>
      <c r="Q545" s="12" t="e">
        <f>HYPERLINK(#REF!,"Link")</f>
        <v>#REF!</v>
      </c>
    </row>
    <row r="546" spans="1:17" x14ac:dyDescent="0.3">
      <c r="A546" t="s">
        <v>1297</v>
      </c>
      <c r="B546" t="s">
        <v>1298</v>
      </c>
      <c r="C546" s="10" t="s">
        <v>3859</v>
      </c>
      <c r="D546" s="10" t="s">
        <v>3860</v>
      </c>
      <c r="E546" s="14">
        <v>39990</v>
      </c>
      <c r="F546" s="3">
        <v>29990</v>
      </c>
      <c r="G546" s="3">
        <f t="shared" si="41"/>
        <v>79980</v>
      </c>
      <c r="H546" s="3">
        <f t="shared" si="40"/>
        <v>59980</v>
      </c>
      <c r="I546" s="14">
        <f t="shared" si="42"/>
        <v>19995</v>
      </c>
      <c r="J546" s="14">
        <f t="shared" si="43"/>
        <v>-20000</v>
      </c>
      <c r="K546" s="1">
        <v>0.25</v>
      </c>
      <c r="L546">
        <v>4.3</v>
      </c>
      <c r="M546" s="2">
        <v>8399</v>
      </c>
      <c r="N546" t="s">
        <v>1299</v>
      </c>
      <c r="O546">
        <f t="shared" si="44"/>
        <v>2</v>
      </c>
      <c r="P546" s="12" t="e">
        <f>HYPERLINK(#REF!,"Link")</f>
        <v>#REF!</v>
      </c>
      <c r="Q546" s="12" t="e">
        <f>HYPERLINK(#REF!,"Link")</f>
        <v>#REF!</v>
      </c>
    </row>
    <row r="547" spans="1:17" x14ac:dyDescent="0.3">
      <c r="A547" t="s">
        <v>1300</v>
      </c>
      <c r="B547" t="s">
        <v>1301</v>
      </c>
      <c r="C547" s="9" t="s">
        <v>3872</v>
      </c>
      <c r="D547" s="9" t="s">
        <v>3874</v>
      </c>
      <c r="E547" s="14">
        <v>1999</v>
      </c>
      <c r="F547" s="3">
        <v>281</v>
      </c>
      <c r="G547" s="3">
        <f t="shared" si="41"/>
        <v>3998</v>
      </c>
      <c r="H547" s="3">
        <f t="shared" si="40"/>
        <v>562</v>
      </c>
      <c r="I547" s="14">
        <f t="shared" si="42"/>
        <v>3438.2799999999997</v>
      </c>
      <c r="J547" s="14">
        <f t="shared" si="43"/>
        <v>-3436</v>
      </c>
      <c r="K547" s="1">
        <v>0.86</v>
      </c>
      <c r="L547">
        <v>2.8</v>
      </c>
      <c r="M547">
        <v>87</v>
      </c>
      <c r="N547" t="s">
        <v>1302</v>
      </c>
      <c r="O547">
        <f t="shared" si="44"/>
        <v>2</v>
      </c>
      <c r="P547" s="12" t="e">
        <f>HYPERLINK(#REF!,"Link")</f>
        <v>#REF!</v>
      </c>
      <c r="Q547" s="12" t="e">
        <f>HYPERLINK(#REF!,"Link")</f>
        <v>#REF!</v>
      </c>
    </row>
    <row r="548" spans="1:17" x14ac:dyDescent="0.3">
      <c r="A548" t="s">
        <v>1303</v>
      </c>
      <c r="B548" t="s">
        <v>1304</v>
      </c>
      <c r="C548" s="10" t="s">
        <v>3872</v>
      </c>
      <c r="D548" s="10" t="s">
        <v>3875</v>
      </c>
      <c r="E548" s="14">
        <v>11999</v>
      </c>
      <c r="F548" s="3">
        <v>7998</v>
      </c>
      <c r="G548" s="3">
        <f t="shared" si="41"/>
        <v>23998</v>
      </c>
      <c r="H548" s="3">
        <f t="shared" si="40"/>
        <v>15996</v>
      </c>
      <c r="I548" s="14">
        <f t="shared" si="42"/>
        <v>7919.34</v>
      </c>
      <c r="J548" s="14">
        <f t="shared" si="43"/>
        <v>-8002</v>
      </c>
      <c r="K548" s="1">
        <v>0.33</v>
      </c>
      <c r="L548">
        <v>3.8</v>
      </c>
      <c r="M548">
        <v>125</v>
      </c>
      <c r="N548" t="s">
        <v>1305</v>
      </c>
      <c r="O548">
        <f t="shared" si="44"/>
        <v>2</v>
      </c>
      <c r="P548" s="12" t="e">
        <f>HYPERLINK(#REF!,"Link")</f>
        <v>#REF!</v>
      </c>
      <c r="Q548" s="12" t="e">
        <f>HYPERLINK(#REF!,"Link")</f>
        <v>#REF!</v>
      </c>
    </row>
    <row r="549" spans="1:17" x14ac:dyDescent="0.3">
      <c r="A549" t="s">
        <v>1306</v>
      </c>
      <c r="B549" t="s">
        <v>1307</v>
      </c>
      <c r="C549" s="9" t="s">
        <v>3859</v>
      </c>
      <c r="D549" s="9" t="s">
        <v>3876</v>
      </c>
      <c r="E549" s="14">
        <v>999</v>
      </c>
      <c r="F549" s="3">
        <v>249</v>
      </c>
      <c r="G549" s="3">
        <f t="shared" si="41"/>
        <v>4995</v>
      </c>
      <c r="H549" s="3">
        <f t="shared" si="40"/>
        <v>1245</v>
      </c>
      <c r="I549" s="14">
        <f t="shared" si="42"/>
        <v>3746.25</v>
      </c>
      <c r="J549" s="14">
        <f t="shared" si="43"/>
        <v>-3750</v>
      </c>
      <c r="K549" s="1">
        <v>0.75</v>
      </c>
      <c r="L549">
        <v>4.5</v>
      </c>
      <c r="M549">
        <v>38</v>
      </c>
      <c r="N549" t="s">
        <v>1308</v>
      </c>
      <c r="O549">
        <f t="shared" si="44"/>
        <v>5</v>
      </c>
      <c r="P549" s="12" t="e">
        <f>HYPERLINK(#REF!,"Link")</f>
        <v>#REF!</v>
      </c>
      <c r="Q549" s="12" t="e">
        <f>HYPERLINK(#REF!,"Link")</f>
        <v>#REF!</v>
      </c>
    </row>
    <row r="550" spans="1:17" x14ac:dyDescent="0.3">
      <c r="A550" t="s">
        <v>1309</v>
      </c>
      <c r="B550" t="s">
        <v>1310</v>
      </c>
      <c r="C550" s="10" t="s">
        <v>3877</v>
      </c>
      <c r="D550" s="10" t="s">
        <v>3878</v>
      </c>
      <c r="E550" s="14">
        <v>599</v>
      </c>
      <c r="F550" s="3">
        <v>299</v>
      </c>
      <c r="G550" s="3">
        <f t="shared" si="41"/>
        <v>2396</v>
      </c>
      <c r="H550" s="3">
        <f t="shared" si="40"/>
        <v>1196</v>
      </c>
      <c r="I550" s="14">
        <f t="shared" si="42"/>
        <v>1198</v>
      </c>
      <c r="J550" s="14">
        <f t="shared" si="43"/>
        <v>-1200</v>
      </c>
      <c r="K550" s="1">
        <v>0.5</v>
      </c>
      <c r="L550">
        <v>4.3</v>
      </c>
      <c r="M550" s="2">
        <v>4674</v>
      </c>
      <c r="N550" t="s">
        <v>1311</v>
      </c>
      <c r="O550">
        <f t="shared" si="44"/>
        <v>4</v>
      </c>
      <c r="P550" s="12" t="e">
        <f>HYPERLINK(#REF!,"Link")</f>
        <v>#REF!</v>
      </c>
      <c r="Q550" s="12" t="e">
        <f>HYPERLINK(#REF!,"Link")</f>
        <v>#REF!</v>
      </c>
    </row>
    <row r="551" spans="1:17" x14ac:dyDescent="0.3">
      <c r="A551" t="s">
        <v>1312</v>
      </c>
      <c r="B551" t="s">
        <v>1313</v>
      </c>
      <c r="C551" s="9" t="s">
        <v>3859</v>
      </c>
      <c r="D551" s="9" t="s">
        <v>3879</v>
      </c>
      <c r="E551" s="14">
        <v>1899</v>
      </c>
      <c r="F551" s="3">
        <v>499</v>
      </c>
      <c r="G551" s="3">
        <f t="shared" si="41"/>
        <v>7596</v>
      </c>
      <c r="H551" s="3">
        <f t="shared" si="40"/>
        <v>1996</v>
      </c>
      <c r="I551" s="14">
        <f t="shared" si="42"/>
        <v>5621.04</v>
      </c>
      <c r="J551" s="14">
        <f t="shared" si="43"/>
        <v>-5600</v>
      </c>
      <c r="K551" s="1">
        <v>0.74</v>
      </c>
      <c r="L551">
        <v>4.0999999999999996</v>
      </c>
      <c r="M551">
        <v>412</v>
      </c>
      <c r="N551" t="s">
        <v>1314</v>
      </c>
      <c r="O551">
        <f t="shared" si="44"/>
        <v>4</v>
      </c>
      <c r="P551" s="12" t="e">
        <f>HYPERLINK(#REF!,"Link")</f>
        <v>#REF!</v>
      </c>
      <c r="Q551" s="12" t="e">
        <f>HYPERLINK(#REF!,"Link")</f>
        <v>#REF!</v>
      </c>
    </row>
    <row r="552" spans="1:17" x14ac:dyDescent="0.3">
      <c r="A552" t="s">
        <v>1315</v>
      </c>
      <c r="B552" t="s">
        <v>1316</v>
      </c>
      <c r="C552" s="10" t="s">
        <v>3864</v>
      </c>
      <c r="D552" s="10" t="s">
        <v>3880</v>
      </c>
      <c r="E552" s="14">
        <v>3499</v>
      </c>
      <c r="F552" s="3">
        <v>899</v>
      </c>
      <c r="G552" s="3">
        <f t="shared" si="41"/>
        <v>6998</v>
      </c>
      <c r="H552" s="3">
        <f t="shared" si="40"/>
        <v>1798</v>
      </c>
      <c r="I552" s="14">
        <f t="shared" si="42"/>
        <v>5178.5199999999995</v>
      </c>
      <c r="J552" s="14">
        <f t="shared" si="43"/>
        <v>-5200</v>
      </c>
      <c r="K552" s="1">
        <v>0.74</v>
      </c>
      <c r="L552">
        <v>3</v>
      </c>
      <c r="M552">
        <v>681</v>
      </c>
      <c r="N552" t="s">
        <v>1317</v>
      </c>
      <c r="O552">
        <f t="shared" si="44"/>
        <v>2</v>
      </c>
      <c r="P552" s="12" t="e">
        <f>HYPERLINK(#REF!,"Link")</f>
        <v>#REF!</v>
      </c>
      <c r="Q552" s="12" t="e">
        <f>HYPERLINK(#REF!,"Link")</f>
        <v>#REF!</v>
      </c>
    </row>
    <row r="553" spans="1:17" x14ac:dyDescent="0.3">
      <c r="A553" t="s">
        <v>1318</v>
      </c>
      <c r="B553" t="s">
        <v>1319</v>
      </c>
      <c r="C553" s="9" t="s">
        <v>3859</v>
      </c>
      <c r="D553" s="9" t="s">
        <v>3881</v>
      </c>
      <c r="E553" s="14">
        <v>3499</v>
      </c>
      <c r="F553" s="3">
        <v>1599</v>
      </c>
      <c r="G553" s="3">
        <f t="shared" si="41"/>
        <v>6998</v>
      </c>
      <c r="H553" s="3">
        <f t="shared" si="40"/>
        <v>3198</v>
      </c>
      <c r="I553" s="14">
        <f t="shared" si="42"/>
        <v>3778.92</v>
      </c>
      <c r="J553" s="14">
        <f t="shared" si="43"/>
        <v>-3800</v>
      </c>
      <c r="K553" s="1">
        <v>0.54</v>
      </c>
      <c r="L553">
        <v>4</v>
      </c>
      <c r="M553" s="2">
        <v>36384</v>
      </c>
      <c r="N553" t="s">
        <v>1320</v>
      </c>
      <c r="O553">
        <f t="shared" si="44"/>
        <v>2</v>
      </c>
      <c r="P553" s="12" t="e">
        <f>HYPERLINK(#REF!,"Link")</f>
        <v>#REF!</v>
      </c>
      <c r="Q553" s="12" t="e">
        <f>HYPERLINK(#REF!,"Link")</f>
        <v>#REF!</v>
      </c>
    </row>
    <row r="554" spans="1:17" x14ac:dyDescent="0.3">
      <c r="A554" t="s">
        <v>1321</v>
      </c>
      <c r="B554" t="s">
        <v>1322</v>
      </c>
      <c r="C554" s="10" t="s">
        <v>3859</v>
      </c>
      <c r="D554" s="10" t="s">
        <v>3882</v>
      </c>
      <c r="E554" s="14">
        <v>999</v>
      </c>
      <c r="F554" s="3">
        <v>120</v>
      </c>
      <c r="G554" s="3">
        <f t="shared" si="41"/>
        <v>1998</v>
      </c>
      <c r="H554" s="3">
        <f t="shared" si="40"/>
        <v>240</v>
      </c>
      <c r="I554" s="14">
        <f t="shared" si="42"/>
        <v>1758.24</v>
      </c>
      <c r="J554" s="14">
        <f t="shared" si="43"/>
        <v>-1758</v>
      </c>
      <c r="K554" s="1">
        <v>0.88</v>
      </c>
      <c r="L554">
        <v>3.9</v>
      </c>
      <c r="M554" s="2">
        <v>6491</v>
      </c>
      <c r="N554" t="s">
        <v>1323</v>
      </c>
      <c r="O554">
        <f t="shared" si="44"/>
        <v>2</v>
      </c>
      <c r="P554" s="12" t="e">
        <f>HYPERLINK(#REF!,"Link")</f>
        <v>#REF!</v>
      </c>
      <c r="Q554" s="12" t="e">
        <f>HYPERLINK(#REF!,"Link")</f>
        <v>#REF!</v>
      </c>
    </row>
    <row r="555" spans="1:17" x14ac:dyDescent="0.3">
      <c r="A555" t="s">
        <v>1324</v>
      </c>
      <c r="B555" t="s">
        <v>1325</v>
      </c>
      <c r="C555" s="9" t="s">
        <v>3859</v>
      </c>
      <c r="D555" s="9" t="s">
        <v>3883</v>
      </c>
      <c r="E555" s="14">
        <v>6999</v>
      </c>
      <c r="F555" s="3">
        <v>3999</v>
      </c>
      <c r="G555" s="3">
        <f t="shared" si="41"/>
        <v>13998</v>
      </c>
      <c r="H555" s="3">
        <f t="shared" si="40"/>
        <v>7998</v>
      </c>
      <c r="I555" s="14">
        <f t="shared" si="42"/>
        <v>6019.14</v>
      </c>
      <c r="J555" s="14">
        <f t="shared" si="43"/>
        <v>-6000</v>
      </c>
      <c r="K555" s="1">
        <v>0.43</v>
      </c>
      <c r="L555">
        <v>4.0999999999999996</v>
      </c>
      <c r="M555" s="2">
        <v>10229</v>
      </c>
      <c r="N555" t="s">
        <v>1326</v>
      </c>
      <c r="O555">
        <f t="shared" si="44"/>
        <v>2</v>
      </c>
      <c r="P555" s="12" t="e">
        <f>HYPERLINK(#REF!,"Link")</f>
        <v>#REF!</v>
      </c>
      <c r="Q555" s="12" t="e">
        <f>HYPERLINK(#REF!,"Link")</f>
        <v>#REF!</v>
      </c>
    </row>
    <row r="556" spans="1:17" x14ac:dyDescent="0.3">
      <c r="A556" t="s">
        <v>1327</v>
      </c>
      <c r="B556" t="s">
        <v>1070</v>
      </c>
      <c r="C556" s="10" t="s">
        <v>3859</v>
      </c>
      <c r="D556" s="10" t="s">
        <v>3866</v>
      </c>
      <c r="E556" s="14">
        <v>18999</v>
      </c>
      <c r="F556" s="3">
        <v>12999</v>
      </c>
      <c r="G556" s="3">
        <f t="shared" si="41"/>
        <v>56997</v>
      </c>
      <c r="H556" s="3">
        <f t="shared" si="40"/>
        <v>38997</v>
      </c>
      <c r="I556" s="14">
        <f t="shared" si="42"/>
        <v>18239.04</v>
      </c>
      <c r="J556" s="14">
        <f t="shared" si="43"/>
        <v>-18000</v>
      </c>
      <c r="K556" s="1">
        <v>0.32</v>
      </c>
      <c r="L556">
        <v>4.0999999999999996</v>
      </c>
      <c r="M556" s="2">
        <v>50772</v>
      </c>
      <c r="N556" t="s">
        <v>1071</v>
      </c>
      <c r="O556">
        <f t="shared" si="44"/>
        <v>3</v>
      </c>
      <c r="P556" s="12" t="e">
        <f>HYPERLINK(#REF!,"Link")</f>
        <v>#REF!</v>
      </c>
      <c r="Q556" s="12" t="e">
        <f>HYPERLINK(#REF!,"Link")</f>
        <v>#REF!</v>
      </c>
    </row>
    <row r="557" spans="1:17" x14ac:dyDescent="0.3">
      <c r="A557" t="s">
        <v>1328</v>
      </c>
      <c r="B557" t="s">
        <v>1329</v>
      </c>
      <c r="C557" s="9" t="s">
        <v>3859</v>
      </c>
      <c r="D557" s="9" t="s">
        <v>3884</v>
      </c>
      <c r="E557" s="14">
        <v>2599</v>
      </c>
      <c r="F557" s="3">
        <v>1599</v>
      </c>
      <c r="G557" s="3">
        <f t="shared" si="41"/>
        <v>10396</v>
      </c>
      <c r="H557" s="3">
        <f t="shared" si="40"/>
        <v>6396</v>
      </c>
      <c r="I557" s="14">
        <f t="shared" si="42"/>
        <v>3950.48</v>
      </c>
      <c r="J557" s="14">
        <f t="shared" si="43"/>
        <v>-4000</v>
      </c>
      <c r="K557" s="1">
        <v>0.38</v>
      </c>
      <c r="L557">
        <v>4.3</v>
      </c>
      <c r="M557" s="2">
        <v>1801</v>
      </c>
      <c r="N557" t="s">
        <v>1330</v>
      </c>
      <c r="O557">
        <f t="shared" si="44"/>
        <v>4</v>
      </c>
      <c r="P557" s="12" t="e">
        <f>HYPERLINK(#REF!,"Link")</f>
        <v>#REF!</v>
      </c>
      <c r="Q557" s="12" t="e">
        <f>HYPERLINK(#REF!,"Link")</f>
        <v>#REF!</v>
      </c>
    </row>
    <row r="558" spans="1:17" x14ac:dyDescent="0.3">
      <c r="A558" t="s">
        <v>1331</v>
      </c>
      <c r="B558" t="s">
        <v>1332</v>
      </c>
      <c r="C558" s="10" t="s">
        <v>3885</v>
      </c>
      <c r="D558" s="10" t="s">
        <v>3886</v>
      </c>
      <c r="E558" s="14">
        <v>1199</v>
      </c>
      <c r="F558" s="3">
        <v>699</v>
      </c>
      <c r="G558" s="3">
        <f t="shared" si="41"/>
        <v>1199</v>
      </c>
      <c r="H558" s="3">
        <f t="shared" si="40"/>
        <v>699</v>
      </c>
      <c r="I558" s="14">
        <f t="shared" si="42"/>
        <v>503.58</v>
      </c>
      <c r="J558" s="14">
        <f t="shared" si="43"/>
        <v>-500</v>
      </c>
      <c r="K558" s="1">
        <v>0.42</v>
      </c>
      <c r="L558">
        <v>4</v>
      </c>
      <c r="M558" s="2">
        <v>14404</v>
      </c>
      <c r="N558" t="s">
        <v>1075</v>
      </c>
      <c r="O558">
        <f t="shared" si="44"/>
        <v>1</v>
      </c>
      <c r="P558" s="12" t="e">
        <f>HYPERLINK(#REF!,"Link")</f>
        <v>#REF!</v>
      </c>
      <c r="Q558" s="12" t="e">
        <f>HYPERLINK(#REF!,"Link")</f>
        <v>#REF!</v>
      </c>
    </row>
    <row r="559" spans="1:17" x14ac:dyDescent="0.3">
      <c r="A559" t="s">
        <v>1333</v>
      </c>
      <c r="B559" t="s">
        <v>1334</v>
      </c>
      <c r="C559" s="9" t="s">
        <v>3864</v>
      </c>
      <c r="D559" s="9" t="s">
        <v>3887</v>
      </c>
      <c r="E559" s="14">
        <v>999</v>
      </c>
      <c r="F559" s="3">
        <v>99</v>
      </c>
      <c r="G559" s="3">
        <f t="shared" si="41"/>
        <v>1998</v>
      </c>
      <c r="H559" s="3">
        <f t="shared" si="40"/>
        <v>198</v>
      </c>
      <c r="I559" s="14">
        <f t="shared" si="42"/>
        <v>1798.2</v>
      </c>
      <c r="J559" s="14">
        <f t="shared" si="43"/>
        <v>-1800</v>
      </c>
      <c r="K559" s="1">
        <v>0.9</v>
      </c>
      <c r="L559">
        <v>4.4000000000000004</v>
      </c>
      <c r="M559">
        <v>305</v>
      </c>
      <c r="N559" t="s">
        <v>1335</v>
      </c>
      <c r="O559">
        <f t="shared" si="44"/>
        <v>2</v>
      </c>
      <c r="P559" s="12" t="e">
        <f>HYPERLINK(#REF!,"Link")</f>
        <v>#REF!</v>
      </c>
      <c r="Q559" s="12" t="e">
        <f>HYPERLINK(#REF!,"Link")</f>
        <v>#REF!</v>
      </c>
    </row>
    <row r="560" spans="1:17" x14ac:dyDescent="0.3">
      <c r="A560" t="s">
        <v>1336</v>
      </c>
      <c r="B560" t="s">
        <v>1337</v>
      </c>
      <c r="C560" s="10" t="s">
        <v>3861</v>
      </c>
      <c r="D560" s="10" t="s">
        <v>3888</v>
      </c>
      <c r="E560" s="14">
        <v>9999</v>
      </c>
      <c r="F560" s="3">
        <v>7915</v>
      </c>
      <c r="G560" s="3">
        <f t="shared" si="41"/>
        <v>39996</v>
      </c>
      <c r="H560" s="3">
        <f t="shared" si="40"/>
        <v>31660</v>
      </c>
      <c r="I560" s="14">
        <f t="shared" si="42"/>
        <v>8399.16</v>
      </c>
      <c r="J560" s="14">
        <f t="shared" si="43"/>
        <v>-8336</v>
      </c>
      <c r="K560" s="1">
        <v>0.21</v>
      </c>
      <c r="L560">
        <v>4.3</v>
      </c>
      <c r="M560" s="2">
        <v>1376</v>
      </c>
      <c r="N560" t="s">
        <v>1338</v>
      </c>
      <c r="O560">
        <f t="shared" si="44"/>
        <v>4</v>
      </c>
      <c r="P560" s="12" t="e">
        <f>HYPERLINK(#REF!,"Link")</f>
        <v>#REF!</v>
      </c>
      <c r="Q560" s="12" t="e">
        <f>HYPERLINK(#REF!,"Link")</f>
        <v>#REF!</v>
      </c>
    </row>
    <row r="561" spans="1:17" x14ac:dyDescent="0.3">
      <c r="A561" t="s">
        <v>1339</v>
      </c>
      <c r="B561" t="s">
        <v>939</v>
      </c>
      <c r="C561" s="9" t="s">
        <v>3859</v>
      </c>
      <c r="D561" s="9" t="s">
        <v>3889</v>
      </c>
      <c r="E561" s="14">
        <v>7999</v>
      </c>
      <c r="F561" s="3">
        <v>1499</v>
      </c>
      <c r="G561" s="3">
        <f t="shared" si="41"/>
        <v>7999</v>
      </c>
      <c r="H561" s="3">
        <f t="shared" si="40"/>
        <v>1499</v>
      </c>
      <c r="I561" s="14">
        <f t="shared" si="42"/>
        <v>6479.1900000000005</v>
      </c>
      <c r="J561" s="14">
        <f t="shared" si="43"/>
        <v>-6500</v>
      </c>
      <c r="K561" s="1">
        <v>0.81</v>
      </c>
      <c r="L561">
        <v>4.2</v>
      </c>
      <c r="M561" s="2">
        <v>22638</v>
      </c>
      <c r="N561" t="s">
        <v>940</v>
      </c>
      <c r="O561">
        <f t="shared" si="44"/>
        <v>1</v>
      </c>
      <c r="P561" s="12" t="e">
        <f>HYPERLINK(#REF!,"Link")</f>
        <v>#REF!</v>
      </c>
      <c r="Q561" s="12" t="e">
        <f>HYPERLINK(#REF!,"Link")</f>
        <v>#REF!</v>
      </c>
    </row>
    <row r="562" spans="1:17" x14ac:dyDescent="0.3">
      <c r="A562" t="s">
        <v>1340</v>
      </c>
      <c r="B562" t="s">
        <v>1341</v>
      </c>
      <c r="C562" s="10" t="s">
        <v>3861</v>
      </c>
      <c r="D562" s="10" t="s">
        <v>3890</v>
      </c>
      <c r="E562" s="14">
        <v>1249</v>
      </c>
      <c r="F562" s="3">
        <v>1055</v>
      </c>
      <c r="G562" s="3">
        <f t="shared" si="41"/>
        <v>1249</v>
      </c>
      <c r="H562" s="3">
        <f t="shared" si="40"/>
        <v>1055</v>
      </c>
      <c r="I562" s="14">
        <f t="shared" si="42"/>
        <v>199.84</v>
      </c>
      <c r="J562" s="14">
        <f t="shared" si="43"/>
        <v>-194</v>
      </c>
      <c r="K562" s="1">
        <v>0.16</v>
      </c>
      <c r="L562">
        <v>3.8</v>
      </c>
      <c r="M562" s="2">
        <v>2352</v>
      </c>
      <c r="N562" t="s">
        <v>1342</v>
      </c>
      <c r="O562">
        <f t="shared" si="44"/>
        <v>1</v>
      </c>
      <c r="P562" s="12" t="e">
        <f>HYPERLINK(#REF!,"Link")</f>
        <v>#REF!</v>
      </c>
      <c r="Q562" s="12" t="e">
        <f>HYPERLINK(#REF!,"Link")</f>
        <v>#REF!</v>
      </c>
    </row>
    <row r="563" spans="1:17" x14ac:dyDescent="0.3">
      <c r="A563" t="s">
        <v>1343</v>
      </c>
      <c r="B563" t="s">
        <v>1344</v>
      </c>
      <c r="C563" s="9" t="s">
        <v>3891</v>
      </c>
      <c r="D563" s="9" t="s">
        <v>3892</v>
      </c>
      <c r="E563" s="14">
        <v>599</v>
      </c>
      <c r="F563" s="3">
        <v>150</v>
      </c>
      <c r="G563" s="3">
        <f t="shared" si="41"/>
        <v>1198</v>
      </c>
      <c r="H563" s="3">
        <f t="shared" si="40"/>
        <v>300</v>
      </c>
      <c r="I563" s="14">
        <f t="shared" si="42"/>
        <v>898.5</v>
      </c>
      <c r="J563" s="14">
        <f t="shared" si="43"/>
        <v>-898</v>
      </c>
      <c r="K563" s="1">
        <v>0.75</v>
      </c>
      <c r="L563">
        <v>4.3</v>
      </c>
      <c r="M563">
        <v>714</v>
      </c>
      <c r="N563" t="s">
        <v>1345</v>
      </c>
      <c r="O563">
        <f t="shared" si="44"/>
        <v>2</v>
      </c>
      <c r="P563" s="12" t="e">
        <f>HYPERLINK(#REF!,"Link")</f>
        <v>#REF!</v>
      </c>
      <c r="Q563" s="12" t="e">
        <f>HYPERLINK(#REF!,"Link")</f>
        <v>#REF!</v>
      </c>
    </row>
    <row r="564" spans="1:17" x14ac:dyDescent="0.3">
      <c r="A564" t="s">
        <v>199</v>
      </c>
      <c r="B564" t="s">
        <v>200</v>
      </c>
      <c r="C564" s="10" t="s">
        <v>3885</v>
      </c>
      <c r="D564" s="10" t="s">
        <v>3893</v>
      </c>
      <c r="E564" s="14">
        <v>700</v>
      </c>
      <c r="F564" s="3">
        <v>219</v>
      </c>
      <c r="G564" s="3">
        <f t="shared" si="41"/>
        <v>5600</v>
      </c>
      <c r="H564" s="3">
        <f t="shared" si="40"/>
        <v>1752</v>
      </c>
      <c r="I564" s="14">
        <f t="shared" si="42"/>
        <v>3863.9999999999995</v>
      </c>
      <c r="J564" s="14">
        <f t="shared" si="43"/>
        <v>-3848</v>
      </c>
      <c r="K564" s="1">
        <v>0.69</v>
      </c>
      <c r="L564">
        <v>4.3</v>
      </c>
      <c r="M564" s="2">
        <v>20052</v>
      </c>
      <c r="N564" t="s">
        <v>201</v>
      </c>
      <c r="O564">
        <f t="shared" si="44"/>
        <v>8</v>
      </c>
      <c r="P564" s="12" t="e">
        <f>HYPERLINK(#REF!,"Link")</f>
        <v>#REF!</v>
      </c>
      <c r="Q564" s="12" t="e">
        <f>HYPERLINK(#REF!,"Link")</f>
        <v>#REF!</v>
      </c>
    </row>
    <row r="565" spans="1:17" x14ac:dyDescent="0.3">
      <c r="A565" t="s">
        <v>1346</v>
      </c>
      <c r="B565" t="s">
        <v>1156</v>
      </c>
      <c r="C565" s="9" t="s">
        <v>3891</v>
      </c>
      <c r="D565" s="9" t="s">
        <v>3894</v>
      </c>
      <c r="E565" s="14">
        <v>1799</v>
      </c>
      <c r="F565" s="3">
        <v>474</v>
      </c>
      <c r="G565" s="3">
        <f t="shared" si="41"/>
        <v>5397</v>
      </c>
      <c r="H565" s="3">
        <f t="shared" si="40"/>
        <v>1422</v>
      </c>
      <c r="I565" s="14">
        <f t="shared" si="42"/>
        <v>3993.7799999999997</v>
      </c>
      <c r="J565" s="14">
        <f t="shared" si="43"/>
        <v>-3975</v>
      </c>
      <c r="K565" s="1">
        <v>0.74</v>
      </c>
      <c r="L565">
        <v>4.3</v>
      </c>
      <c r="M565" s="2">
        <v>1454</v>
      </c>
      <c r="N565" t="s">
        <v>1347</v>
      </c>
      <c r="O565">
        <f t="shared" si="44"/>
        <v>3</v>
      </c>
      <c r="P565" s="12" t="e">
        <f>HYPERLINK(#REF!,"Link")</f>
        <v>#REF!</v>
      </c>
      <c r="Q565" s="12" t="e">
        <f>HYPERLINK(#REF!,"Link")</f>
        <v>#REF!</v>
      </c>
    </row>
    <row r="566" spans="1:17" x14ac:dyDescent="0.3">
      <c r="A566" t="s">
        <v>210</v>
      </c>
      <c r="B566" t="s">
        <v>211</v>
      </c>
      <c r="C566" s="10" t="s">
        <v>3895</v>
      </c>
      <c r="D566" s="10" t="s">
        <v>3896</v>
      </c>
      <c r="E566" s="14">
        <v>499</v>
      </c>
      <c r="F566" s="3">
        <v>115</v>
      </c>
      <c r="G566" s="3">
        <f t="shared" si="41"/>
        <v>499</v>
      </c>
      <c r="H566" s="3">
        <f t="shared" si="40"/>
        <v>115</v>
      </c>
      <c r="I566" s="14">
        <f t="shared" si="42"/>
        <v>384.23</v>
      </c>
      <c r="J566" s="14">
        <f t="shared" si="43"/>
        <v>-384</v>
      </c>
      <c r="K566" s="1">
        <v>0.77</v>
      </c>
      <c r="L566">
        <v>4</v>
      </c>
      <c r="M566" s="2">
        <v>7732</v>
      </c>
      <c r="N566" t="s">
        <v>212</v>
      </c>
      <c r="O566">
        <f t="shared" si="44"/>
        <v>1</v>
      </c>
      <c r="P566" s="12" t="e">
        <f>HYPERLINK(#REF!,"Link")</f>
        <v>#REF!</v>
      </c>
      <c r="Q566" s="12" t="e">
        <f>HYPERLINK(#REF!,"Link")</f>
        <v>#REF!</v>
      </c>
    </row>
    <row r="567" spans="1:17" x14ac:dyDescent="0.3">
      <c r="A567" t="s">
        <v>1348</v>
      </c>
      <c r="B567" t="s">
        <v>1349</v>
      </c>
      <c r="C567" s="9" t="s">
        <v>3895</v>
      </c>
      <c r="D567" s="9" t="s">
        <v>3897</v>
      </c>
      <c r="E567" s="14">
        <v>599</v>
      </c>
      <c r="F567" s="3">
        <v>239</v>
      </c>
      <c r="G567" s="3">
        <f t="shared" si="41"/>
        <v>1198</v>
      </c>
      <c r="H567" s="3">
        <f t="shared" si="40"/>
        <v>478</v>
      </c>
      <c r="I567" s="14">
        <f t="shared" si="42"/>
        <v>718.8</v>
      </c>
      <c r="J567" s="14">
        <f t="shared" si="43"/>
        <v>-720</v>
      </c>
      <c r="K567" s="1">
        <v>0.6</v>
      </c>
      <c r="L567">
        <v>3.9</v>
      </c>
      <c r="M567" s="2">
        <v>2147</v>
      </c>
      <c r="N567" t="s">
        <v>1237</v>
      </c>
      <c r="O567">
        <f t="shared" si="44"/>
        <v>2</v>
      </c>
      <c r="P567" s="12" t="e">
        <f>HYPERLINK(#REF!,"Link")</f>
        <v>#REF!</v>
      </c>
      <c r="Q567" s="12" t="e">
        <f>HYPERLINK(#REF!,"Link")</f>
        <v>#REF!</v>
      </c>
    </row>
    <row r="568" spans="1:17" x14ac:dyDescent="0.3">
      <c r="A568" t="s">
        <v>1350</v>
      </c>
      <c r="B568" t="s">
        <v>962</v>
      </c>
      <c r="C568" s="10" t="s">
        <v>3859</v>
      </c>
      <c r="D568" s="10" t="s">
        <v>3898</v>
      </c>
      <c r="E568" s="14">
        <v>9499</v>
      </c>
      <c r="F568" s="3">
        <v>7499</v>
      </c>
      <c r="G568" s="3">
        <f t="shared" si="41"/>
        <v>9499</v>
      </c>
      <c r="H568" s="3">
        <f t="shared" si="40"/>
        <v>7499</v>
      </c>
      <c r="I568" s="14">
        <f t="shared" si="42"/>
        <v>1994.79</v>
      </c>
      <c r="J568" s="14">
        <f t="shared" si="43"/>
        <v>-2000</v>
      </c>
      <c r="K568" s="1">
        <v>0.21</v>
      </c>
      <c r="L568">
        <v>4.0999999999999996</v>
      </c>
      <c r="M568" s="2">
        <v>313832</v>
      </c>
      <c r="N568" t="s">
        <v>960</v>
      </c>
      <c r="O568">
        <f t="shared" si="44"/>
        <v>1</v>
      </c>
      <c r="P568" s="12" t="e">
        <f>HYPERLINK(#REF!,"Link")</f>
        <v>#REF!</v>
      </c>
      <c r="Q568" s="12" t="e">
        <f>HYPERLINK(#REF!,"Link")</f>
        <v>#REF!</v>
      </c>
    </row>
    <row r="569" spans="1:17" x14ac:dyDescent="0.3">
      <c r="A569" t="s">
        <v>1351</v>
      </c>
      <c r="B569" t="s">
        <v>1352</v>
      </c>
      <c r="C569" s="9" t="s">
        <v>3899</v>
      </c>
      <c r="D569" s="9" t="s">
        <v>3900</v>
      </c>
      <c r="E569" s="14">
        <v>999</v>
      </c>
      <c r="F569" s="3">
        <v>265</v>
      </c>
      <c r="G569" s="3">
        <f t="shared" si="41"/>
        <v>1998</v>
      </c>
      <c r="H569" s="3">
        <f t="shared" si="40"/>
        <v>530</v>
      </c>
      <c r="I569" s="14">
        <f t="shared" si="42"/>
        <v>1458.54</v>
      </c>
      <c r="J569" s="14">
        <f t="shared" si="43"/>
        <v>-1468</v>
      </c>
      <c r="K569" s="1">
        <v>0.73</v>
      </c>
      <c r="L569">
        <v>3.7</v>
      </c>
      <c r="M569">
        <v>465</v>
      </c>
      <c r="N569" t="s">
        <v>1353</v>
      </c>
      <c r="O569">
        <f t="shared" si="44"/>
        <v>2</v>
      </c>
      <c r="P569" s="12" t="e">
        <f>HYPERLINK(#REF!,"Link")</f>
        <v>#REF!</v>
      </c>
      <c r="Q569" s="12" t="e">
        <f>HYPERLINK(#REF!,"Link")</f>
        <v>#REF!</v>
      </c>
    </row>
    <row r="570" spans="1:17" x14ac:dyDescent="0.3">
      <c r="A570" t="s">
        <v>1354</v>
      </c>
      <c r="B570" t="s">
        <v>1355</v>
      </c>
      <c r="C570" s="10" t="s">
        <v>3901</v>
      </c>
      <c r="D570" s="10" t="s">
        <v>3902</v>
      </c>
      <c r="E570" s="14">
        <v>74999</v>
      </c>
      <c r="F570" s="3">
        <v>37990</v>
      </c>
      <c r="G570" s="3">
        <f t="shared" si="41"/>
        <v>149998</v>
      </c>
      <c r="H570" s="3">
        <f t="shared" si="40"/>
        <v>75980</v>
      </c>
      <c r="I570" s="14">
        <f t="shared" si="42"/>
        <v>73499.02</v>
      </c>
      <c r="J570" s="14">
        <f t="shared" si="43"/>
        <v>-74018</v>
      </c>
      <c r="K570" s="1">
        <v>0.49</v>
      </c>
      <c r="L570">
        <v>4.2</v>
      </c>
      <c r="M570" s="2">
        <v>27790</v>
      </c>
      <c r="N570" t="s">
        <v>1356</v>
      </c>
      <c r="O570">
        <f t="shared" si="44"/>
        <v>2</v>
      </c>
      <c r="P570" s="12" t="e">
        <f>HYPERLINK(#REF!,"Link")</f>
        <v>#REF!</v>
      </c>
      <c r="Q570" s="12" t="e">
        <f>HYPERLINK(#REF!,"Link")</f>
        <v>#REF!</v>
      </c>
    </row>
    <row r="571" spans="1:17" x14ac:dyDescent="0.3">
      <c r="A571" t="s">
        <v>216</v>
      </c>
      <c r="B571" t="s">
        <v>217</v>
      </c>
      <c r="C571" s="9" t="s">
        <v>3895</v>
      </c>
      <c r="D571" s="9" t="s">
        <v>3903</v>
      </c>
      <c r="E571" s="14">
        <v>499</v>
      </c>
      <c r="F571" s="3">
        <v>199</v>
      </c>
      <c r="G571" s="3">
        <f t="shared" si="41"/>
        <v>499</v>
      </c>
      <c r="H571" s="3">
        <f t="shared" si="40"/>
        <v>199</v>
      </c>
      <c r="I571" s="14">
        <f t="shared" si="42"/>
        <v>299.39999999999998</v>
      </c>
      <c r="J571" s="14">
        <f t="shared" si="43"/>
        <v>-300</v>
      </c>
      <c r="K571" s="1">
        <v>0.6</v>
      </c>
      <c r="L571">
        <v>4.0999999999999996</v>
      </c>
      <c r="M571">
        <v>602</v>
      </c>
      <c r="N571" t="s">
        <v>218</v>
      </c>
      <c r="O571">
        <f t="shared" si="44"/>
        <v>1</v>
      </c>
      <c r="P571" s="12" t="e">
        <f>HYPERLINK(#REF!,"Link")</f>
        <v>#REF!</v>
      </c>
      <c r="Q571" s="12" t="e">
        <f>HYPERLINK(#REF!,"Link")</f>
        <v>#REF!</v>
      </c>
    </row>
    <row r="572" spans="1:17" x14ac:dyDescent="0.3">
      <c r="A572" t="s">
        <v>219</v>
      </c>
      <c r="B572" t="s">
        <v>97</v>
      </c>
      <c r="C572" s="10" t="s">
        <v>3877</v>
      </c>
      <c r="D572" s="10" t="s">
        <v>3904</v>
      </c>
      <c r="E572" s="14">
        <v>399</v>
      </c>
      <c r="F572" s="3">
        <v>179</v>
      </c>
      <c r="G572" s="3">
        <f t="shared" si="41"/>
        <v>798</v>
      </c>
      <c r="H572" s="3">
        <f t="shared" si="40"/>
        <v>358</v>
      </c>
      <c r="I572" s="14">
        <f t="shared" si="42"/>
        <v>438.90000000000003</v>
      </c>
      <c r="J572" s="14">
        <f t="shared" si="43"/>
        <v>-440</v>
      </c>
      <c r="K572" s="1">
        <v>0.55000000000000004</v>
      </c>
      <c r="L572">
        <v>4</v>
      </c>
      <c r="M572" s="2">
        <v>1423</v>
      </c>
      <c r="N572" t="s">
        <v>220</v>
      </c>
      <c r="O572">
        <f t="shared" si="44"/>
        <v>2</v>
      </c>
      <c r="P572" s="12" t="e">
        <f>HYPERLINK(#REF!,"Link")</f>
        <v>#REF!</v>
      </c>
      <c r="Q572" s="12" t="e">
        <f>HYPERLINK(#REF!,"Link")</f>
        <v>#REF!</v>
      </c>
    </row>
    <row r="573" spans="1:17" x14ac:dyDescent="0.3">
      <c r="A573" t="s">
        <v>1357</v>
      </c>
      <c r="B573" t="s">
        <v>1358</v>
      </c>
      <c r="C573" s="9" t="s">
        <v>3905</v>
      </c>
      <c r="D573" s="9" t="s">
        <v>3906</v>
      </c>
      <c r="E573" s="14">
        <v>3999</v>
      </c>
      <c r="F573" s="3">
        <v>1799</v>
      </c>
      <c r="G573" s="3">
        <f t="shared" si="41"/>
        <v>7998</v>
      </c>
      <c r="H573" s="3">
        <f t="shared" si="40"/>
        <v>3598</v>
      </c>
      <c r="I573" s="14">
        <f t="shared" si="42"/>
        <v>4398.9000000000005</v>
      </c>
      <c r="J573" s="14">
        <f t="shared" si="43"/>
        <v>-4400</v>
      </c>
      <c r="K573" s="1">
        <v>0.55000000000000004</v>
      </c>
      <c r="L573">
        <v>4.5999999999999996</v>
      </c>
      <c r="M573">
        <v>245</v>
      </c>
      <c r="N573" t="s">
        <v>1359</v>
      </c>
      <c r="O573">
        <f t="shared" si="44"/>
        <v>2</v>
      </c>
      <c r="P573" s="12" t="e">
        <f>HYPERLINK(#REF!,"Link")</f>
        <v>#REF!</v>
      </c>
      <c r="Q573" s="12" t="e">
        <f>HYPERLINK(#REF!,"Link")</f>
        <v>#REF!</v>
      </c>
    </row>
    <row r="574" spans="1:17" x14ac:dyDescent="0.3">
      <c r="A574" t="s">
        <v>1360</v>
      </c>
      <c r="B574" t="s">
        <v>1304</v>
      </c>
      <c r="C574" s="10" t="s">
        <v>3877</v>
      </c>
      <c r="D574" s="10" t="s">
        <v>3907</v>
      </c>
      <c r="E574" s="14">
        <v>11999</v>
      </c>
      <c r="F574" s="3">
        <v>8499</v>
      </c>
      <c r="G574" s="3">
        <f t="shared" si="41"/>
        <v>11999</v>
      </c>
      <c r="H574" s="3">
        <f t="shared" si="40"/>
        <v>8499</v>
      </c>
      <c r="I574" s="14">
        <f t="shared" si="42"/>
        <v>3479.7099999999996</v>
      </c>
      <c r="J574" s="14">
        <f t="shared" si="43"/>
        <v>-3500</v>
      </c>
      <c r="K574" s="1">
        <v>0.28999999999999998</v>
      </c>
      <c r="L574">
        <v>3.9</v>
      </c>
      <c r="M574">
        <v>276</v>
      </c>
      <c r="N574" t="s">
        <v>1361</v>
      </c>
      <c r="O574">
        <f t="shared" si="44"/>
        <v>1</v>
      </c>
      <c r="P574" s="12" t="e">
        <f>HYPERLINK(#REF!,"Link")</f>
        <v>#REF!</v>
      </c>
      <c r="Q574" s="12" t="e">
        <f>HYPERLINK(#REF!,"Link")</f>
        <v>#REF!</v>
      </c>
    </row>
    <row r="575" spans="1:17" x14ac:dyDescent="0.3">
      <c r="A575" t="s">
        <v>1362</v>
      </c>
      <c r="B575" t="s">
        <v>936</v>
      </c>
      <c r="C575" s="9" t="s">
        <v>3859</v>
      </c>
      <c r="D575" s="9" t="s">
        <v>3908</v>
      </c>
      <c r="E575" s="14">
        <v>3999</v>
      </c>
      <c r="F575" s="3">
        <v>1999</v>
      </c>
      <c r="G575" s="3">
        <f t="shared" si="41"/>
        <v>7998</v>
      </c>
      <c r="H575" s="3">
        <f t="shared" si="40"/>
        <v>3998</v>
      </c>
      <c r="I575" s="14">
        <f t="shared" si="42"/>
        <v>3999</v>
      </c>
      <c r="J575" s="14">
        <f t="shared" si="43"/>
        <v>-4000</v>
      </c>
      <c r="K575" s="1">
        <v>0.5</v>
      </c>
      <c r="L575">
        <v>4</v>
      </c>
      <c r="M575" s="2">
        <v>30254</v>
      </c>
      <c r="N575" t="s">
        <v>937</v>
      </c>
      <c r="O575">
        <f t="shared" si="44"/>
        <v>2</v>
      </c>
      <c r="P575" s="12" t="e">
        <f>HYPERLINK(#REF!,"Link")</f>
        <v>#REF!</v>
      </c>
      <c r="Q575" s="12" t="e">
        <f>HYPERLINK(#REF!,"Link")</f>
        <v>#REF!</v>
      </c>
    </row>
    <row r="576" spans="1:17" x14ac:dyDescent="0.3">
      <c r="A576" t="s">
        <v>1363</v>
      </c>
      <c r="B576" t="s">
        <v>968</v>
      </c>
      <c r="C576" s="10" t="s">
        <v>3859</v>
      </c>
      <c r="D576" s="10" t="s">
        <v>3909</v>
      </c>
      <c r="E576" s="14">
        <v>17999</v>
      </c>
      <c r="F576" s="3">
        <v>3999</v>
      </c>
      <c r="G576" s="3">
        <f t="shared" si="41"/>
        <v>89995</v>
      </c>
      <c r="H576" s="3">
        <f t="shared" si="40"/>
        <v>19995</v>
      </c>
      <c r="I576" s="14">
        <f t="shared" si="42"/>
        <v>70196.100000000006</v>
      </c>
      <c r="J576" s="14">
        <f t="shared" si="43"/>
        <v>-70000</v>
      </c>
      <c r="K576" s="1">
        <v>0.78</v>
      </c>
      <c r="L576">
        <v>4.3</v>
      </c>
      <c r="M576" s="2">
        <v>17161</v>
      </c>
      <c r="N576" t="s">
        <v>969</v>
      </c>
      <c r="O576">
        <f t="shared" si="44"/>
        <v>5</v>
      </c>
      <c r="P576" s="12" t="e">
        <f>HYPERLINK(#REF!,"Link")</f>
        <v>#REF!</v>
      </c>
      <c r="Q576" s="12" t="e">
        <f>HYPERLINK(#REF!,"Link")</f>
        <v>#REF!</v>
      </c>
    </row>
    <row r="577" spans="1:17" x14ac:dyDescent="0.3">
      <c r="A577" t="s">
        <v>1364</v>
      </c>
      <c r="B577" t="s">
        <v>1365</v>
      </c>
      <c r="C577" s="9" t="s">
        <v>3859</v>
      </c>
      <c r="D577" s="9" t="s">
        <v>3910</v>
      </c>
      <c r="E577" s="14">
        <v>499</v>
      </c>
      <c r="F577" s="3">
        <v>219</v>
      </c>
      <c r="G577" s="3">
        <f t="shared" si="41"/>
        <v>1497</v>
      </c>
      <c r="H577" s="3">
        <f t="shared" si="40"/>
        <v>657</v>
      </c>
      <c r="I577" s="14">
        <f t="shared" si="42"/>
        <v>838.32000000000016</v>
      </c>
      <c r="J577" s="14">
        <f t="shared" si="43"/>
        <v>-840</v>
      </c>
      <c r="K577" s="1">
        <v>0.56000000000000005</v>
      </c>
      <c r="L577">
        <v>4.4000000000000004</v>
      </c>
      <c r="M577">
        <v>14</v>
      </c>
      <c r="N577" t="s">
        <v>1366</v>
      </c>
      <c r="O577">
        <f t="shared" si="44"/>
        <v>3</v>
      </c>
      <c r="P577" s="12" t="e">
        <f>HYPERLINK(#REF!,"Link")</f>
        <v>#REF!</v>
      </c>
      <c r="Q577" s="12" t="e">
        <f>HYPERLINK(#REF!,"Link")</f>
        <v>#REF!</v>
      </c>
    </row>
    <row r="578" spans="1:17" x14ac:dyDescent="0.3">
      <c r="A578" t="s">
        <v>1367</v>
      </c>
      <c r="B578" t="s">
        <v>1368</v>
      </c>
      <c r="C578" s="10" t="s">
        <v>3859</v>
      </c>
      <c r="D578" s="10" t="s">
        <v>3911</v>
      </c>
      <c r="E578" s="14">
        <v>1399</v>
      </c>
      <c r="F578" s="3">
        <v>599</v>
      </c>
      <c r="G578" s="3">
        <f t="shared" si="41"/>
        <v>5596</v>
      </c>
      <c r="H578" s="3">
        <f t="shared" ref="H578:H641" si="45">F578*O578</f>
        <v>2396</v>
      </c>
      <c r="I578" s="14">
        <f t="shared" si="42"/>
        <v>3189.72</v>
      </c>
      <c r="J578" s="14">
        <f t="shared" si="43"/>
        <v>-3200</v>
      </c>
      <c r="K578" s="1">
        <v>0.56999999999999995</v>
      </c>
      <c r="L578">
        <v>4.0999999999999996</v>
      </c>
      <c r="M578" s="2">
        <v>14560</v>
      </c>
      <c r="N578" t="s">
        <v>1369</v>
      </c>
      <c r="O578">
        <f t="shared" si="44"/>
        <v>4</v>
      </c>
      <c r="P578" s="12" t="e">
        <f>HYPERLINK(#REF!,"Link")</f>
        <v>#REF!</v>
      </c>
      <c r="Q578" s="12" t="e">
        <f>HYPERLINK(#REF!,"Link")</f>
        <v>#REF!</v>
      </c>
    </row>
    <row r="579" spans="1:17" x14ac:dyDescent="0.3">
      <c r="A579" t="s">
        <v>1370</v>
      </c>
      <c r="B579" t="s">
        <v>1371</v>
      </c>
      <c r="C579" s="9" t="s">
        <v>3859</v>
      </c>
      <c r="D579" s="9"/>
      <c r="E579" s="14">
        <v>2999</v>
      </c>
      <c r="F579" s="3">
        <v>2499</v>
      </c>
      <c r="G579" s="3">
        <f t="shared" ref="G579:G642" si="46">E579*O579</f>
        <v>5998</v>
      </c>
      <c r="H579" s="3">
        <f t="shared" si="45"/>
        <v>4998</v>
      </c>
      <c r="I579" s="14">
        <f t="shared" ref="I579:I642" si="47">(E579*K579)*O579</f>
        <v>1019.6600000000001</v>
      </c>
      <c r="J579" s="14">
        <f t="shared" ref="J579:J642" si="48">H579-G579</f>
        <v>-1000</v>
      </c>
      <c r="K579" s="1">
        <v>0.17</v>
      </c>
      <c r="L579">
        <v>4.0999999999999996</v>
      </c>
      <c r="M579" s="2">
        <v>3156</v>
      </c>
      <c r="N579" t="s">
        <v>1372</v>
      </c>
      <c r="O579">
        <f t="shared" ref="O579:O642" si="49">LEN(N579)-LEN(SUBSTITUTE(N579,",",""))+1</f>
        <v>2</v>
      </c>
      <c r="P579" s="12" t="e">
        <f>HYPERLINK(#REF!,"Link")</f>
        <v>#REF!</v>
      </c>
      <c r="Q579" s="12" t="e">
        <f>HYPERLINK(#REF!,"Link")</f>
        <v>#REF!</v>
      </c>
    </row>
    <row r="580" spans="1:17" x14ac:dyDescent="0.3">
      <c r="A580" t="s">
        <v>1373</v>
      </c>
      <c r="B580" t="s">
        <v>1374</v>
      </c>
      <c r="C580" s="10" t="s">
        <v>3912</v>
      </c>
      <c r="D580" s="10" t="s">
        <v>3913</v>
      </c>
      <c r="E580" s="14">
        <v>499</v>
      </c>
      <c r="F580" s="3">
        <v>89</v>
      </c>
      <c r="G580" s="3">
        <f t="shared" si="46"/>
        <v>998</v>
      </c>
      <c r="H580" s="3">
        <f t="shared" si="45"/>
        <v>178</v>
      </c>
      <c r="I580" s="14">
        <f t="shared" si="47"/>
        <v>818.3599999999999</v>
      </c>
      <c r="J580" s="14">
        <f t="shared" si="48"/>
        <v>-820</v>
      </c>
      <c r="K580" s="1">
        <v>0.82</v>
      </c>
      <c r="L580">
        <v>4.0999999999999996</v>
      </c>
      <c r="M580" s="2">
        <v>9340</v>
      </c>
      <c r="N580" t="s">
        <v>1375</v>
      </c>
      <c r="O580">
        <f t="shared" si="49"/>
        <v>2</v>
      </c>
      <c r="P580" s="12" t="e">
        <f>HYPERLINK(#REF!,"Link")</f>
        <v>#REF!</v>
      </c>
      <c r="Q580" s="12" t="e">
        <f>HYPERLINK(#REF!,"Link")</f>
        <v>#REF!</v>
      </c>
    </row>
    <row r="581" spans="1:17" x14ac:dyDescent="0.3">
      <c r="A581" t="s">
        <v>1376</v>
      </c>
      <c r="B581" t="s">
        <v>1377</v>
      </c>
      <c r="C581" s="9" t="s">
        <v>3891</v>
      </c>
      <c r="D581" s="9" t="s">
        <v>3914</v>
      </c>
      <c r="E581" s="14">
        <v>11999</v>
      </c>
      <c r="F581" s="3">
        <v>2999</v>
      </c>
      <c r="G581" s="3">
        <f t="shared" si="46"/>
        <v>23998</v>
      </c>
      <c r="H581" s="3">
        <f t="shared" si="45"/>
        <v>5998</v>
      </c>
      <c r="I581" s="14">
        <f t="shared" si="47"/>
        <v>17998.5</v>
      </c>
      <c r="J581" s="14">
        <f t="shared" si="48"/>
        <v>-18000</v>
      </c>
      <c r="K581" s="1">
        <v>0.75</v>
      </c>
      <c r="L581">
        <v>4.4000000000000004</v>
      </c>
      <c r="M581">
        <v>768</v>
      </c>
      <c r="N581" t="s">
        <v>1378</v>
      </c>
      <c r="O581">
        <f t="shared" si="49"/>
        <v>2</v>
      </c>
      <c r="P581" s="12" t="e">
        <f>HYPERLINK(#REF!,"Link")</f>
        <v>#REF!</v>
      </c>
      <c r="Q581" s="12" t="e">
        <f>HYPERLINK(#REF!,"Link")</f>
        <v>#REF!</v>
      </c>
    </row>
    <row r="582" spans="1:17" x14ac:dyDescent="0.3">
      <c r="A582" t="s">
        <v>1379</v>
      </c>
      <c r="B582" t="s">
        <v>1380</v>
      </c>
      <c r="C582" s="10" t="s">
        <v>3885</v>
      </c>
      <c r="D582" s="10" t="s">
        <v>3915</v>
      </c>
      <c r="E582" s="14">
        <v>1499</v>
      </c>
      <c r="F582" s="3">
        <v>314</v>
      </c>
      <c r="G582" s="3">
        <f t="shared" si="46"/>
        <v>1499</v>
      </c>
      <c r="H582" s="3">
        <f t="shared" si="45"/>
        <v>314</v>
      </c>
      <c r="I582" s="14">
        <f t="shared" si="47"/>
        <v>1184.21</v>
      </c>
      <c r="J582" s="14">
        <f t="shared" si="48"/>
        <v>-1185</v>
      </c>
      <c r="K582" s="1">
        <v>0.79</v>
      </c>
      <c r="L582">
        <v>4.5</v>
      </c>
      <c r="M582" s="2">
        <v>28978</v>
      </c>
      <c r="N582" t="s">
        <v>1160</v>
      </c>
      <c r="O582">
        <f t="shared" si="49"/>
        <v>1</v>
      </c>
      <c r="P582" s="12" t="e">
        <f>HYPERLINK(#REF!,"Link")</f>
        <v>#REF!</v>
      </c>
      <c r="Q582" s="12" t="e">
        <f>HYPERLINK(#REF!,"Link")</f>
        <v>#REF!</v>
      </c>
    </row>
    <row r="583" spans="1:17" x14ac:dyDescent="0.3">
      <c r="A583" t="s">
        <v>1381</v>
      </c>
      <c r="B583" t="s">
        <v>1018</v>
      </c>
      <c r="C583" s="9" t="s">
        <v>3891</v>
      </c>
      <c r="D583" s="9" t="s">
        <v>3916</v>
      </c>
      <c r="E583" s="14">
        <v>19499</v>
      </c>
      <c r="F583" s="3">
        <v>13999</v>
      </c>
      <c r="G583" s="3">
        <f t="shared" si="46"/>
        <v>38998</v>
      </c>
      <c r="H583" s="3">
        <f t="shared" si="45"/>
        <v>27998</v>
      </c>
      <c r="I583" s="14">
        <f t="shared" si="47"/>
        <v>10919.44</v>
      </c>
      <c r="J583" s="14">
        <f t="shared" si="48"/>
        <v>-11000</v>
      </c>
      <c r="K583" s="1">
        <v>0.28000000000000003</v>
      </c>
      <c r="L583">
        <v>4.0999999999999996</v>
      </c>
      <c r="M583" s="2">
        <v>18998</v>
      </c>
      <c r="N583" t="s">
        <v>948</v>
      </c>
      <c r="O583">
        <f t="shared" si="49"/>
        <v>2</v>
      </c>
      <c r="P583" s="12" t="e">
        <f>HYPERLINK(#REF!,"Link")</f>
        <v>#REF!</v>
      </c>
      <c r="Q583" s="12" t="e">
        <f>HYPERLINK(#REF!,"Link")</f>
        <v>#REF!</v>
      </c>
    </row>
    <row r="584" spans="1:17" x14ac:dyDescent="0.3">
      <c r="A584" t="s">
        <v>1382</v>
      </c>
      <c r="B584" t="s">
        <v>1383</v>
      </c>
      <c r="C584" s="10" t="s">
        <v>3917</v>
      </c>
      <c r="D584" s="10"/>
      <c r="E584" s="14">
        <v>499</v>
      </c>
      <c r="F584" s="3">
        <v>139</v>
      </c>
      <c r="G584" s="3">
        <f t="shared" si="46"/>
        <v>1497</v>
      </c>
      <c r="H584" s="3">
        <f t="shared" si="45"/>
        <v>417</v>
      </c>
      <c r="I584" s="14">
        <f t="shared" si="47"/>
        <v>1077.8399999999999</v>
      </c>
      <c r="J584" s="14">
        <f t="shared" si="48"/>
        <v>-1080</v>
      </c>
      <c r="K584" s="1">
        <v>0.72</v>
      </c>
      <c r="L584">
        <v>4.2</v>
      </c>
      <c r="M584" s="2">
        <v>4971</v>
      </c>
      <c r="N584" t="s">
        <v>1384</v>
      </c>
      <c r="O584">
        <f t="shared" si="49"/>
        <v>3</v>
      </c>
      <c r="P584" s="12" t="e">
        <f>HYPERLINK(#REF!,"Link")</f>
        <v>#REF!</v>
      </c>
      <c r="Q584" s="12" t="e">
        <f>HYPERLINK(#REF!,"Link")</f>
        <v>#REF!</v>
      </c>
    </row>
    <row r="585" spans="1:17" x14ac:dyDescent="0.3">
      <c r="A585" t="s">
        <v>1385</v>
      </c>
      <c r="B585" t="s">
        <v>1386</v>
      </c>
      <c r="C585" s="9" t="s">
        <v>3859</v>
      </c>
      <c r="D585" s="9" t="s">
        <v>3918</v>
      </c>
      <c r="E585" s="14">
        <v>6999</v>
      </c>
      <c r="F585" s="3">
        <v>2599</v>
      </c>
      <c r="G585" s="3">
        <f t="shared" si="46"/>
        <v>48993</v>
      </c>
      <c r="H585" s="3">
        <f t="shared" si="45"/>
        <v>18193</v>
      </c>
      <c r="I585" s="14">
        <f t="shared" si="47"/>
        <v>30865.59</v>
      </c>
      <c r="J585" s="14">
        <f t="shared" si="48"/>
        <v>-30800</v>
      </c>
      <c r="K585" s="1">
        <v>0.63</v>
      </c>
      <c r="L585">
        <v>4.5</v>
      </c>
      <c r="M585" s="2">
        <v>1526</v>
      </c>
      <c r="N585" t="s">
        <v>1387</v>
      </c>
      <c r="O585">
        <f t="shared" si="49"/>
        <v>7</v>
      </c>
      <c r="P585" s="12" t="e">
        <f>HYPERLINK(#REF!,"Link")</f>
        <v>#REF!</v>
      </c>
      <c r="Q585" s="12" t="e">
        <f>HYPERLINK(#REF!,"Link")</f>
        <v>#REF!</v>
      </c>
    </row>
    <row r="586" spans="1:17" x14ac:dyDescent="0.3">
      <c r="A586" t="s">
        <v>1388</v>
      </c>
      <c r="B586" t="s">
        <v>1389</v>
      </c>
      <c r="C586" s="10" t="s">
        <v>3859</v>
      </c>
      <c r="D586" s="10" t="s">
        <v>3919</v>
      </c>
      <c r="E586" s="14">
        <v>999</v>
      </c>
      <c r="F586" s="3">
        <v>365</v>
      </c>
      <c r="G586" s="3">
        <f t="shared" si="46"/>
        <v>1998</v>
      </c>
      <c r="H586" s="3">
        <f t="shared" si="45"/>
        <v>730</v>
      </c>
      <c r="I586" s="14">
        <f t="shared" si="47"/>
        <v>1258.74</v>
      </c>
      <c r="J586" s="14">
        <f t="shared" si="48"/>
        <v>-1268</v>
      </c>
      <c r="K586" s="1">
        <v>0.63</v>
      </c>
      <c r="L586">
        <v>4.0999999999999996</v>
      </c>
      <c r="M586" s="2">
        <v>363711</v>
      </c>
      <c r="N586" t="s">
        <v>920</v>
      </c>
      <c r="O586">
        <f t="shared" si="49"/>
        <v>2</v>
      </c>
      <c r="P586" s="12" t="e">
        <f>HYPERLINK(#REF!,"Link")</f>
        <v>#REF!</v>
      </c>
      <c r="Q586" s="12" t="e">
        <f>HYPERLINK(#REF!,"Link")</f>
        <v>#REF!</v>
      </c>
    </row>
    <row r="587" spans="1:17" x14ac:dyDescent="0.3">
      <c r="A587" t="s">
        <v>1390</v>
      </c>
      <c r="B587" t="s">
        <v>1391</v>
      </c>
      <c r="C587" s="9" t="s">
        <v>3859</v>
      </c>
      <c r="D587" s="9" t="s">
        <v>3911</v>
      </c>
      <c r="E587" s="14">
        <v>4490</v>
      </c>
      <c r="F587" s="3">
        <v>1499</v>
      </c>
      <c r="G587" s="3">
        <f t="shared" si="46"/>
        <v>13470</v>
      </c>
      <c r="H587" s="3">
        <f t="shared" si="45"/>
        <v>4497</v>
      </c>
      <c r="I587" s="14">
        <f t="shared" si="47"/>
        <v>9024.9000000000015</v>
      </c>
      <c r="J587" s="14">
        <f t="shared" si="48"/>
        <v>-8973</v>
      </c>
      <c r="K587" s="1">
        <v>0.67</v>
      </c>
      <c r="L587">
        <v>3.9</v>
      </c>
      <c r="M587" s="2">
        <v>136954</v>
      </c>
      <c r="N587" t="s">
        <v>1392</v>
      </c>
      <c r="O587">
        <f t="shared" si="49"/>
        <v>3</v>
      </c>
      <c r="P587" s="12" t="e">
        <f>HYPERLINK(#REF!,"Link")</f>
        <v>#REF!</v>
      </c>
      <c r="Q587" s="12" t="e">
        <f>HYPERLINK(#REF!,"Link")</f>
        <v>#REF!</v>
      </c>
    </row>
    <row r="588" spans="1:17" x14ac:dyDescent="0.3">
      <c r="A588" t="s">
        <v>873</v>
      </c>
      <c r="B588" t="s">
        <v>874</v>
      </c>
      <c r="C588" s="10" t="s">
        <v>3920</v>
      </c>
      <c r="D588" s="10" t="s">
        <v>3921</v>
      </c>
      <c r="E588" s="14">
        <v>9999</v>
      </c>
      <c r="F588" s="3">
        <v>1998</v>
      </c>
      <c r="G588" s="3">
        <f t="shared" si="46"/>
        <v>19998</v>
      </c>
      <c r="H588" s="3">
        <f t="shared" si="45"/>
        <v>3996</v>
      </c>
      <c r="I588" s="14">
        <f t="shared" si="47"/>
        <v>15998.400000000001</v>
      </c>
      <c r="J588" s="14">
        <f t="shared" si="48"/>
        <v>-16002</v>
      </c>
      <c r="K588" s="1">
        <v>0.8</v>
      </c>
      <c r="L588">
        <v>4.3</v>
      </c>
      <c r="M588" s="2">
        <v>27709</v>
      </c>
      <c r="N588" t="s">
        <v>875</v>
      </c>
      <c r="O588">
        <f t="shared" si="49"/>
        <v>2</v>
      </c>
      <c r="P588" s="12" t="e">
        <f>HYPERLINK(#REF!,"Link")</f>
        <v>#REF!</v>
      </c>
      <c r="Q588" s="12" t="e">
        <f>HYPERLINK(#REF!,"Link")</f>
        <v>#REF!</v>
      </c>
    </row>
    <row r="589" spans="1:17" x14ac:dyDescent="0.3">
      <c r="A589" t="s">
        <v>876</v>
      </c>
      <c r="B589" t="s">
        <v>877</v>
      </c>
      <c r="C589" s="9" t="s">
        <v>3859</v>
      </c>
      <c r="D589" s="9" t="s">
        <v>3918</v>
      </c>
      <c r="E589" s="14">
        <v>7990</v>
      </c>
      <c r="F589" s="3">
        <v>1799</v>
      </c>
      <c r="G589" s="3">
        <f t="shared" si="46"/>
        <v>23970</v>
      </c>
      <c r="H589" s="3">
        <f t="shared" si="45"/>
        <v>5397</v>
      </c>
      <c r="I589" s="14">
        <f t="shared" si="47"/>
        <v>18456.900000000001</v>
      </c>
      <c r="J589" s="14">
        <f t="shared" si="48"/>
        <v>-18573</v>
      </c>
      <c r="K589" s="1">
        <v>0.77</v>
      </c>
      <c r="L589">
        <v>3.8</v>
      </c>
      <c r="M589" s="2">
        <v>17833</v>
      </c>
      <c r="N589" t="s">
        <v>878</v>
      </c>
      <c r="O589">
        <f t="shared" si="49"/>
        <v>3</v>
      </c>
      <c r="P589" s="12" t="e">
        <f>HYPERLINK(#REF!,"Link")</f>
        <v>#REF!</v>
      </c>
      <c r="Q589" s="12" t="e">
        <f>HYPERLINK(#REF!,"Link")</f>
        <v>#REF!</v>
      </c>
    </row>
    <row r="590" spans="1:17" x14ac:dyDescent="0.3">
      <c r="A590" t="s">
        <v>1393</v>
      </c>
      <c r="B590" t="s">
        <v>1394</v>
      </c>
      <c r="C590" s="10" t="s">
        <v>3859</v>
      </c>
      <c r="D590" s="10" t="s">
        <v>3922</v>
      </c>
      <c r="E590" s="14">
        <v>650</v>
      </c>
      <c r="F590" s="3">
        <v>289</v>
      </c>
      <c r="G590" s="3">
        <f t="shared" si="46"/>
        <v>1300</v>
      </c>
      <c r="H590" s="3">
        <f t="shared" si="45"/>
        <v>578</v>
      </c>
      <c r="I590" s="14">
        <f t="shared" si="47"/>
        <v>728.00000000000011</v>
      </c>
      <c r="J590" s="14">
        <f t="shared" si="48"/>
        <v>-722</v>
      </c>
      <c r="K590" s="1">
        <v>0.56000000000000005</v>
      </c>
      <c r="L590">
        <v>4.3</v>
      </c>
      <c r="M590" s="2">
        <v>253105</v>
      </c>
      <c r="N590" t="s">
        <v>1395</v>
      </c>
      <c r="O590">
        <f t="shared" si="49"/>
        <v>2</v>
      </c>
      <c r="P590" s="12" t="e">
        <f>HYPERLINK(#REF!,"Link")</f>
        <v>#REF!</v>
      </c>
      <c r="Q590" s="12" t="e">
        <f>HYPERLINK(#REF!,"Link")</f>
        <v>#REF!</v>
      </c>
    </row>
    <row r="591" spans="1:17" x14ac:dyDescent="0.3">
      <c r="A591" t="s">
        <v>1396</v>
      </c>
      <c r="B591" t="s">
        <v>1397</v>
      </c>
      <c r="C591" s="9" t="s">
        <v>3891</v>
      </c>
      <c r="D591" s="9" t="s">
        <v>3923</v>
      </c>
      <c r="E591" s="14">
        <v>895</v>
      </c>
      <c r="F591" s="3">
        <v>599</v>
      </c>
      <c r="G591" s="3">
        <f t="shared" si="46"/>
        <v>4475</v>
      </c>
      <c r="H591" s="3">
        <f t="shared" si="45"/>
        <v>2995</v>
      </c>
      <c r="I591" s="14">
        <f t="shared" si="47"/>
        <v>1476.75</v>
      </c>
      <c r="J591" s="14">
        <f t="shared" si="48"/>
        <v>-1480</v>
      </c>
      <c r="K591" s="1">
        <v>0.33</v>
      </c>
      <c r="L591">
        <v>4.4000000000000004</v>
      </c>
      <c r="M591" s="2">
        <v>61314</v>
      </c>
      <c r="N591" t="s">
        <v>1398</v>
      </c>
      <c r="O591">
        <f t="shared" si="49"/>
        <v>5</v>
      </c>
      <c r="P591" s="12" t="e">
        <f>HYPERLINK(#REF!,"Link")</f>
        <v>#REF!</v>
      </c>
      <c r="Q591" s="12" t="e">
        <f>HYPERLINK(#REF!,"Link")</f>
        <v>#REF!</v>
      </c>
    </row>
    <row r="592" spans="1:17" x14ac:dyDescent="0.3">
      <c r="A592" t="s">
        <v>1399</v>
      </c>
      <c r="B592" t="s">
        <v>1400</v>
      </c>
      <c r="C592" s="10" t="s">
        <v>3891</v>
      </c>
      <c r="D592" s="10" t="s">
        <v>3924</v>
      </c>
      <c r="E592" s="14">
        <v>237</v>
      </c>
      <c r="F592" s="3">
        <v>217</v>
      </c>
      <c r="G592" s="3">
        <f t="shared" si="46"/>
        <v>474</v>
      </c>
      <c r="H592" s="3">
        <f t="shared" si="45"/>
        <v>434</v>
      </c>
      <c r="I592" s="14">
        <f t="shared" si="47"/>
        <v>37.92</v>
      </c>
      <c r="J592" s="14">
        <f t="shared" si="48"/>
        <v>-40</v>
      </c>
      <c r="K592" s="1">
        <v>0.08</v>
      </c>
      <c r="L592">
        <v>3.8</v>
      </c>
      <c r="M592" s="2">
        <v>7354</v>
      </c>
      <c r="N592" t="s">
        <v>1401</v>
      </c>
      <c r="O592">
        <f t="shared" si="49"/>
        <v>2</v>
      </c>
      <c r="P592" s="12" t="e">
        <f>HYPERLINK(#REF!,"Link")</f>
        <v>#REF!</v>
      </c>
      <c r="Q592" s="12" t="e">
        <f>HYPERLINK(#REF!,"Link")</f>
        <v>#REF!</v>
      </c>
    </row>
    <row r="593" spans="1:17" x14ac:dyDescent="0.3">
      <c r="A593" t="s">
        <v>1402</v>
      </c>
      <c r="B593" t="s">
        <v>1403</v>
      </c>
      <c r="C593" s="9" t="s">
        <v>3891</v>
      </c>
      <c r="D593" s="9" t="s">
        <v>3925</v>
      </c>
      <c r="E593" s="14">
        <v>2990</v>
      </c>
      <c r="F593" s="3">
        <v>1299</v>
      </c>
      <c r="G593" s="3">
        <f t="shared" si="46"/>
        <v>8970</v>
      </c>
      <c r="H593" s="3">
        <f t="shared" si="45"/>
        <v>3897</v>
      </c>
      <c r="I593" s="14">
        <f t="shared" si="47"/>
        <v>5112.8999999999996</v>
      </c>
      <c r="J593" s="14">
        <f t="shared" si="48"/>
        <v>-5073</v>
      </c>
      <c r="K593" s="1">
        <v>0.56999999999999995</v>
      </c>
      <c r="L593">
        <v>3.8</v>
      </c>
      <c r="M593" s="2">
        <v>180998</v>
      </c>
      <c r="N593" t="s">
        <v>1404</v>
      </c>
      <c r="O593">
        <f t="shared" si="49"/>
        <v>3</v>
      </c>
      <c r="P593" s="12" t="e">
        <f>HYPERLINK(#REF!,"Link")</f>
        <v>#REF!</v>
      </c>
      <c r="Q593" s="12" t="e">
        <f>HYPERLINK(#REF!,"Link")</f>
        <v>#REF!</v>
      </c>
    </row>
    <row r="594" spans="1:17" x14ac:dyDescent="0.3">
      <c r="A594" t="s">
        <v>1405</v>
      </c>
      <c r="B594" t="s">
        <v>1406</v>
      </c>
      <c r="C594" s="10" t="s">
        <v>3859</v>
      </c>
      <c r="D594" s="10" t="s">
        <v>3926</v>
      </c>
      <c r="E594" s="14">
        <v>699</v>
      </c>
      <c r="F594" s="3">
        <v>263</v>
      </c>
      <c r="G594" s="3">
        <f t="shared" si="46"/>
        <v>1398</v>
      </c>
      <c r="H594" s="3">
        <f t="shared" si="45"/>
        <v>526</v>
      </c>
      <c r="I594" s="14">
        <f t="shared" si="47"/>
        <v>866.76</v>
      </c>
      <c r="J594" s="14">
        <f t="shared" si="48"/>
        <v>-872</v>
      </c>
      <c r="K594" s="1">
        <v>0.62</v>
      </c>
      <c r="L594">
        <v>3.5</v>
      </c>
      <c r="M594">
        <v>690</v>
      </c>
      <c r="N594" t="s">
        <v>1407</v>
      </c>
      <c r="O594">
        <f t="shared" si="49"/>
        <v>2</v>
      </c>
      <c r="P594" s="12" t="e">
        <f>HYPERLINK(#REF!,"Link")</f>
        <v>#REF!</v>
      </c>
      <c r="Q594" s="12" t="e">
        <f>HYPERLINK(#REF!,"Link")</f>
        <v>#REF!</v>
      </c>
    </row>
    <row r="595" spans="1:17" x14ac:dyDescent="0.3">
      <c r="A595" t="s">
        <v>891</v>
      </c>
      <c r="B595" t="s">
        <v>892</v>
      </c>
      <c r="C595" s="9" t="s">
        <v>3927</v>
      </c>
      <c r="D595" s="9" t="s">
        <v>3928</v>
      </c>
      <c r="E595" s="14">
        <v>1000</v>
      </c>
      <c r="F595" s="3">
        <v>569</v>
      </c>
      <c r="G595" s="3">
        <f t="shared" si="46"/>
        <v>3000</v>
      </c>
      <c r="H595" s="3">
        <f t="shared" si="45"/>
        <v>1707</v>
      </c>
      <c r="I595" s="14">
        <f t="shared" si="47"/>
        <v>1290</v>
      </c>
      <c r="J595" s="14">
        <f t="shared" si="48"/>
        <v>-1293</v>
      </c>
      <c r="K595" s="1">
        <v>0.43</v>
      </c>
      <c r="L595">
        <v>4.4000000000000004</v>
      </c>
      <c r="M595" s="2">
        <v>67262</v>
      </c>
      <c r="N595" t="s">
        <v>893</v>
      </c>
      <c r="O595">
        <f t="shared" si="49"/>
        <v>3</v>
      </c>
      <c r="P595" s="12" t="e">
        <f>HYPERLINK(#REF!,"Link")</f>
        <v>#REF!</v>
      </c>
      <c r="Q595" s="12" t="e">
        <f>HYPERLINK(#REF!,"Link")</f>
        <v>#REF!</v>
      </c>
    </row>
    <row r="596" spans="1:17" x14ac:dyDescent="0.3">
      <c r="A596" t="s">
        <v>894</v>
      </c>
      <c r="B596" t="s">
        <v>895</v>
      </c>
      <c r="C596" s="10" t="s">
        <v>3859</v>
      </c>
      <c r="D596" s="10" t="s">
        <v>3929</v>
      </c>
      <c r="E596" s="14">
        <v>4999</v>
      </c>
      <c r="F596" s="3">
        <v>1999</v>
      </c>
      <c r="G596" s="3">
        <f t="shared" si="46"/>
        <v>9998</v>
      </c>
      <c r="H596" s="3">
        <f t="shared" si="45"/>
        <v>3998</v>
      </c>
      <c r="I596" s="14">
        <f t="shared" si="47"/>
        <v>5998.8</v>
      </c>
      <c r="J596" s="14">
        <f t="shared" si="48"/>
        <v>-6000</v>
      </c>
      <c r="K596" s="1">
        <v>0.6</v>
      </c>
      <c r="L596">
        <v>4.0999999999999996</v>
      </c>
      <c r="M596" s="2">
        <v>10689</v>
      </c>
      <c r="N596" t="s">
        <v>896</v>
      </c>
      <c r="O596">
        <f t="shared" si="49"/>
        <v>2</v>
      </c>
      <c r="P596" s="12" t="e">
        <f>HYPERLINK(#REF!,"Link")</f>
        <v>#REF!</v>
      </c>
      <c r="Q596" s="12" t="e">
        <f>HYPERLINK(#REF!,"Link")</f>
        <v>#REF!</v>
      </c>
    </row>
    <row r="597" spans="1:17" x14ac:dyDescent="0.3">
      <c r="A597" t="s">
        <v>1408</v>
      </c>
      <c r="B597" t="s">
        <v>1409</v>
      </c>
      <c r="C597" s="9" t="s">
        <v>3885</v>
      </c>
      <c r="D597" s="9" t="s">
        <v>3930</v>
      </c>
      <c r="E597" s="14">
        <v>3990</v>
      </c>
      <c r="F597" s="3">
        <v>1399</v>
      </c>
      <c r="G597" s="3">
        <f t="shared" si="46"/>
        <v>7980</v>
      </c>
      <c r="H597" s="3">
        <f t="shared" si="45"/>
        <v>2798</v>
      </c>
      <c r="I597" s="14">
        <f t="shared" si="47"/>
        <v>5187</v>
      </c>
      <c r="J597" s="14">
        <f t="shared" si="48"/>
        <v>-5182</v>
      </c>
      <c r="K597" s="1">
        <v>0.65</v>
      </c>
      <c r="L597">
        <v>4.0999999999999996</v>
      </c>
      <c r="M597" s="2">
        <v>141841</v>
      </c>
      <c r="N597" t="s">
        <v>1410</v>
      </c>
      <c r="O597">
        <f t="shared" si="49"/>
        <v>2</v>
      </c>
      <c r="P597" s="12" t="e">
        <f>HYPERLINK(#REF!,"Link")</f>
        <v>#REF!</v>
      </c>
      <c r="Q597" s="12" t="e">
        <f>HYPERLINK(#REF!,"Link")</f>
        <v>#REF!</v>
      </c>
    </row>
    <row r="598" spans="1:17" x14ac:dyDescent="0.3">
      <c r="A598" t="s">
        <v>1411</v>
      </c>
      <c r="B598" t="s">
        <v>1412</v>
      </c>
      <c r="C598" s="10" t="s">
        <v>3864</v>
      </c>
      <c r="D598" s="10" t="s">
        <v>3880</v>
      </c>
      <c r="E598" s="14">
        <v>1499</v>
      </c>
      <c r="F598" s="3">
        <v>349</v>
      </c>
      <c r="G598" s="3">
        <f t="shared" si="46"/>
        <v>1499</v>
      </c>
      <c r="H598" s="3">
        <f t="shared" si="45"/>
        <v>349</v>
      </c>
      <c r="I598" s="14">
        <f t="shared" si="47"/>
        <v>1154.23</v>
      </c>
      <c r="J598" s="14">
        <f t="shared" si="48"/>
        <v>-1150</v>
      </c>
      <c r="K598" s="1">
        <v>0.77</v>
      </c>
      <c r="L598">
        <v>4.3</v>
      </c>
      <c r="M598" s="2">
        <v>24791</v>
      </c>
      <c r="N598" t="s">
        <v>1413</v>
      </c>
      <c r="O598">
        <f t="shared" si="49"/>
        <v>1</v>
      </c>
      <c r="P598" s="12" t="e">
        <f>HYPERLINK(#REF!,"Link")</f>
        <v>#REF!</v>
      </c>
      <c r="Q598" s="12" t="e">
        <f>HYPERLINK(#REF!,"Link")</f>
        <v>#REF!</v>
      </c>
    </row>
    <row r="599" spans="1:17" x14ac:dyDescent="0.3">
      <c r="A599" t="s">
        <v>1414</v>
      </c>
      <c r="B599" t="s">
        <v>1415</v>
      </c>
      <c r="C599" s="10" t="s">
        <v>3725</v>
      </c>
      <c r="D599" s="10" t="s">
        <v>3726</v>
      </c>
      <c r="E599" s="14">
        <v>399</v>
      </c>
      <c r="F599" s="3">
        <v>149</v>
      </c>
      <c r="G599" s="3">
        <f t="shared" si="46"/>
        <v>399</v>
      </c>
      <c r="H599" s="3">
        <f t="shared" si="45"/>
        <v>149</v>
      </c>
      <c r="I599" s="14">
        <f t="shared" si="47"/>
        <v>251.37</v>
      </c>
      <c r="J599" s="14">
        <f t="shared" si="48"/>
        <v>-250</v>
      </c>
      <c r="K599" s="1">
        <v>0.63</v>
      </c>
      <c r="L599">
        <v>3.5</v>
      </c>
      <c r="M599" s="2">
        <v>21764</v>
      </c>
      <c r="N599" t="s">
        <v>1416</v>
      </c>
      <c r="O599">
        <f t="shared" si="49"/>
        <v>1</v>
      </c>
      <c r="P599" s="12" t="e">
        <f>HYPERLINK(#REF!,"Link")</f>
        <v>#REF!</v>
      </c>
      <c r="Q599" s="12" t="e">
        <f>HYPERLINK(#REF!,"Link")</f>
        <v>#REF!</v>
      </c>
    </row>
    <row r="600" spans="1:17" x14ac:dyDescent="0.3">
      <c r="A600" t="s">
        <v>903</v>
      </c>
      <c r="B600" t="s">
        <v>904</v>
      </c>
      <c r="C600" s="9" t="s">
        <v>3727</v>
      </c>
      <c r="D600" s="9" t="s">
        <v>3728</v>
      </c>
      <c r="E600" s="14">
        <v>999</v>
      </c>
      <c r="F600" s="3">
        <v>599</v>
      </c>
      <c r="G600" s="3">
        <f t="shared" si="46"/>
        <v>1998</v>
      </c>
      <c r="H600" s="3">
        <f t="shared" si="45"/>
        <v>1198</v>
      </c>
      <c r="I600" s="14">
        <f t="shared" si="47"/>
        <v>799.2</v>
      </c>
      <c r="J600" s="14">
        <f t="shared" si="48"/>
        <v>-800</v>
      </c>
      <c r="K600" s="1">
        <v>0.4</v>
      </c>
      <c r="L600">
        <v>4.0999999999999996</v>
      </c>
      <c r="M600" s="2">
        <v>192587</v>
      </c>
      <c r="N600" t="s">
        <v>905</v>
      </c>
      <c r="O600">
        <f t="shared" si="49"/>
        <v>2</v>
      </c>
      <c r="P600" s="12" t="e">
        <f>HYPERLINK(#REF!,"Link")</f>
        <v>#REF!</v>
      </c>
      <c r="Q600" s="12" t="e">
        <f>HYPERLINK(#REF!,"Link")</f>
        <v>#REF!</v>
      </c>
    </row>
    <row r="601" spans="1:17" x14ac:dyDescent="0.3">
      <c r="A601" t="s">
        <v>1417</v>
      </c>
      <c r="B601" t="s">
        <v>1418</v>
      </c>
      <c r="C601" s="10" t="s">
        <v>3729</v>
      </c>
      <c r="D601" s="10" t="s">
        <v>3726</v>
      </c>
      <c r="E601" s="14">
        <v>3990</v>
      </c>
      <c r="F601" s="3">
        <v>1220</v>
      </c>
      <c r="G601" s="3">
        <f t="shared" si="46"/>
        <v>7980</v>
      </c>
      <c r="H601" s="3">
        <f t="shared" si="45"/>
        <v>2440</v>
      </c>
      <c r="I601" s="14">
        <f t="shared" si="47"/>
        <v>5506.2</v>
      </c>
      <c r="J601" s="14">
        <f t="shared" si="48"/>
        <v>-5540</v>
      </c>
      <c r="K601" s="1">
        <v>0.69</v>
      </c>
      <c r="L601">
        <v>4.0999999999999996</v>
      </c>
      <c r="M601" s="2">
        <v>107151</v>
      </c>
      <c r="N601" t="s">
        <v>1419</v>
      </c>
      <c r="O601">
        <f t="shared" si="49"/>
        <v>2</v>
      </c>
      <c r="P601" s="12" t="e">
        <f>HYPERLINK(#REF!,"Link")</f>
        <v>#REF!</v>
      </c>
      <c r="Q601" s="12" t="e">
        <f>HYPERLINK(#REF!,"Link")</f>
        <v>#REF!</v>
      </c>
    </row>
    <row r="602" spans="1:17" x14ac:dyDescent="0.3">
      <c r="A602" t="s">
        <v>900</v>
      </c>
      <c r="B602" t="s">
        <v>901</v>
      </c>
      <c r="C602" s="9" t="s">
        <v>3730</v>
      </c>
      <c r="D602" s="9" t="s">
        <v>3731</v>
      </c>
      <c r="E602" s="14">
        <v>6990</v>
      </c>
      <c r="F602" s="3">
        <v>1499</v>
      </c>
      <c r="G602" s="3">
        <f t="shared" si="46"/>
        <v>13980</v>
      </c>
      <c r="H602" s="3">
        <f t="shared" si="45"/>
        <v>2998</v>
      </c>
      <c r="I602" s="14">
        <f t="shared" si="47"/>
        <v>11044.2</v>
      </c>
      <c r="J602" s="14">
        <f t="shared" si="48"/>
        <v>-10982</v>
      </c>
      <c r="K602" s="1">
        <v>0.79</v>
      </c>
      <c r="L602">
        <v>3.9</v>
      </c>
      <c r="M602" s="2">
        <v>21797</v>
      </c>
      <c r="N602" t="s">
        <v>1420</v>
      </c>
      <c r="O602">
        <f t="shared" si="49"/>
        <v>2</v>
      </c>
      <c r="P602" s="12" t="e">
        <f>HYPERLINK(#REF!,"Link")</f>
        <v>#REF!</v>
      </c>
      <c r="Q602" s="12" t="e">
        <f>HYPERLINK(#REF!,"Link")</f>
        <v>#REF!</v>
      </c>
    </row>
    <row r="603" spans="1:17" x14ac:dyDescent="0.3">
      <c r="A603" t="s">
        <v>1421</v>
      </c>
      <c r="B603" t="s">
        <v>1422</v>
      </c>
      <c r="C603" s="10" t="s">
        <v>3729</v>
      </c>
      <c r="D603" s="10" t="s">
        <v>3732</v>
      </c>
      <c r="E603" s="14">
        <v>999</v>
      </c>
      <c r="F603" s="3">
        <v>499</v>
      </c>
      <c r="G603" s="3">
        <f t="shared" si="46"/>
        <v>3996</v>
      </c>
      <c r="H603" s="3">
        <f t="shared" si="45"/>
        <v>1996</v>
      </c>
      <c r="I603" s="14">
        <f t="shared" si="47"/>
        <v>1998</v>
      </c>
      <c r="J603" s="14">
        <f t="shared" si="48"/>
        <v>-2000</v>
      </c>
      <c r="K603" s="1">
        <v>0.5</v>
      </c>
      <c r="L603">
        <v>3.9</v>
      </c>
      <c r="M603" s="2">
        <v>92995</v>
      </c>
      <c r="N603" t="s">
        <v>1423</v>
      </c>
      <c r="O603">
        <f t="shared" si="49"/>
        <v>4</v>
      </c>
      <c r="P603" s="12" t="e">
        <f>HYPERLINK(#REF!,"Link")</f>
        <v>#REF!</v>
      </c>
      <c r="Q603" s="12" t="e">
        <f>HYPERLINK(#REF!,"Link")</f>
        <v>#REF!</v>
      </c>
    </row>
    <row r="604" spans="1:17" x14ac:dyDescent="0.3">
      <c r="A604" t="s">
        <v>1424</v>
      </c>
      <c r="B604" t="s">
        <v>1425</v>
      </c>
      <c r="C604" s="9" t="s">
        <v>3730</v>
      </c>
      <c r="D604" s="9" t="s">
        <v>3733</v>
      </c>
      <c r="E604" s="14">
        <v>999</v>
      </c>
      <c r="F604" s="3">
        <v>99</v>
      </c>
      <c r="G604" s="3">
        <f t="shared" si="46"/>
        <v>2997</v>
      </c>
      <c r="H604" s="3">
        <f t="shared" si="45"/>
        <v>297</v>
      </c>
      <c r="I604" s="14">
        <f t="shared" si="47"/>
        <v>2697.3</v>
      </c>
      <c r="J604" s="14">
        <f t="shared" si="48"/>
        <v>-2700</v>
      </c>
      <c r="K604" s="1">
        <v>0.9</v>
      </c>
      <c r="L604">
        <v>4.0999999999999996</v>
      </c>
      <c r="M604" s="2">
        <v>8751</v>
      </c>
      <c r="N604" t="s">
        <v>1426</v>
      </c>
      <c r="O604">
        <f t="shared" si="49"/>
        <v>3</v>
      </c>
      <c r="P604" s="12" t="e">
        <f>HYPERLINK(#REF!,"Link")</f>
        <v>#REF!</v>
      </c>
      <c r="Q604" s="12" t="e">
        <f>HYPERLINK(#REF!,"Link")</f>
        <v>#REF!</v>
      </c>
    </row>
    <row r="605" spans="1:17" x14ac:dyDescent="0.3">
      <c r="A605" t="s">
        <v>915</v>
      </c>
      <c r="B605" t="s">
        <v>916</v>
      </c>
      <c r="C605" s="10" t="s">
        <v>3729</v>
      </c>
      <c r="D605" s="10" t="s">
        <v>3734</v>
      </c>
      <c r="E605" s="14">
        <v>1299</v>
      </c>
      <c r="F605" s="3">
        <v>349</v>
      </c>
      <c r="G605" s="3">
        <f t="shared" si="46"/>
        <v>3897</v>
      </c>
      <c r="H605" s="3">
        <f t="shared" si="45"/>
        <v>1047</v>
      </c>
      <c r="I605" s="14">
        <f t="shared" si="47"/>
        <v>2844.81</v>
      </c>
      <c r="J605" s="14">
        <f t="shared" si="48"/>
        <v>-2850</v>
      </c>
      <c r="K605" s="1">
        <v>0.73</v>
      </c>
      <c r="L605">
        <v>4</v>
      </c>
      <c r="M605" s="2">
        <v>14283</v>
      </c>
      <c r="N605" t="s">
        <v>917</v>
      </c>
      <c r="O605">
        <f t="shared" si="49"/>
        <v>3</v>
      </c>
      <c r="P605" s="12" t="e">
        <f>HYPERLINK(#REF!,"Link")</f>
        <v>#REF!</v>
      </c>
      <c r="Q605" s="12" t="e">
        <f>HYPERLINK(#REF!,"Link")</f>
        <v>#REF!</v>
      </c>
    </row>
    <row r="606" spans="1:17" x14ac:dyDescent="0.3">
      <c r="A606" t="s">
        <v>1427</v>
      </c>
      <c r="B606" t="s">
        <v>1428</v>
      </c>
      <c r="C606" s="9" t="s">
        <v>3729</v>
      </c>
      <c r="D606" s="9" t="s">
        <v>3726</v>
      </c>
      <c r="E606" s="14">
        <v>1500</v>
      </c>
      <c r="F606" s="3">
        <v>475</v>
      </c>
      <c r="G606" s="3">
        <f t="shared" si="46"/>
        <v>4500</v>
      </c>
      <c r="H606" s="3">
        <f t="shared" si="45"/>
        <v>1425</v>
      </c>
      <c r="I606" s="14">
        <f t="shared" si="47"/>
        <v>3060.0000000000005</v>
      </c>
      <c r="J606" s="14">
        <f t="shared" si="48"/>
        <v>-3075</v>
      </c>
      <c r="K606" s="1">
        <v>0.68</v>
      </c>
      <c r="L606">
        <v>4.2</v>
      </c>
      <c r="M606" s="2">
        <v>64273</v>
      </c>
      <c r="N606" t="s">
        <v>1429</v>
      </c>
      <c r="O606">
        <f t="shared" si="49"/>
        <v>3</v>
      </c>
      <c r="P606" s="12" t="e">
        <f>HYPERLINK(#REF!,"Link")</f>
        <v>#REF!</v>
      </c>
      <c r="Q606" s="12" t="e">
        <f>HYPERLINK(#REF!,"Link")</f>
        <v>#REF!</v>
      </c>
    </row>
    <row r="607" spans="1:17" x14ac:dyDescent="0.3">
      <c r="A607" t="s">
        <v>1430</v>
      </c>
      <c r="B607" t="s">
        <v>1431</v>
      </c>
      <c r="C607" s="10" t="s">
        <v>3729</v>
      </c>
      <c r="D607" s="10" t="s">
        <v>3735</v>
      </c>
      <c r="E607" s="14">
        <v>649</v>
      </c>
      <c r="F607" s="3">
        <v>269</v>
      </c>
      <c r="G607" s="3">
        <f t="shared" si="46"/>
        <v>1947</v>
      </c>
      <c r="H607" s="3">
        <f t="shared" si="45"/>
        <v>807</v>
      </c>
      <c r="I607" s="14">
        <f t="shared" si="47"/>
        <v>1148.73</v>
      </c>
      <c r="J607" s="14">
        <f t="shared" si="48"/>
        <v>-1140</v>
      </c>
      <c r="K607" s="1">
        <v>0.59</v>
      </c>
      <c r="L607">
        <v>4.3</v>
      </c>
      <c r="M607" s="2">
        <v>54315</v>
      </c>
      <c r="N607" t="s">
        <v>1432</v>
      </c>
      <c r="O607">
        <f t="shared" si="49"/>
        <v>3</v>
      </c>
      <c r="P607" s="12" t="e">
        <f>HYPERLINK(#REF!,"Link")</f>
        <v>#REF!</v>
      </c>
      <c r="Q607" s="12" t="e">
        <f>HYPERLINK(#REF!,"Link")</f>
        <v>#REF!</v>
      </c>
    </row>
    <row r="608" spans="1:17" x14ac:dyDescent="0.3">
      <c r="A608" t="s">
        <v>1433</v>
      </c>
      <c r="B608" t="s">
        <v>1434</v>
      </c>
      <c r="C608" s="9" t="s">
        <v>3729</v>
      </c>
      <c r="D608" s="9" t="s">
        <v>3726</v>
      </c>
      <c r="E608" s="14">
        <v>599</v>
      </c>
      <c r="F608" s="3">
        <v>299</v>
      </c>
      <c r="G608" s="3">
        <f t="shared" si="46"/>
        <v>1198</v>
      </c>
      <c r="H608" s="3">
        <f t="shared" si="45"/>
        <v>598</v>
      </c>
      <c r="I608" s="14">
        <f t="shared" si="47"/>
        <v>599</v>
      </c>
      <c r="J608" s="14">
        <f t="shared" si="48"/>
        <v>-600</v>
      </c>
      <c r="K608" s="1">
        <v>0.5</v>
      </c>
      <c r="L608">
        <v>4.0999999999999996</v>
      </c>
      <c r="M608" s="2">
        <v>1597</v>
      </c>
      <c r="N608" t="s">
        <v>1435</v>
      </c>
      <c r="O608">
        <f t="shared" si="49"/>
        <v>2</v>
      </c>
      <c r="P608" s="12" t="e">
        <f>HYPERLINK(#REF!,"Link")</f>
        <v>#REF!</v>
      </c>
      <c r="Q608" s="12" t="e">
        <f>HYPERLINK(#REF!,"Link")</f>
        <v>#REF!</v>
      </c>
    </row>
    <row r="609" spans="1:17" x14ac:dyDescent="0.3">
      <c r="A609" t="s">
        <v>935</v>
      </c>
      <c r="B609" t="s">
        <v>936</v>
      </c>
      <c r="C609" s="10" t="s">
        <v>3737</v>
      </c>
      <c r="D609" s="10"/>
      <c r="E609" s="14">
        <v>3999</v>
      </c>
      <c r="F609" s="3">
        <v>1599</v>
      </c>
      <c r="G609" s="3">
        <f t="shared" si="46"/>
        <v>7998</v>
      </c>
      <c r="H609" s="3">
        <f t="shared" si="45"/>
        <v>3198</v>
      </c>
      <c r="I609" s="14">
        <f t="shared" si="47"/>
        <v>4798.8</v>
      </c>
      <c r="J609" s="14">
        <f t="shared" si="48"/>
        <v>-4800</v>
      </c>
      <c r="K609" s="1">
        <v>0.6</v>
      </c>
      <c r="L609">
        <v>4</v>
      </c>
      <c r="M609" s="2">
        <v>30254</v>
      </c>
      <c r="N609" t="s">
        <v>937</v>
      </c>
      <c r="O609">
        <f t="shared" si="49"/>
        <v>2</v>
      </c>
      <c r="P609" s="12" t="e">
        <f>HYPERLINK(#REF!,"Link")</f>
        <v>#REF!</v>
      </c>
      <c r="Q609" s="12" t="e">
        <f>HYPERLINK(#REF!,"Link")</f>
        <v>#REF!</v>
      </c>
    </row>
    <row r="610" spans="1:17" x14ac:dyDescent="0.3">
      <c r="A610" t="s">
        <v>938</v>
      </c>
      <c r="B610" t="s">
        <v>939</v>
      </c>
      <c r="C610" s="9" t="s">
        <v>3729</v>
      </c>
      <c r="D610" s="9" t="s">
        <v>3738</v>
      </c>
      <c r="E610" s="14">
        <v>7999</v>
      </c>
      <c r="F610" s="3">
        <v>1499</v>
      </c>
      <c r="G610" s="3">
        <f t="shared" si="46"/>
        <v>7999</v>
      </c>
      <c r="H610" s="3">
        <f t="shared" si="45"/>
        <v>1499</v>
      </c>
      <c r="I610" s="14">
        <f t="shared" si="47"/>
        <v>6479.1900000000005</v>
      </c>
      <c r="J610" s="14">
        <f t="shared" si="48"/>
        <v>-6500</v>
      </c>
      <c r="K610" s="1">
        <v>0.81</v>
      </c>
      <c r="L610">
        <v>4.2</v>
      </c>
      <c r="M610" s="2">
        <v>22638</v>
      </c>
      <c r="N610" t="s">
        <v>940</v>
      </c>
      <c r="O610">
        <f t="shared" si="49"/>
        <v>1</v>
      </c>
      <c r="P610" s="12" t="e">
        <f>HYPERLINK(#REF!,"Link")</f>
        <v>#REF!</v>
      </c>
      <c r="Q610" s="12" t="e">
        <f>HYPERLINK(#REF!,"Link")</f>
        <v>#REF!</v>
      </c>
    </row>
    <row r="611" spans="1:17" x14ac:dyDescent="0.3">
      <c r="A611" t="s">
        <v>1436</v>
      </c>
      <c r="B611" t="s">
        <v>1437</v>
      </c>
      <c r="C611" s="10" t="s">
        <v>3739</v>
      </c>
      <c r="D611" s="10" t="s">
        <v>3740</v>
      </c>
      <c r="E611" s="14">
        <v>999</v>
      </c>
      <c r="F611" s="3">
        <v>329</v>
      </c>
      <c r="G611" s="3">
        <f t="shared" si="46"/>
        <v>1998</v>
      </c>
      <c r="H611" s="3">
        <f t="shared" si="45"/>
        <v>658</v>
      </c>
      <c r="I611" s="14">
        <f t="shared" si="47"/>
        <v>1338.66</v>
      </c>
      <c r="J611" s="14">
        <f t="shared" si="48"/>
        <v>-1340</v>
      </c>
      <c r="K611" s="1">
        <v>0.67</v>
      </c>
      <c r="L611">
        <v>3.9</v>
      </c>
      <c r="M611" s="2">
        <v>77027</v>
      </c>
      <c r="N611" t="s">
        <v>1438</v>
      </c>
      <c r="O611">
        <f t="shared" si="49"/>
        <v>2</v>
      </c>
      <c r="P611" s="12" t="e">
        <f>HYPERLINK(#REF!,"Link")</f>
        <v>#REF!</v>
      </c>
      <c r="Q611" s="12" t="e">
        <f>HYPERLINK(#REF!,"Link")</f>
        <v>#REF!</v>
      </c>
    </row>
    <row r="612" spans="1:17" x14ac:dyDescent="0.3">
      <c r="A612" t="s">
        <v>1439</v>
      </c>
      <c r="B612" t="s">
        <v>1440</v>
      </c>
      <c r="C612" s="9" t="s">
        <v>3725</v>
      </c>
      <c r="D612" s="9" t="s">
        <v>3726</v>
      </c>
      <c r="E612" s="14">
        <v>1799</v>
      </c>
      <c r="F612" s="3">
        <v>549</v>
      </c>
      <c r="G612" s="3">
        <f t="shared" si="46"/>
        <v>3598</v>
      </c>
      <c r="H612" s="3">
        <f t="shared" si="45"/>
        <v>1098</v>
      </c>
      <c r="I612" s="14">
        <f t="shared" si="47"/>
        <v>2482.62</v>
      </c>
      <c r="J612" s="14">
        <f t="shared" si="48"/>
        <v>-2500</v>
      </c>
      <c r="K612" s="1">
        <v>0.69</v>
      </c>
      <c r="L612">
        <v>4.3</v>
      </c>
      <c r="M612" s="2">
        <v>28829</v>
      </c>
      <c r="N612" t="s">
        <v>1441</v>
      </c>
      <c r="O612">
        <f t="shared" si="49"/>
        <v>2</v>
      </c>
      <c r="P612" s="12" t="e">
        <f>HYPERLINK(#REF!,"Link")</f>
        <v>#REF!</v>
      </c>
      <c r="Q612" s="12" t="e">
        <f>HYPERLINK(#REF!,"Link")</f>
        <v>#REF!</v>
      </c>
    </row>
    <row r="613" spans="1:17" x14ac:dyDescent="0.3">
      <c r="A613" t="s">
        <v>950</v>
      </c>
      <c r="B613" t="s">
        <v>951</v>
      </c>
      <c r="C613" s="10" t="s">
        <v>3729</v>
      </c>
      <c r="D613" s="10" t="s">
        <v>3726</v>
      </c>
      <c r="E613" s="14">
        <v>9999</v>
      </c>
      <c r="F613" s="3">
        <v>2199</v>
      </c>
      <c r="G613" s="3">
        <f t="shared" si="46"/>
        <v>19998</v>
      </c>
      <c r="H613" s="3">
        <f t="shared" si="45"/>
        <v>4398</v>
      </c>
      <c r="I613" s="14">
        <f t="shared" si="47"/>
        <v>15598.44</v>
      </c>
      <c r="J613" s="14">
        <f t="shared" si="48"/>
        <v>-15600</v>
      </c>
      <c r="K613" s="1">
        <v>0.78</v>
      </c>
      <c r="L613">
        <v>4.2</v>
      </c>
      <c r="M613" s="2">
        <v>29478</v>
      </c>
      <c r="N613" t="s">
        <v>952</v>
      </c>
      <c r="O613">
        <f t="shared" si="49"/>
        <v>2</v>
      </c>
      <c r="P613" s="12" t="e">
        <f>HYPERLINK(#REF!,"Link")</f>
        <v>#REF!</v>
      </c>
      <c r="Q613" s="12" t="e">
        <f>HYPERLINK(#REF!,"Link")</f>
        <v>#REF!</v>
      </c>
    </row>
    <row r="614" spans="1:17" x14ac:dyDescent="0.3">
      <c r="A614" t="s">
        <v>1442</v>
      </c>
      <c r="B614" t="s">
        <v>1443</v>
      </c>
      <c r="C614" s="9" t="s">
        <v>3741</v>
      </c>
      <c r="D614" s="9" t="s">
        <v>3742</v>
      </c>
      <c r="E614" s="14">
        <v>650</v>
      </c>
      <c r="F614" s="3">
        <v>299</v>
      </c>
      <c r="G614" s="3">
        <f t="shared" si="46"/>
        <v>3250</v>
      </c>
      <c r="H614" s="3">
        <f t="shared" si="45"/>
        <v>1495</v>
      </c>
      <c r="I614" s="14">
        <f t="shared" si="47"/>
        <v>1755</v>
      </c>
      <c r="J614" s="14">
        <f t="shared" si="48"/>
        <v>-1755</v>
      </c>
      <c r="K614" s="1">
        <v>0.54</v>
      </c>
      <c r="L614">
        <v>4.5</v>
      </c>
      <c r="M614" s="2">
        <v>33176</v>
      </c>
      <c r="N614" t="s">
        <v>1444</v>
      </c>
      <c r="O614">
        <f t="shared" si="49"/>
        <v>5</v>
      </c>
      <c r="P614" s="12" t="e">
        <f>HYPERLINK(#REF!,"Link")</f>
        <v>#REF!</v>
      </c>
      <c r="Q614" s="12" t="e">
        <f>HYPERLINK(#REF!,"Link")</f>
        <v>#REF!</v>
      </c>
    </row>
    <row r="615" spans="1:17" x14ac:dyDescent="0.3">
      <c r="A615" t="s">
        <v>1445</v>
      </c>
      <c r="B615" t="s">
        <v>1446</v>
      </c>
      <c r="C615" s="10" t="s">
        <v>3743</v>
      </c>
      <c r="D615" s="10"/>
      <c r="E615" s="14">
        <v>1995</v>
      </c>
      <c r="F615" s="3">
        <v>798</v>
      </c>
      <c r="G615" s="3">
        <f t="shared" si="46"/>
        <v>3990</v>
      </c>
      <c r="H615" s="3">
        <f t="shared" si="45"/>
        <v>1596</v>
      </c>
      <c r="I615" s="14">
        <f t="shared" si="47"/>
        <v>2394</v>
      </c>
      <c r="J615" s="14">
        <f t="shared" si="48"/>
        <v>-2394</v>
      </c>
      <c r="K615" s="1">
        <v>0.6</v>
      </c>
      <c r="L615">
        <v>4</v>
      </c>
      <c r="M615" s="2">
        <v>68664</v>
      </c>
      <c r="N615" t="s">
        <v>1447</v>
      </c>
      <c r="O615">
        <f t="shared" si="49"/>
        <v>2</v>
      </c>
      <c r="P615" s="12" t="e">
        <f>HYPERLINK(#REF!,"Link")</f>
        <v>#REF!</v>
      </c>
      <c r="Q615" s="12" t="e">
        <f>HYPERLINK(#REF!,"Link")</f>
        <v>#REF!</v>
      </c>
    </row>
    <row r="616" spans="1:17" x14ac:dyDescent="0.3">
      <c r="A616" t="s">
        <v>9</v>
      </c>
      <c r="B616" t="s">
        <v>10</v>
      </c>
      <c r="C616" s="9" t="s">
        <v>3744</v>
      </c>
      <c r="D616" s="9" t="s">
        <v>3745</v>
      </c>
      <c r="E616" s="14">
        <v>1099</v>
      </c>
      <c r="F616" s="3">
        <v>399</v>
      </c>
      <c r="G616" s="3">
        <f t="shared" si="46"/>
        <v>4396</v>
      </c>
      <c r="H616" s="3">
        <f t="shared" si="45"/>
        <v>1596</v>
      </c>
      <c r="I616" s="14">
        <f t="shared" si="47"/>
        <v>2813.44</v>
      </c>
      <c r="J616" s="14">
        <f t="shared" si="48"/>
        <v>-2800</v>
      </c>
      <c r="K616" s="1">
        <v>0.64</v>
      </c>
      <c r="L616">
        <v>4.2</v>
      </c>
      <c r="M616" s="2">
        <v>24269</v>
      </c>
      <c r="N616" t="s">
        <v>11</v>
      </c>
      <c r="O616">
        <f t="shared" si="49"/>
        <v>4</v>
      </c>
      <c r="P616" s="12" t="e">
        <f>HYPERLINK(#REF!,"Link")</f>
        <v>#REF!</v>
      </c>
      <c r="Q616" s="12" t="e">
        <f>HYPERLINK(#REF!,"Link")</f>
        <v>#REF!</v>
      </c>
    </row>
    <row r="617" spans="1:17" x14ac:dyDescent="0.3">
      <c r="A617" t="s">
        <v>1448</v>
      </c>
      <c r="B617" t="s">
        <v>1449</v>
      </c>
      <c r="C617" s="10" t="s">
        <v>3729</v>
      </c>
      <c r="D617" s="10" t="s">
        <v>3746</v>
      </c>
      <c r="E617" s="14">
        <v>315</v>
      </c>
      <c r="F617" s="3">
        <v>266</v>
      </c>
      <c r="G617" s="3">
        <f t="shared" si="46"/>
        <v>945</v>
      </c>
      <c r="H617" s="3">
        <f t="shared" si="45"/>
        <v>798</v>
      </c>
      <c r="I617" s="14">
        <f t="shared" si="47"/>
        <v>151.19999999999999</v>
      </c>
      <c r="J617" s="14">
        <f t="shared" si="48"/>
        <v>-147</v>
      </c>
      <c r="K617" s="1">
        <v>0.16</v>
      </c>
      <c r="L617">
        <v>4.5</v>
      </c>
      <c r="M617" s="2">
        <v>28030</v>
      </c>
      <c r="N617" t="s">
        <v>1450</v>
      </c>
      <c r="O617">
        <f t="shared" si="49"/>
        <v>3</v>
      </c>
      <c r="P617" s="12" t="e">
        <f>HYPERLINK(#REF!,"Link")</f>
        <v>#REF!</v>
      </c>
      <c r="Q617" s="12" t="e">
        <f>HYPERLINK(#REF!,"Link")</f>
        <v>#REF!</v>
      </c>
    </row>
    <row r="618" spans="1:17" x14ac:dyDescent="0.3">
      <c r="A618" t="s">
        <v>1451</v>
      </c>
      <c r="B618" t="s">
        <v>1452</v>
      </c>
      <c r="C618" s="9" t="s">
        <v>3747</v>
      </c>
      <c r="D618" s="9"/>
      <c r="E618" s="14">
        <v>50</v>
      </c>
      <c r="F618" s="3">
        <v>50</v>
      </c>
      <c r="G618" s="3">
        <f t="shared" si="46"/>
        <v>100</v>
      </c>
      <c r="H618" s="3">
        <f t="shared" si="45"/>
        <v>100</v>
      </c>
      <c r="I618" s="14">
        <f t="shared" si="47"/>
        <v>0</v>
      </c>
      <c r="J618" s="14">
        <f t="shared" si="48"/>
        <v>0</v>
      </c>
      <c r="K618" s="1">
        <v>0</v>
      </c>
      <c r="L618">
        <v>4.3</v>
      </c>
      <c r="M618" s="2">
        <v>5792</v>
      </c>
      <c r="N618" t="s">
        <v>1453</v>
      </c>
      <c r="O618">
        <f t="shared" si="49"/>
        <v>2</v>
      </c>
      <c r="P618" s="12" t="e">
        <f>HYPERLINK(#REF!,"Link")</f>
        <v>#REF!</v>
      </c>
      <c r="Q618" s="12" t="e">
        <f>HYPERLINK(#REF!,"Link")</f>
        <v>#REF!</v>
      </c>
    </row>
    <row r="619" spans="1:17" x14ac:dyDescent="0.3">
      <c r="A619" t="s">
        <v>1454</v>
      </c>
      <c r="B619" t="s">
        <v>1455</v>
      </c>
      <c r="C619" s="10" t="s">
        <v>3748</v>
      </c>
      <c r="D619" s="10" t="s">
        <v>3749</v>
      </c>
      <c r="E619" s="14">
        <v>165</v>
      </c>
      <c r="F619" s="3">
        <v>130</v>
      </c>
      <c r="G619" s="3">
        <f t="shared" si="46"/>
        <v>330</v>
      </c>
      <c r="H619" s="3">
        <f t="shared" si="45"/>
        <v>260</v>
      </c>
      <c r="I619" s="14">
        <f t="shared" si="47"/>
        <v>69.3</v>
      </c>
      <c r="J619" s="14">
        <f t="shared" si="48"/>
        <v>-70</v>
      </c>
      <c r="K619" s="1">
        <v>0.21</v>
      </c>
      <c r="L619">
        <v>3.9</v>
      </c>
      <c r="M619" s="2">
        <v>14778</v>
      </c>
      <c r="N619" t="s">
        <v>1456</v>
      </c>
      <c r="O619">
        <f t="shared" si="49"/>
        <v>2</v>
      </c>
      <c r="P619" s="12" t="e">
        <f>HYPERLINK(#REF!,"Link")</f>
        <v>#REF!</v>
      </c>
      <c r="Q619" s="12" t="e">
        <f>HYPERLINK(#REF!,"Link")</f>
        <v>#REF!</v>
      </c>
    </row>
    <row r="620" spans="1:17" x14ac:dyDescent="0.3">
      <c r="A620" t="s">
        <v>1457</v>
      </c>
      <c r="B620" t="s">
        <v>1458</v>
      </c>
      <c r="C620" s="9" t="s">
        <v>3750</v>
      </c>
      <c r="D620" s="9" t="s">
        <v>3751</v>
      </c>
      <c r="E620" s="14">
        <v>1290</v>
      </c>
      <c r="F620" s="3">
        <v>449</v>
      </c>
      <c r="G620" s="3">
        <f t="shared" si="46"/>
        <v>3870</v>
      </c>
      <c r="H620" s="3">
        <f t="shared" si="45"/>
        <v>1347</v>
      </c>
      <c r="I620" s="14">
        <f t="shared" si="47"/>
        <v>2515.5</v>
      </c>
      <c r="J620" s="14">
        <f t="shared" si="48"/>
        <v>-2523</v>
      </c>
      <c r="K620" s="1">
        <v>0.65</v>
      </c>
      <c r="L620">
        <v>4.0999999999999996</v>
      </c>
      <c r="M620" s="2">
        <v>91770</v>
      </c>
      <c r="N620" t="s">
        <v>1459</v>
      </c>
      <c r="O620">
        <f t="shared" si="49"/>
        <v>3</v>
      </c>
      <c r="P620" s="12" t="e">
        <f>HYPERLINK(#REF!,"Link")</f>
        <v>#REF!</v>
      </c>
      <c r="Q620" s="12" t="e">
        <f>HYPERLINK(#REF!,"Link")</f>
        <v>#REF!</v>
      </c>
    </row>
    <row r="621" spans="1:17" x14ac:dyDescent="0.3">
      <c r="A621" t="s">
        <v>967</v>
      </c>
      <c r="B621" t="s">
        <v>968</v>
      </c>
      <c r="C621" s="10" t="s">
        <v>3752</v>
      </c>
      <c r="D621" s="10" t="s">
        <v>3753</v>
      </c>
      <c r="E621" s="14">
        <v>16999</v>
      </c>
      <c r="F621" s="3">
        <v>3999</v>
      </c>
      <c r="G621" s="3">
        <f t="shared" si="46"/>
        <v>84995</v>
      </c>
      <c r="H621" s="3">
        <f t="shared" si="45"/>
        <v>19995</v>
      </c>
      <c r="I621" s="14">
        <f t="shared" si="47"/>
        <v>64596.2</v>
      </c>
      <c r="J621" s="14">
        <f t="shared" si="48"/>
        <v>-65000</v>
      </c>
      <c r="K621" s="1">
        <v>0.76</v>
      </c>
      <c r="L621">
        <v>4.3</v>
      </c>
      <c r="M621" s="2">
        <v>17162</v>
      </c>
      <c r="N621" t="s">
        <v>969</v>
      </c>
      <c r="O621">
        <f t="shared" si="49"/>
        <v>5</v>
      </c>
      <c r="P621" s="12" t="e">
        <f>HYPERLINK(#REF!,"Link")</f>
        <v>#REF!</v>
      </c>
      <c r="Q621" s="12" t="e">
        <f>HYPERLINK(#REF!,"Link")</f>
        <v>#REF!</v>
      </c>
    </row>
    <row r="622" spans="1:17" x14ac:dyDescent="0.3">
      <c r="A622" t="s">
        <v>1460</v>
      </c>
      <c r="B622" t="s">
        <v>1461</v>
      </c>
      <c r="C622" s="9" t="s">
        <v>3750</v>
      </c>
      <c r="D622" s="9" t="s">
        <v>3754</v>
      </c>
      <c r="E622" s="14">
        <v>1290</v>
      </c>
      <c r="F622" s="3">
        <v>399</v>
      </c>
      <c r="G622" s="3">
        <f t="shared" si="46"/>
        <v>2580</v>
      </c>
      <c r="H622" s="3">
        <f t="shared" si="45"/>
        <v>798</v>
      </c>
      <c r="I622" s="14">
        <f t="shared" si="47"/>
        <v>1780.1999999999998</v>
      </c>
      <c r="J622" s="14">
        <f t="shared" si="48"/>
        <v>-1782</v>
      </c>
      <c r="K622" s="1">
        <v>0.69</v>
      </c>
      <c r="L622">
        <v>4.2</v>
      </c>
      <c r="M622">
        <v>206</v>
      </c>
      <c r="N622" t="s">
        <v>1462</v>
      </c>
      <c r="O622">
        <f t="shared" si="49"/>
        <v>2</v>
      </c>
      <c r="P622" s="12" t="e">
        <f>HYPERLINK(#REF!,"Link")</f>
        <v>#REF!</v>
      </c>
      <c r="Q622" s="12" t="e">
        <f>HYPERLINK(#REF!,"Link")</f>
        <v>#REF!</v>
      </c>
    </row>
    <row r="623" spans="1:17" x14ac:dyDescent="0.3">
      <c r="A623" t="s">
        <v>1463</v>
      </c>
      <c r="B623" t="s">
        <v>1464</v>
      </c>
      <c r="C623" s="10" t="s">
        <v>3755</v>
      </c>
      <c r="D623" s="10" t="s">
        <v>3756</v>
      </c>
      <c r="E623" s="14">
        <v>2498</v>
      </c>
      <c r="F623" s="3">
        <v>1399</v>
      </c>
      <c r="G623" s="3">
        <f t="shared" si="46"/>
        <v>9992</v>
      </c>
      <c r="H623" s="3">
        <f t="shared" si="45"/>
        <v>5596</v>
      </c>
      <c r="I623" s="14">
        <f t="shared" si="47"/>
        <v>4396.4800000000005</v>
      </c>
      <c r="J623" s="14">
        <f t="shared" si="48"/>
        <v>-4396</v>
      </c>
      <c r="K623" s="1">
        <v>0.44</v>
      </c>
      <c r="L623">
        <v>4.2</v>
      </c>
      <c r="M623" s="2">
        <v>33717</v>
      </c>
      <c r="N623" t="s">
        <v>1465</v>
      </c>
      <c r="O623">
        <f t="shared" si="49"/>
        <v>4</v>
      </c>
      <c r="P623" s="12" t="e">
        <f>HYPERLINK(#REF!,"Link")</f>
        <v>#REF!</v>
      </c>
      <c r="Q623" s="12" t="e">
        <f>HYPERLINK(#REF!,"Link")</f>
        <v>#REF!</v>
      </c>
    </row>
    <row r="624" spans="1:17" x14ac:dyDescent="0.3">
      <c r="A624" t="s">
        <v>12</v>
      </c>
      <c r="B624" t="s">
        <v>13</v>
      </c>
      <c r="C624" s="9" t="s">
        <v>3748</v>
      </c>
      <c r="D624" s="9" t="s">
        <v>3749</v>
      </c>
      <c r="E624" s="14">
        <v>349</v>
      </c>
      <c r="F624" s="3">
        <v>199</v>
      </c>
      <c r="G624" s="3">
        <f t="shared" si="46"/>
        <v>1047</v>
      </c>
      <c r="H624" s="3">
        <f t="shared" si="45"/>
        <v>597</v>
      </c>
      <c r="I624" s="14">
        <f t="shared" si="47"/>
        <v>450.21</v>
      </c>
      <c r="J624" s="14">
        <f t="shared" si="48"/>
        <v>-450</v>
      </c>
      <c r="K624" s="1">
        <v>0.43</v>
      </c>
      <c r="L624">
        <v>4</v>
      </c>
      <c r="M624" s="2">
        <v>43994</v>
      </c>
      <c r="N624" t="s">
        <v>14</v>
      </c>
      <c r="O624">
        <f t="shared" si="49"/>
        <v>3</v>
      </c>
      <c r="P624" s="12" t="e">
        <f>HYPERLINK(#REF!,"Link")</f>
        <v>#REF!</v>
      </c>
      <c r="Q624" s="12" t="e">
        <f>HYPERLINK(#REF!,"Link")</f>
        <v>#REF!</v>
      </c>
    </row>
    <row r="625" spans="1:17" x14ac:dyDescent="0.3">
      <c r="A625" t="s">
        <v>15</v>
      </c>
      <c r="B625" t="s">
        <v>16</v>
      </c>
      <c r="C625" s="10" t="s">
        <v>3748</v>
      </c>
      <c r="D625" s="10" t="s">
        <v>3757</v>
      </c>
      <c r="E625" s="14">
        <v>999</v>
      </c>
      <c r="F625" s="3">
        <v>199</v>
      </c>
      <c r="G625" s="3">
        <f t="shared" si="46"/>
        <v>4995</v>
      </c>
      <c r="H625" s="3">
        <f t="shared" si="45"/>
        <v>995</v>
      </c>
      <c r="I625" s="14">
        <f t="shared" si="47"/>
        <v>3996</v>
      </c>
      <c r="J625" s="14">
        <f t="shared" si="48"/>
        <v>-4000</v>
      </c>
      <c r="K625" s="1">
        <v>0.8</v>
      </c>
      <c r="L625">
        <v>3.9</v>
      </c>
      <c r="M625" s="2">
        <v>7928</v>
      </c>
      <c r="N625" t="s">
        <v>17</v>
      </c>
      <c r="O625">
        <f t="shared" si="49"/>
        <v>5</v>
      </c>
      <c r="P625" s="12" t="e">
        <f>HYPERLINK(#REF!,"Link")</f>
        <v>#REF!</v>
      </c>
      <c r="Q625" s="12" t="e">
        <f>HYPERLINK(#REF!,"Link")</f>
        <v>#REF!</v>
      </c>
    </row>
    <row r="626" spans="1:17" x14ac:dyDescent="0.3">
      <c r="A626" t="s">
        <v>970</v>
      </c>
      <c r="B626" t="s">
        <v>971</v>
      </c>
      <c r="C626" s="9" t="s">
        <v>3748</v>
      </c>
      <c r="D626" s="9" t="s">
        <v>3749</v>
      </c>
      <c r="E626" s="14">
        <v>5999</v>
      </c>
      <c r="F626" s="3">
        <v>2998</v>
      </c>
      <c r="G626" s="3">
        <f t="shared" si="46"/>
        <v>11998</v>
      </c>
      <c r="H626" s="3">
        <f t="shared" si="45"/>
        <v>5996</v>
      </c>
      <c r="I626" s="14">
        <f t="shared" si="47"/>
        <v>5999</v>
      </c>
      <c r="J626" s="14">
        <f t="shared" si="48"/>
        <v>-6002</v>
      </c>
      <c r="K626" s="1">
        <v>0.5</v>
      </c>
      <c r="L626">
        <v>4.0999999999999996</v>
      </c>
      <c r="M626" s="2">
        <v>5179</v>
      </c>
      <c r="N626" t="s">
        <v>972</v>
      </c>
      <c r="O626">
        <f t="shared" si="49"/>
        <v>2</v>
      </c>
      <c r="P626" s="12" t="e">
        <f>HYPERLINK(#REF!,"Link")</f>
        <v>#REF!</v>
      </c>
      <c r="Q626" s="12" t="e">
        <f>HYPERLINK(#REF!,"Link")</f>
        <v>#REF!</v>
      </c>
    </row>
    <row r="627" spans="1:17" x14ac:dyDescent="0.3">
      <c r="A627" t="s">
        <v>1466</v>
      </c>
      <c r="B627" t="s">
        <v>1467</v>
      </c>
      <c r="C627" s="10" t="s">
        <v>3748</v>
      </c>
      <c r="D627" s="10" t="s">
        <v>3758</v>
      </c>
      <c r="E627" s="14">
        <v>4999</v>
      </c>
      <c r="F627" s="3">
        <v>4098</v>
      </c>
      <c r="G627" s="3">
        <f t="shared" si="46"/>
        <v>29994</v>
      </c>
      <c r="H627" s="3">
        <f t="shared" si="45"/>
        <v>24588</v>
      </c>
      <c r="I627" s="14">
        <f t="shared" si="47"/>
        <v>5398.92</v>
      </c>
      <c r="J627" s="14">
        <f t="shared" si="48"/>
        <v>-5406</v>
      </c>
      <c r="K627" s="1">
        <v>0.18</v>
      </c>
      <c r="L627">
        <v>4.5</v>
      </c>
      <c r="M627" s="2">
        <v>50810</v>
      </c>
      <c r="N627" t="s">
        <v>1468</v>
      </c>
      <c r="O627">
        <f t="shared" si="49"/>
        <v>6</v>
      </c>
      <c r="P627" s="12" t="e">
        <f>HYPERLINK(#REF!,"Link")</f>
        <v>#REF!</v>
      </c>
      <c r="Q627" s="12" t="e">
        <f>HYPERLINK(#REF!,"Link")</f>
        <v>#REF!</v>
      </c>
    </row>
    <row r="628" spans="1:17" x14ac:dyDescent="0.3">
      <c r="A628" t="s">
        <v>1469</v>
      </c>
      <c r="B628" t="s">
        <v>1470</v>
      </c>
      <c r="C628" s="9" t="s">
        <v>3748</v>
      </c>
      <c r="D628" s="9" t="s">
        <v>3759</v>
      </c>
      <c r="E628" s="14">
        <v>1999</v>
      </c>
      <c r="F628" s="3">
        <v>499</v>
      </c>
      <c r="G628" s="3">
        <f t="shared" si="46"/>
        <v>5997</v>
      </c>
      <c r="H628" s="3">
        <f t="shared" si="45"/>
        <v>1497</v>
      </c>
      <c r="I628" s="14">
        <f t="shared" si="47"/>
        <v>4497.75</v>
      </c>
      <c r="J628" s="14">
        <f t="shared" si="48"/>
        <v>-4500</v>
      </c>
      <c r="K628" s="1">
        <v>0.75</v>
      </c>
      <c r="L628">
        <v>3.7</v>
      </c>
      <c r="M628" s="2">
        <v>3369</v>
      </c>
      <c r="N628" t="s">
        <v>1471</v>
      </c>
      <c r="O628">
        <f t="shared" si="49"/>
        <v>3</v>
      </c>
      <c r="P628" s="12" t="e">
        <f>HYPERLINK(#REF!,"Link")</f>
        <v>#REF!</v>
      </c>
      <c r="Q628" s="12" t="e">
        <f>HYPERLINK(#REF!,"Link")</f>
        <v>#REF!</v>
      </c>
    </row>
    <row r="629" spans="1:17" x14ac:dyDescent="0.3">
      <c r="A629" t="s">
        <v>1472</v>
      </c>
      <c r="B629" t="s">
        <v>1473</v>
      </c>
      <c r="C629" s="10" t="s">
        <v>3748</v>
      </c>
      <c r="D629" s="10" t="s">
        <v>3759</v>
      </c>
      <c r="E629" s="14">
        <v>449</v>
      </c>
      <c r="F629" s="3">
        <v>299</v>
      </c>
      <c r="G629" s="3">
        <f t="shared" si="46"/>
        <v>898</v>
      </c>
      <c r="H629" s="3">
        <f t="shared" si="45"/>
        <v>598</v>
      </c>
      <c r="I629" s="14">
        <f t="shared" si="47"/>
        <v>296.34000000000003</v>
      </c>
      <c r="J629" s="14">
        <f t="shared" si="48"/>
        <v>-300</v>
      </c>
      <c r="K629" s="1">
        <v>0.33</v>
      </c>
      <c r="L629">
        <v>3.5</v>
      </c>
      <c r="M629" s="2">
        <v>11827</v>
      </c>
      <c r="N629" t="s">
        <v>1474</v>
      </c>
      <c r="O629">
        <f t="shared" si="49"/>
        <v>2</v>
      </c>
      <c r="P629" s="12" t="e">
        <f>HYPERLINK(#REF!,"Link")</f>
        <v>#REF!</v>
      </c>
      <c r="Q629" s="12" t="e">
        <f>HYPERLINK(#REF!,"Link")</f>
        <v>#REF!</v>
      </c>
    </row>
    <row r="630" spans="1:17" x14ac:dyDescent="0.3">
      <c r="A630" t="s">
        <v>18</v>
      </c>
      <c r="B630" t="s">
        <v>19</v>
      </c>
      <c r="C630" s="9" t="s">
        <v>3748</v>
      </c>
      <c r="D630" s="9" t="s">
        <v>3760</v>
      </c>
      <c r="E630" s="14">
        <v>699</v>
      </c>
      <c r="F630" s="3">
        <v>329</v>
      </c>
      <c r="G630" s="3">
        <f t="shared" si="46"/>
        <v>2796</v>
      </c>
      <c r="H630" s="3">
        <f t="shared" si="45"/>
        <v>1316</v>
      </c>
      <c r="I630" s="14">
        <f t="shared" si="47"/>
        <v>1481.88</v>
      </c>
      <c r="J630" s="14">
        <f t="shared" si="48"/>
        <v>-1480</v>
      </c>
      <c r="K630" s="1">
        <v>0.53</v>
      </c>
      <c r="L630">
        <v>4.2</v>
      </c>
      <c r="M630" s="2">
        <v>94364</v>
      </c>
      <c r="N630" t="s">
        <v>20</v>
      </c>
      <c r="O630">
        <f t="shared" si="49"/>
        <v>4</v>
      </c>
      <c r="P630" s="12" t="e">
        <f>HYPERLINK(#REF!,"Link")</f>
        <v>#REF!</v>
      </c>
      <c r="Q630" s="12" t="e">
        <f>HYPERLINK(#REF!,"Link")</f>
        <v>#REF!</v>
      </c>
    </row>
    <row r="631" spans="1:17" x14ac:dyDescent="0.3">
      <c r="A631" t="s">
        <v>1475</v>
      </c>
      <c r="B631" t="s">
        <v>1476</v>
      </c>
      <c r="C631" s="10" t="s">
        <v>3725</v>
      </c>
      <c r="D631" s="10" t="s">
        <v>3761</v>
      </c>
      <c r="E631" s="14">
        <v>999</v>
      </c>
      <c r="F631" s="3">
        <v>699</v>
      </c>
      <c r="G631" s="3">
        <f t="shared" si="46"/>
        <v>2997</v>
      </c>
      <c r="H631" s="3">
        <f t="shared" si="45"/>
        <v>2097</v>
      </c>
      <c r="I631" s="14">
        <f t="shared" si="47"/>
        <v>899.09999999999991</v>
      </c>
      <c r="J631" s="14">
        <f t="shared" si="48"/>
        <v>-900</v>
      </c>
      <c r="K631" s="1">
        <v>0.3</v>
      </c>
      <c r="L631">
        <v>3.5</v>
      </c>
      <c r="M631" s="2">
        <v>15295</v>
      </c>
      <c r="N631" t="s">
        <v>1477</v>
      </c>
      <c r="O631">
        <f t="shared" si="49"/>
        <v>3</v>
      </c>
      <c r="P631" s="12" t="e">
        <f>HYPERLINK(#REF!,"Link")</f>
        <v>#REF!</v>
      </c>
      <c r="Q631" s="12" t="e">
        <f>HYPERLINK(#REF!,"Link")</f>
        <v>#REF!</v>
      </c>
    </row>
    <row r="632" spans="1:17" x14ac:dyDescent="0.3">
      <c r="A632" t="s">
        <v>1478</v>
      </c>
      <c r="B632" t="s">
        <v>1479</v>
      </c>
      <c r="C632" s="9" t="s">
        <v>3748</v>
      </c>
      <c r="D632" s="9" t="s">
        <v>3762</v>
      </c>
      <c r="E632" s="14">
        <v>3990</v>
      </c>
      <c r="F632" s="3">
        <v>799</v>
      </c>
      <c r="G632" s="3">
        <f t="shared" si="46"/>
        <v>11970</v>
      </c>
      <c r="H632" s="3">
        <f t="shared" si="45"/>
        <v>2397</v>
      </c>
      <c r="I632" s="14">
        <f t="shared" si="47"/>
        <v>9576</v>
      </c>
      <c r="J632" s="14">
        <f t="shared" si="48"/>
        <v>-9573</v>
      </c>
      <c r="K632" s="1">
        <v>0.8</v>
      </c>
      <c r="L632">
        <v>4.3</v>
      </c>
      <c r="M632" s="2">
        <v>27139</v>
      </c>
      <c r="N632" t="s">
        <v>1480</v>
      </c>
      <c r="O632">
        <f t="shared" si="49"/>
        <v>3</v>
      </c>
      <c r="P632" s="12" t="e">
        <f>HYPERLINK(#REF!,"Link")</f>
        <v>#REF!</v>
      </c>
      <c r="Q632" s="12" t="e">
        <f>HYPERLINK(#REF!,"Link")</f>
        <v>#REF!</v>
      </c>
    </row>
    <row r="633" spans="1:17" x14ac:dyDescent="0.3">
      <c r="A633" t="s">
        <v>1481</v>
      </c>
      <c r="B633" t="s">
        <v>1482</v>
      </c>
      <c r="C633" s="10" t="s">
        <v>3748</v>
      </c>
      <c r="D633" s="10" t="s">
        <v>3763</v>
      </c>
      <c r="E633" s="14">
        <v>5499</v>
      </c>
      <c r="F633" s="3">
        <v>1399</v>
      </c>
      <c r="G633" s="3">
        <f t="shared" si="46"/>
        <v>27495</v>
      </c>
      <c r="H633" s="3">
        <f t="shared" si="45"/>
        <v>6995</v>
      </c>
      <c r="I633" s="14">
        <f t="shared" si="47"/>
        <v>20621.25</v>
      </c>
      <c r="J633" s="14">
        <f t="shared" si="48"/>
        <v>-20500</v>
      </c>
      <c r="K633" s="1">
        <v>0.75</v>
      </c>
      <c r="L633">
        <v>3.9</v>
      </c>
      <c r="M633" s="2">
        <v>9504</v>
      </c>
      <c r="N633" t="s">
        <v>1483</v>
      </c>
      <c r="O633">
        <f t="shared" si="49"/>
        <v>5</v>
      </c>
      <c r="P633" s="12" t="e">
        <f>HYPERLINK(#REF!,"Link")</f>
        <v>#REF!</v>
      </c>
      <c r="Q633" s="12" t="e">
        <f>HYPERLINK(#REF!,"Link")</f>
        <v>#REF!</v>
      </c>
    </row>
    <row r="634" spans="1:17" x14ac:dyDescent="0.3">
      <c r="A634" t="s">
        <v>21</v>
      </c>
      <c r="B634" t="s">
        <v>22</v>
      </c>
      <c r="C634" s="9" t="s">
        <v>3748</v>
      </c>
      <c r="D634" s="9" t="s">
        <v>3765</v>
      </c>
      <c r="E634" s="14">
        <v>399</v>
      </c>
      <c r="F634" s="3">
        <v>154</v>
      </c>
      <c r="G634" s="3">
        <f t="shared" si="46"/>
        <v>1197</v>
      </c>
      <c r="H634" s="3">
        <f t="shared" si="45"/>
        <v>462</v>
      </c>
      <c r="I634" s="14">
        <f t="shared" si="47"/>
        <v>730.17</v>
      </c>
      <c r="J634" s="14">
        <f t="shared" si="48"/>
        <v>-735</v>
      </c>
      <c r="K634" s="1">
        <v>0.61</v>
      </c>
      <c r="L634">
        <v>4.2</v>
      </c>
      <c r="M634" s="2">
        <v>16905</v>
      </c>
      <c r="N634" t="s">
        <v>23</v>
      </c>
      <c r="O634">
        <f t="shared" si="49"/>
        <v>3</v>
      </c>
      <c r="P634" s="12" t="e">
        <f>HYPERLINK(#REF!,"Link")</f>
        <v>#REF!</v>
      </c>
      <c r="Q634" s="12" t="e">
        <f>HYPERLINK(#REF!,"Link")</f>
        <v>#REF!</v>
      </c>
    </row>
    <row r="635" spans="1:17" x14ac:dyDescent="0.3">
      <c r="A635" t="s">
        <v>1484</v>
      </c>
      <c r="B635" t="s">
        <v>1485</v>
      </c>
      <c r="C635" s="10" t="s">
        <v>3748</v>
      </c>
      <c r="D635" s="10" t="s">
        <v>3736</v>
      </c>
      <c r="E635" s="14">
        <v>1350</v>
      </c>
      <c r="F635" s="3">
        <v>519</v>
      </c>
      <c r="G635" s="3">
        <f t="shared" si="46"/>
        <v>2700</v>
      </c>
      <c r="H635" s="3">
        <f t="shared" si="45"/>
        <v>1038</v>
      </c>
      <c r="I635" s="14">
        <f t="shared" si="47"/>
        <v>1674</v>
      </c>
      <c r="J635" s="14">
        <f t="shared" si="48"/>
        <v>-1662</v>
      </c>
      <c r="K635" s="1">
        <v>0.62</v>
      </c>
      <c r="L635">
        <v>4.3</v>
      </c>
      <c r="M635" s="2">
        <v>30058</v>
      </c>
      <c r="N635" t="s">
        <v>1486</v>
      </c>
      <c r="O635">
        <f t="shared" si="49"/>
        <v>2</v>
      </c>
      <c r="P635" s="12" t="e">
        <f>HYPERLINK(#REF!,"Link")</f>
        <v>#REF!</v>
      </c>
      <c r="Q635" s="12" t="e">
        <f>HYPERLINK(#REF!,"Link")</f>
        <v>#REF!</v>
      </c>
    </row>
    <row r="636" spans="1:17" x14ac:dyDescent="0.3">
      <c r="A636" t="s">
        <v>1005</v>
      </c>
      <c r="B636" t="s">
        <v>1006</v>
      </c>
      <c r="C636" s="9" t="s">
        <v>3748</v>
      </c>
      <c r="D636" s="9" t="s">
        <v>3766</v>
      </c>
      <c r="E636" s="14">
        <v>7990</v>
      </c>
      <c r="F636" s="3">
        <v>2299</v>
      </c>
      <c r="G636" s="3">
        <f t="shared" si="46"/>
        <v>23970</v>
      </c>
      <c r="H636" s="3">
        <f t="shared" si="45"/>
        <v>6897</v>
      </c>
      <c r="I636" s="14">
        <f t="shared" si="47"/>
        <v>17018.699999999997</v>
      </c>
      <c r="J636" s="14">
        <f t="shared" si="48"/>
        <v>-17073</v>
      </c>
      <c r="K636" s="1">
        <v>0.71</v>
      </c>
      <c r="L636">
        <v>4.2</v>
      </c>
      <c r="M636" s="2">
        <v>69619</v>
      </c>
      <c r="N636" t="s">
        <v>1007</v>
      </c>
      <c r="O636">
        <f t="shared" si="49"/>
        <v>3</v>
      </c>
      <c r="P636" s="12" t="e">
        <f>HYPERLINK(#REF!,"Link")</f>
        <v>#REF!</v>
      </c>
      <c r="Q636" s="12" t="e">
        <f>HYPERLINK(#REF!,"Link")</f>
        <v>#REF!</v>
      </c>
    </row>
    <row r="637" spans="1:17" x14ac:dyDescent="0.3">
      <c r="A637" t="s">
        <v>1008</v>
      </c>
      <c r="B637" t="s">
        <v>1009</v>
      </c>
      <c r="C637" s="10" t="s">
        <v>3748</v>
      </c>
      <c r="D637" s="10" t="s">
        <v>3736</v>
      </c>
      <c r="E637" s="14">
        <v>1999</v>
      </c>
      <c r="F637" s="3">
        <v>399</v>
      </c>
      <c r="G637" s="3">
        <f t="shared" si="46"/>
        <v>7996</v>
      </c>
      <c r="H637" s="3">
        <f t="shared" si="45"/>
        <v>1596</v>
      </c>
      <c r="I637" s="14">
        <f t="shared" si="47"/>
        <v>6396.8</v>
      </c>
      <c r="J637" s="14">
        <f t="shared" si="48"/>
        <v>-6400</v>
      </c>
      <c r="K637" s="1">
        <v>0.8</v>
      </c>
      <c r="L637">
        <v>4</v>
      </c>
      <c r="M637" s="2">
        <v>3382</v>
      </c>
      <c r="N637" t="s">
        <v>1010</v>
      </c>
      <c r="O637">
        <f t="shared" si="49"/>
        <v>4</v>
      </c>
      <c r="P637" s="12" t="e">
        <f>HYPERLINK(#REF!,"Link")</f>
        <v>#REF!</v>
      </c>
      <c r="Q637" s="12" t="e">
        <f>HYPERLINK(#REF!,"Link")</f>
        <v>#REF!</v>
      </c>
    </row>
    <row r="638" spans="1:17" x14ac:dyDescent="0.3">
      <c r="A638" t="s">
        <v>1487</v>
      </c>
      <c r="B638" t="s">
        <v>1488</v>
      </c>
      <c r="C638" s="9" t="s">
        <v>3755</v>
      </c>
      <c r="D638" s="9" t="s">
        <v>3767</v>
      </c>
      <c r="E638" s="14">
        <v>3990</v>
      </c>
      <c r="F638" s="3">
        <v>1499</v>
      </c>
      <c r="G638" s="3">
        <f t="shared" si="46"/>
        <v>7980</v>
      </c>
      <c r="H638" s="3">
        <f t="shared" si="45"/>
        <v>2998</v>
      </c>
      <c r="I638" s="14">
        <f t="shared" si="47"/>
        <v>4947.6000000000004</v>
      </c>
      <c r="J638" s="14">
        <f t="shared" si="48"/>
        <v>-4982</v>
      </c>
      <c r="K638" s="1">
        <v>0.62</v>
      </c>
      <c r="L638">
        <v>4.0999999999999996</v>
      </c>
      <c r="M638" s="2">
        <v>109864</v>
      </c>
      <c r="N638" t="s">
        <v>1489</v>
      </c>
      <c r="O638">
        <f t="shared" si="49"/>
        <v>2</v>
      </c>
      <c r="P638" s="12" t="e">
        <f>HYPERLINK(#REF!,"Link")</f>
        <v>#REF!</v>
      </c>
      <c r="Q638" s="12" t="e">
        <f>HYPERLINK(#REF!,"Link")</f>
        <v>#REF!</v>
      </c>
    </row>
    <row r="639" spans="1:17" x14ac:dyDescent="0.3">
      <c r="A639" t="s">
        <v>1490</v>
      </c>
      <c r="B639" t="s">
        <v>1491</v>
      </c>
      <c r="C639" s="10" t="s">
        <v>3768</v>
      </c>
      <c r="D639" s="10" t="s">
        <v>3769</v>
      </c>
      <c r="E639" s="14">
        <v>1295</v>
      </c>
      <c r="F639" s="3">
        <v>1295</v>
      </c>
      <c r="G639" s="3">
        <f t="shared" si="46"/>
        <v>3885</v>
      </c>
      <c r="H639" s="3">
        <f t="shared" si="45"/>
        <v>3885</v>
      </c>
      <c r="I639" s="14">
        <f t="shared" si="47"/>
        <v>0</v>
      </c>
      <c r="J639" s="14">
        <f t="shared" si="48"/>
        <v>0</v>
      </c>
      <c r="K639" s="1">
        <v>0</v>
      </c>
      <c r="L639">
        <v>4.5</v>
      </c>
      <c r="M639" s="2">
        <v>5760</v>
      </c>
      <c r="N639" t="s">
        <v>1492</v>
      </c>
      <c r="O639">
        <f t="shared" si="49"/>
        <v>3</v>
      </c>
      <c r="P639" s="12" t="e">
        <f>HYPERLINK(#REF!,"Link")</f>
        <v>#REF!</v>
      </c>
      <c r="Q639" s="12" t="e">
        <f>HYPERLINK(#REF!,"Link")</f>
        <v>#REF!</v>
      </c>
    </row>
    <row r="640" spans="1:17" x14ac:dyDescent="0.3">
      <c r="A640" t="s">
        <v>1493</v>
      </c>
      <c r="B640" t="s">
        <v>1494</v>
      </c>
      <c r="C640" s="9" t="s">
        <v>3738</v>
      </c>
      <c r="D640" s="9"/>
      <c r="E640" s="14">
        <v>5499</v>
      </c>
      <c r="F640" s="3">
        <v>1889</v>
      </c>
      <c r="G640" s="3">
        <f t="shared" si="46"/>
        <v>10998</v>
      </c>
      <c r="H640" s="3">
        <f t="shared" si="45"/>
        <v>3778</v>
      </c>
      <c r="I640" s="14">
        <f t="shared" si="47"/>
        <v>7258.68</v>
      </c>
      <c r="J640" s="14">
        <f t="shared" si="48"/>
        <v>-7220</v>
      </c>
      <c r="K640" s="1">
        <v>0.66</v>
      </c>
      <c r="L640">
        <v>4.2</v>
      </c>
      <c r="M640" s="2">
        <v>49551</v>
      </c>
      <c r="N640" t="s">
        <v>1495</v>
      </c>
      <c r="O640">
        <f t="shared" si="49"/>
        <v>2</v>
      </c>
      <c r="P640" s="12" t="e">
        <f>HYPERLINK(#REF!,"Link")</f>
        <v>#REF!</v>
      </c>
      <c r="Q640" s="12" t="e">
        <f>HYPERLINK(#REF!,"Link")</f>
        <v>#REF!</v>
      </c>
    </row>
    <row r="641" spans="1:17" x14ac:dyDescent="0.3">
      <c r="A641" t="s">
        <v>1496</v>
      </c>
      <c r="B641" t="s">
        <v>1089</v>
      </c>
      <c r="C641" s="10" t="s">
        <v>3748</v>
      </c>
      <c r="D641" s="10" t="s">
        <v>3762</v>
      </c>
      <c r="E641" s="14">
        <v>1490</v>
      </c>
      <c r="F641" s="3">
        <v>455</v>
      </c>
      <c r="G641" s="3">
        <f t="shared" si="46"/>
        <v>8940</v>
      </c>
      <c r="H641" s="3">
        <f t="shared" si="45"/>
        <v>2730</v>
      </c>
      <c r="I641" s="14">
        <f t="shared" si="47"/>
        <v>6168.5999999999995</v>
      </c>
      <c r="J641" s="14">
        <f t="shared" si="48"/>
        <v>-6210</v>
      </c>
      <c r="K641" s="1">
        <v>0.69</v>
      </c>
      <c r="L641">
        <v>4.0999999999999996</v>
      </c>
      <c r="M641" s="2">
        <v>161677</v>
      </c>
      <c r="N641" t="s">
        <v>1497</v>
      </c>
      <c r="O641">
        <f t="shared" si="49"/>
        <v>6</v>
      </c>
      <c r="P641" s="12" t="e">
        <f>HYPERLINK(#REF!,"Link")</f>
        <v>#REF!</v>
      </c>
      <c r="Q641" s="12" t="e">
        <f>HYPERLINK(#REF!,"Link")</f>
        <v>#REF!</v>
      </c>
    </row>
    <row r="642" spans="1:17" x14ac:dyDescent="0.3">
      <c r="A642" t="s">
        <v>1498</v>
      </c>
      <c r="B642" t="s">
        <v>1499</v>
      </c>
      <c r="C642" s="9" t="s">
        <v>3748</v>
      </c>
      <c r="D642" s="9" t="s">
        <v>3736</v>
      </c>
      <c r="E642" s="14">
        <v>995</v>
      </c>
      <c r="F642" s="3">
        <v>399</v>
      </c>
      <c r="G642" s="3">
        <f t="shared" si="46"/>
        <v>3980</v>
      </c>
      <c r="H642" s="3">
        <f t="shared" ref="H642:H705" si="50">F642*O642</f>
        <v>1596</v>
      </c>
      <c r="I642" s="14">
        <f t="shared" si="47"/>
        <v>2388</v>
      </c>
      <c r="J642" s="14">
        <f t="shared" si="48"/>
        <v>-2384</v>
      </c>
      <c r="K642" s="1">
        <v>0.6</v>
      </c>
      <c r="L642">
        <v>3.9</v>
      </c>
      <c r="M642" s="2">
        <v>21372</v>
      </c>
      <c r="N642" t="s">
        <v>1500</v>
      </c>
      <c r="O642">
        <f t="shared" si="49"/>
        <v>4</v>
      </c>
      <c r="P642" s="12" t="e">
        <f>HYPERLINK(#REF!,"Link")</f>
        <v>#REF!</v>
      </c>
      <c r="Q642" s="12" t="e">
        <f>HYPERLINK(#REF!,"Link")</f>
        <v>#REF!</v>
      </c>
    </row>
    <row r="643" spans="1:17" x14ac:dyDescent="0.3">
      <c r="A643" t="s">
        <v>1011</v>
      </c>
      <c r="B643" t="s">
        <v>1012</v>
      </c>
      <c r="C643" s="10" t="s">
        <v>3770</v>
      </c>
      <c r="D643" s="10"/>
      <c r="E643" s="14">
        <v>3999</v>
      </c>
      <c r="F643" s="3">
        <v>1059</v>
      </c>
      <c r="G643" s="3">
        <f t="shared" ref="G643:G706" si="51">E643*O643</f>
        <v>7998</v>
      </c>
      <c r="H643" s="3">
        <f t="shared" si="50"/>
        <v>2118</v>
      </c>
      <c r="I643" s="14">
        <f t="shared" ref="I643:I706" si="52">(E643*K643)*O643</f>
        <v>5918.5199999999995</v>
      </c>
      <c r="J643" s="14">
        <f t="shared" ref="J643:J706" si="53">H643-G643</f>
        <v>-5880</v>
      </c>
      <c r="K643" s="1">
        <v>0.74</v>
      </c>
      <c r="L643">
        <v>4.3</v>
      </c>
      <c r="M643" s="2">
        <v>140035</v>
      </c>
      <c r="N643" t="s">
        <v>1501</v>
      </c>
      <c r="O643">
        <f t="shared" ref="O643:O706" si="54">LEN(N643)-LEN(SUBSTITUTE(N643,",",""))+1</f>
        <v>2</v>
      </c>
      <c r="P643" s="12" t="e">
        <f>HYPERLINK(#REF!,"Link")</f>
        <v>#REF!</v>
      </c>
      <c r="Q643" s="12" t="e">
        <f>HYPERLINK(#REF!,"Link")</f>
        <v>#REF!</v>
      </c>
    </row>
    <row r="644" spans="1:17" x14ac:dyDescent="0.3">
      <c r="A644" t="s">
        <v>24</v>
      </c>
      <c r="B644" t="s">
        <v>25</v>
      </c>
      <c r="C644" s="9" t="s">
        <v>3771</v>
      </c>
      <c r="D644" s="9" t="s">
        <v>3772</v>
      </c>
      <c r="E644" s="14">
        <v>1000</v>
      </c>
      <c r="F644" s="3">
        <v>149</v>
      </c>
      <c r="G644" s="3">
        <f t="shared" si="51"/>
        <v>4000</v>
      </c>
      <c r="H644" s="3">
        <f t="shared" si="50"/>
        <v>596</v>
      </c>
      <c r="I644" s="14">
        <f t="shared" si="52"/>
        <v>3400</v>
      </c>
      <c r="J644" s="14">
        <f t="shared" si="53"/>
        <v>-3404</v>
      </c>
      <c r="K644" s="1">
        <v>0.85</v>
      </c>
      <c r="L644">
        <v>3.9</v>
      </c>
      <c r="M644" s="2">
        <v>24870</v>
      </c>
      <c r="N644" t="s">
        <v>26</v>
      </c>
      <c r="O644">
        <f t="shared" si="54"/>
        <v>4</v>
      </c>
      <c r="P644" s="12" t="e">
        <f>HYPERLINK(#REF!,"Link")</f>
        <v>#REF!</v>
      </c>
      <c r="Q644" s="12" t="e">
        <f>HYPERLINK(#REF!,"Link")</f>
        <v>#REF!</v>
      </c>
    </row>
    <row r="645" spans="1:17" x14ac:dyDescent="0.3">
      <c r="A645" t="s">
        <v>1502</v>
      </c>
      <c r="B645" t="s">
        <v>1503</v>
      </c>
      <c r="C645" s="10" t="s">
        <v>3771</v>
      </c>
      <c r="D645" s="10" t="s">
        <v>3773</v>
      </c>
      <c r="E645" s="14">
        <v>761</v>
      </c>
      <c r="F645" s="3">
        <v>717</v>
      </c>
      <c r="G645" s="3">
        <f t="shared" si="51"/>
        <v>3805</v>
      </c>
      <c r="H645" s="3">
        <f t="shared" si="50"/>
        <v>3585</v>
      </c>
      <c r="I645" s="14">
        <f t="shared" si="52"/>
        <v>228.29999999999998</v>
      </c>
      <c r="J645" s="14">
        <f t="shared" si="53"/>
        <v>-220</v>
      </c>
      <c r="K645" s="1">
        <v>0.06</v>
      </c>
      <c r="L645">
        <v>4</v>
      </c>
      <c r="M645" s="2">
        <v>7199</v>
      </c>
      <c r="N645" t="s">
        <v>1504</v>
      </c>
      <c r="O645">
        <f t="shared" si="54"/>
        <v>5</v>
      </c>
      <c r="P645" s="12" t="e">
        <f>HYPERLINK(#REF!,"Link")</f>
        <v>#REF!</v>
      </c>
      <c r="Q645" s="12" t="e">
        <f>HYPERLINK(#REF!,"Link")</f>
        <v>#REF!</v>
      </c>
    </row>
    <row r="646" spans="1:17" x14ac:dyDescent="0.3">
      <c r="A646" t="s">
        <v>1032</v>
      </c>
      <c r="B646" t="s">
        <v>1033</v>
      </c>
      <c r="C646" s="9" t="s">
        <v>3768</v>
      </c>
      <c r="D646" s="9" t="s">
        <v>3774</v>
      </c>
      <c r="E646" s="14">
        <v>999</v>
      </c>
      <c r="F646" s="3">
        <v>99</v>
      </c>
      <c r="G646" s="3">
        <f t="shared" si="51"/>
        <v>1998</v>
      </c>
      <c r="H646" s="3">
        <f t="shared" si="50"/>
        <v>198</v>
      </c>
      <c r="I646" s="14">
        <f t="shared" si="52"/>
        <v>1798.2</v>
      </c>
      <c r="J646" s="14">
        <f t="shared" si="53"/>
        <v>-1800</v>
      </c>
      <c r="K646" s="1">
        <v>0.9</v>
      </c>
      <c r="L646">
        <v>4</v>
      </c>
      <c r="M646" s="2">
        <v>1396</v>
      </c>
      <c r="N646" t="s">
        <v>1034</v>
      </c>
      <c r="O646">
        <f t="shared" si="54"/>
        <v>2</v>
      </c>
      <c r="P646" s="12" t="e">
        <f>HYPERLINK(#REF!,"Link")</f>
        <v>#REF!</v>
      </c>
      <c r="Q646" s="12" t="e">
        <f>HYPERLINK(#REF!,"Link")</f>
        <v>#REF!</v>
      </c>
    </row>
    <row r="647" spans="1:17" x14ac:dyDescent="0.3">
      <c r="A647" t="s">
        <v>1505</v>
      </c>
      <c r="B647" t="s">
        <v>1506</v>
      </c>
      <c r="C647" s="10" t="s">
        <v>3768</v>
      </c>
      <c r="D647" s="10" t="s">
        <v>3775</v>
      </c>
      <c r="E647" s="14">
        <v>299</v>
      </c>
      <c r="F647" s="3">
        <v>39</v>
      </c>
      <c r="G647" s="3">
        <f t="shared" si="51"/>
        <v>598</v>
      </c>
      <c r="H647" s="3">
        <f t="shared" si="50"/>
        <v>78</v>
      </c>
      <c r="I647" s="14">
        <f t="shared" si="52"/>
        <v>520.26</v>
      </c>
      <c r="J647" s="14">
        <f t="shared" si="53"/>
        <v>-520</v>
      </c>
      <c r="K647" s="1">
        <v>0.87</v>
      </c>
      <c r="L647">
        <v>3.5</v>
      </c>
      <c r="M647" s="2">
        <v>15233</v>
      </c>
      <c r="N647" t="s">
        <v>1507</v>
      </c>
      <c r="O647">
        <f t="shared" si="54"/>
        <v>2</v>
      </c>
      <c r="P647" s="12" t="e">
        <f>HYPERLINK(#REF!,"Link")</f>
        <v>#REF!</v>
      </c>
      <c r="Q647" s="12" t="e">
        <f>HYPERLINK(#REF!,"Link")</f>
        <v>#REF!</v>
      </c>
    </row>
    <row r="648" spans="1:17" x14ac:dyDescent="0.3">
      <c r="A648" t="s">
        <v>1508</v>
      </c>
      <c r="B648" t="s">
        <v>1509</v>
      </c>
      <c r="C648" s="9" t="s">
        <v>3771</v>
      </c>
      <c r="D648" s="9" t="s">
        <v>3776</v>
      </c>
      <c r="E648" s="14">
        <v>2500</v>
      </c>
      <c r="F648" s="3">
        <v>889</v>
      </c>
      <c r="G648" s="3">
        <f t="shared" si="51"/>
        <v>7500</v>
      </c>
      <c r="H648" s="3">
        <f t="shared" si="50"/>
        <v>2667</v>
      </c>
      <c r="I648" s="14">
        <f t="shared" si="52"/>
        <v>4800</v>
      </c>
      <c r="J648" s="14">
        <f t="shared" si="53"/>
        <v>-4833</v>
      </c>
      <c r="K648" s="1">
        <v>0.64</v>
      </c>
      <c r="L648">
        <v>4.3</v>
      </c>
      <c r="M648" s="2">
        <v>55747</v>
      </c>
      <c r="N648" t="s">
        <v>1510</v>
      </c>
      <c r="O648">
        <f t="shared" si="54"/>
        <v>3</v>
      </c>
      <c r="P648" s="12" t="e">
        <f>HYPERLINK(#REF!,"Link")</f>
        <v>#REF!</v>
      </c>
      <c r="Q648" s="12" t="e">
        <f>HYPERLINK(#REF!,"Link")</f>
        <v>#REF!</v>
      </c>
    </row>
    <row r="649" spans="1:17" x14ac:dyDescent="0.3">
      <c r="A649" t="s">
        <v>1511</v>
      </c>
      <c r="B649" t="s">
        <v>1512</v>
      </c>
      <c r="C649" s="10" t="s">
        <v>3777</v>
      </c>
      <c r="D649" s="10"/>
      <c r="E649" s="14">
        <v>4999</v>
      </c>
      <c r="F649" s="3">
        <v>1199</v>
      </c>
      <c r="G649" s="3">
        <f t="shared" si="51"/>
        <v>4999</v>
      </c>
      <c r="H649" s="3">
        <f t="shared" si="50"/>
        <v>1199</v>
      </c>
      <c r="I649" s="14">
        <f t="shared" si="52"/>
        <v>3799.2400000000002</v>
      </c>
      <c r="J649" s="14">
        <f t="shared" si="53"/>
        <v>-3800</v>
      </c>
      <c r="K649" s="1">
        <v>0.76</v>
      </c>
      <c r="L649">
        <v>3.8</v>
      </c>
      <c r="M649" s="2">
        <v>14961</v>
      </c>
      <c r="N649" t="s">
        <v>1513</v>
      </c>
      <c r="O649">
        <f t="shared" si="54"/>
        <v>1</v>
      </c>
      <c r="P649" s="12" t="e">
        <f>HYPERLINK(#REF!,"Link")</f>
        <v>#REF!</v>
      </c>
      <c r="Q649" s="12" t="e">
        <f>HYPERLINK(#REF!,"Link")</f>
        <v>#REF!</v>
      </c>
    </row>
    <row r="650" spans="1:17" x14ac:dyDescent="0.3">
      <c r="A650" t="s">
        <v>1514</v>
      </c>
      <c r="B650" t="s">
        <v>1515</v>
      </c>
      <c r="C650" s="9" t="s">
        <v>3778</v>
      </c>
      <c r="D650" s="9"/>
      <c r="E650" s="14">
        <v>1299</v>
      </c>
      <c r="F650" s="3">
        <v>569</v>
      </c>
      <c r="G650" s="3">
        <f t="shared" si="51"/>
        <v>3897</v>
      </c>
      <c r="H650" s="3">
        <f t="shared" si="50"/>
        <v>1707</v>
      </c>
      <c r="I650" s="14">
        <f t="shared" si="52"/>
        <v>2182.3200000000002</v>
      </c>
      <c r="J650" s="14">
        <f t="shared" si="53"/>
        <v>-2190</v>
      </c>
      <c r="K650" s="1">
        <v>0.56000000000000005</v>
      </c>
      <c r="L650">
        <v>4.4000000000000004</v>
      </c>
      <c r="M650" s="2">
        <v>9275</v>
      </c>
      <c r="N650" t="s">
        <v>1516</v>
      </c>
      <c r="O650">
        <f t="shared" si="54"/>
        <v>3</v>
      </c>
      <c r="P650" s="12" t="e">
        <f>HYPERLINK(#REF!,"Link")</f>
        <v>#REF!</v>
      </c>
      <c r="Q650" s="12" t="e">
        <f>HYPERLINK(#REF!,"Link")</f>
        <v>#REF!</v>
      </c>
    </row>
    <row r="651" spans="1:17" x14ac:dyDescent="0.3">
      <c r="A651" t="s">
        <v>1517</v>
      </c>
      <c r="B651" t="s">
        <v>1518</v>
      </c>
      <c r="C651" s="10" t="s">
        <v>3779</v>
      </c>
      <c r="D651" s="10" t="s">
        <v>3780</v>
      </c>
      <c r="E651" s="14">
        <v>8999</v>
      </c>
      <c r="F651" s="3">
        <v>1499</v>
      </c>
      <c r="G651" s="3">
        <f t="shared" si="51"/>
        <v>26997</v>
      </c>
      <c r="H651" s="3">
        <f t="shared" si="50"/>
        <v>4497</v>
      </c>
      <c r="I651" s="14">
        <f t="shared" si="52"/>
        <v>22407.510000000002</v>
      </c>
      <c r="J651" s="14">
        <f t="shared" si="53"/>
        <v>-22500</v>
      </c>
      <c r="K651" s="1">
        <v>0.83</v>
      </c>
      <c r="L651">
        <v>3.7</v>
      </c>
      <c r="M651" s="2">
        <v>28324</v>
      </c>
      <c r="N651" t="s">
        <v>1519</v>
      </c>
      <c r="O651">
        <f t="shared" si="54"/>
        <v>3</v>
      </c>
      <c r="P651" s="12" t="e">
        <f>HYPERLINK(#REF!,"Link")</f>
        <v>#REF!</v>
      </c>
      <c r="Q651" s="12" t="e">
        <f>HYPERLINK(#REF!,"Link")</f>
        <v>#REF!</v>
      </c>
    </row>
    <row r="652" spans="1:17" x14ac:dyDescent="0.3">
      <c r="A652" t="s">
        <v>1520</v>
      </c>
      <c r="B652" t="s">
        <v>1521</v>
      </c>
      <c r="C652" s="9" t="s">
        <v>3781</v>
      </c>
      <c r="D652" s="9" t="s">
        <v>3782</v>
      </c>
      <c r="E652" s="14">
        <v>180</v>
      </c>
      <c r="F652" s="3">
        <v>149</v>
      </c>
      <c r="G652" s="3">
        <f t="shared" si="51"/>
        <v>540</v>
      </c>
      <c r="H652" s="3">
        <f t="shared" si="50"/>
        <v>447</v>
      </c>
      <c r="I652" s="14">
        <f t="shared" si="52"/>
        <v>91.800000000000011</v>
      </c>
      <c r="J652" s="14">
        <f t="shared" si="53"/>
        <v>-93</v>
      </c>
      <c r="K652" s="1">
        <v>0.17</v>
      </c>
      <c r="L652">
        <v>4.4000000000000004</v>
      </c>
      <c r="M652">
        <v>644</v>
      </c>
      <c r="N652" t="s">
        <v>1522</v>
      </c>
      <c r="O652">
        <f t="shared" si="54"/>
        <v>3</v>
      </c>
      <c r="P652" s="12" t="e">
        <f>HYPERLINK(#REF!,"Link")</f>
        <v>#REF!</v>
      </c>
      <c r="Q652" s="12" t="e">
        <f>HYPERLINK(#REF!,"Link")</f>
        <v>#REF!</v>
      </c>
    </row>
    <row r="653" spans="1:17" x14ac:dyDescent="0.3">
      <c r="A653" t="s">
        <v>1523</v>
      </c>
      <c r="B653" t="s">
        <v>1524</v>
      </c>
      <c r="C653" s="10" t="s">
        <v>3771</v>
      </c>
      <c r="D653" s="10" t="s">
        <v>3783</v>
      </c>
      <c r="E653" s="14">
        <v>549</v>
      </c>
      <c r="F653" s="3">
        <v>399</v>
      </c>
      <c r="G653" s="3">
        <f t="shared" si="51"/>
        <v>1098</v>
      </c>
      <c r="H653" s="3">
        <f t="shared" si="50"/>
        <v>798</v>
      </c>
      <c r="I653" s="14">
        <f t="shared" si="52"/>
        <v>296.46000000000004</v>
      </c>
      <c r="J653" s="14">
        <f t="shared" si="53"/>
        <v>-300</v>
      </c>
      <c r="K653" s="1">
        <v>0.27</v>
      </c>
      <c r="L653">
        <v>4.4000000000000004</v>
      </c>
      <c r="M653" s="2">
        <v>18139</v>
      </c>
      <c r="N653" t="s">
        <v>1525</v>
      </c>
      <c r="O653">
        <f t="shared" si="54"/>
        <v>2</v>
      </c>
      <c r="P653" s="12" t="e">
        <f>HYPERLINK(#REF!,"Link")</f>
        <v>#REF!</v>
      </c>
      <c r="Q653" s="12" t="e">
        <f>HYPERLINK(#REF!,"Link")</f>
        <v>#REF!</v>
      </c>
    </row>
    <row r="654" spans="1:17" x14ac:dyDescent="0.3">
      <c r="A654" t="s">
        <v>1526</v>
      </c>
      <c r="B654" t="s">
        <v>1527</v>
      </c>
      <c r="C654" s="9" t="s">
        <v>3784</v>
      </c>
      <c r="D654" s="9"/>
      <c r="E654" s="14">
        <v>225</v>
      </c>
      <c r="F654" s="3">
        <v>191</v>
      </c>
      <c r="G654" s="3">
        <f t="shared" si="51"/>
        <v>900</v>
      </c>
      <c r="H654" s="3">
        <f t="shared" si="50"/>
        <v>764</v>
      </c>
      <c r="I654" s="14">
        <f t="shared" si="52"/>
        <v>135</v>
      </c>
      <c r="J654" s="14">
        <f t="shared" si="53"/>
        <v>-136</v>
      </c>
      <c r="K654" s="1">
        <v>0.15</v>
      </c>
      <c r="L654">
        <v>4.4000000000000004</v>
      </c>
      <c r="M654" s="2">
        <v>7203</v>
      </c>
      <c r="N654" t="s">
        <v>1528</v>
      </c>
      <c r="O654">
        <f t="shared" si="54"/>
        <v>4</v>
      </c>
      <c r="P654" s="12" t="e">
        <f>HYPERLINK(#REF!,"Link")</f>
        <v>#REF!</v>
      </c>
      <c r="Q654" s="12" t="e">
        <f>HYPERLINK(#REF!,"Link")</f>
        <v>#REF!</v>
      </c>
    </row>
    <row r="655" spans="1:17" x14ac:dyDescent="0.3">
      <c r="A655" t="s">
        <v>1529</v>
      </c>
      <c r="B655" t="s">
        <v>1530</v>
      </c>
      <c r="C655" s="10" t="s">
        <v>3785</v>
      </c>
      <c r="D655" s="10"/>
      <c r="E655" s="14">
        <v>999</v>
      </c>
      <c r="F655" s="3">
        <v>129</v>
      </c>
      <c r="G655" s="3">
        <f t="shared" si="51"/>
        <v>1998</v>
      </c>
      <c r="H655" s="3">
        <f t="shared" si="50"/>
        <v>258</v>
      </c>
      <c r="I655" s="14">
        <f t="shared" si="52"/>
        <v>1738.26</v>
      </c>
      <c r="J655" s="14">
        <f t="shared" si="53"/>
        <v>-1740</v>
      </c>
      <c r="K655" s="1">
        <v>0.87</v>
      </c>
      <c r="L655">
        <v>4.2</v>
      </c>
      <c r="M655">
        <v>491</v>
      </c>
      <c r="N655" t="s">
        <v>1531</v>
      </c>
      <c r="O655">
        <f t="shared" si="54"/>
        <v>2</v>
      </c>
      <c r="P655" s="12" t="e">
        <f>HYPERLINK(#REF!,"Link")</f>
        <v>#REF!</v>
      </c>
      <c r="Q655" s="12" t="e">
        <f>HYPERLINK(#REF!,"Link")</f>
        <v>#REF!</v>
      </c>
    </row>
    <row r="656" spans="1:17" x14ac:dyDescent="0.3">
      <c r="A656" t="s">
        <v>1532</v>
      </c>
      <c r="B656" t="s">
        <v>1533</v>
      </c>
      <c r="C656" s="9" t="s">
        <v>3729</v>
      </c>
      <c r="D656" s="9" t="s">
        <v>3786</v>
      </c>
      <c r="E656" s="14">
        <v>599</v>
      </c>
      <c r="F656" s="3">
        <v>199</v>
      </c>
      <c r="G656" s="3">
        <f t="shared" si="51"/>
        <v>1797</v>
      </c>
      <c r="H656" s="3">
        <f t="shared" si="50"/>
        <v>597</v>
      </c>
      <c r="I656" s="14">
        <f t="shared" si="52"/>
        <v>1203.9900000000002</v>
      </c>
      <c r="J656" s="14">
        <f t="shared" si="53"/>
        <v>-1200</v>
      </c>
      <c r="K656" s="1">
        <v>0.67</v>
      </c>
      <c r="L656">
        <v>4.5</v>
      </c>
      <c r="M656" s="2">
        <v>13568</v>
      </c>
      <c r="N656" t="s">
        <v>1534</v>
      </c>
      <c r="O656">
        <f t="shared" si="54"/>
        <v>3</v>
      </c>
      <c r="P656" s="12" t="e">
        <f>HYPERLINK(#REF!,"Link")</f>
        <v>#REF!</v>
      </c>
      <c r="Q656" s="12" t="e">
        <f>HYPERLINK(#REF!,"Link")</f>
        <v>#REF!</v>
      </c>
    </row>
    <row r="657" spans="1:17" x14ac:dyDescent="0.3">
      <c r="A657" t="s">
        <v>1535</v>
      </c>
      <c r="B657" t="s">
        <v>1536</v>
      </c>
      <c r="C657" s="10" t="s">
        <v>3787</v>
      </c>
      <c r="D657" s="10" t="s">
        <v>3788</v>
      </c>
      <c r="E657" s="14">
        <v>4499</v>
      </c>
      <c r="F657" s="3">
        <v>999</v>
      </c>
      <c r="G657" s="3">
        <f t="shared" si="51"/>
        <v>13497</v>
      </c>
      <c r="H657" s="3">
        <f t="shared" si="50"/>
        <v>2997</v>
      </c>
      <c r="I657" s="14">
        <f t="shared" si="52"/>
        <v>10527.66</v>
      </c>
      <c r="J657" s="14">
        <f t="shared" si="53"/>
        <v>-10500</v>
      </c>
      <c r="K657" s="1">
        <v>0.78</v>
      </c>
      <c r="L657">
        <v>3.8</v>
      </c>
      <c r="M657" s="2">
        <v>3390</v>
      </c>
      <c r="N657" t="s">
        <v>1537</v>
      </c>
      <c r="O657">
        <f t="shared" si="54"/>
        <v>3</v>
      </c>
      <c r="P657" s="12" t="e">
        <f>HYPERLINK(#REF!,"Link")</f>
        <v>#REF!</v>
      </c>
      <c r="Q657" s="12" t="e">
        <f>HYPERLINK(#REF!,"Link")</f>
        <v>#REF!</v>
      </c>
    </row>
    <row r="658" spans="1:17" x14ac:dyDescent="0.3">
      <c r="A658" t="s">
        <v>1538</v>
      </c>
      <c r="B658" t="s">
        <v>1539</v>
      </c>
      <c r="C658" s="9" t="s">
        <v>3789</v>
      </c>
      <c r="D658" s="9"/>
      <c r="E658" s="14">
        <v>4499</v>
      </c>
      <c r="F658" s="3">
        <v>899</v>
      </c>
      <c r="G658" s="3">
        <f t="shared" si="51"/>
        <v>8998</v>
      </c>
      <c r="H658" s="3">
        <f t="shared" si="50"/>
        <v>1798</v>
      </c>
      <c r="I658" s="14">
        <f t="shared" si="52"/>
        <v>7198.4000000000005</v>
      </c>
      <c r="J658" s="14">
        <f t="shared" si="53"/>
        <v>-7200</v>
      </c>
      <c r="K658" s="1">
        <v>0.8</v>
      </c>
      <c r="L658">
        <v>3.8</v>
      </c>
      <c r="M658" s="2">
        <v>103052</v>
      </c>
      <c r="N658" t="s">
        <v>1540</v>
      </c>
      <c r="O658">
        <f t="shared" si="54"/>
        <v>2</v>
      </c>
      <c r="P658" s="12" t="e">
        <f>HYPERLINK(#REF!,"Link")</f>
        <v>#REF!</v>
      </c>
      <c r="Q658" s="12" t="e">
        <f>HYPERLINK(#REF!,"Link")</f>
        <v>#REF!</v>
      </c>
    </row>
    <row r="659" spans="1:17" x14ac:dyDescent="0.3">
      <c r="A659" t="s">
        <v>1055</v>
      </c>
      <c r="B659" t="s">
        <v>1056</v>
      </c>
      <c r="C659" s="10" t="s">
        <v>3729</v>
      </c>
      <c r="D659" s="10" t="s">
        <v>3786</v>
      </c>
      <c r="E659" s="14">
        <v>2499</v>
      </c>
      <c r="F659" s="3">
        <v>1799</v>
      </c>
      <c r="G659" s="3">
        <f t="shared" si="51"/>
        <v>7497</v>
      </c>
      <c r="H659" s="3">
        <f t="shared" si="50"/>
        <v>5397</v>
      </c>
      <c r="I659" s="14">
        <f t="shared" si="52"/>
        <v>2099.16</v>
      </c>
      <c r="J659" s="14">
        <f t="shared" si="53"/>
        <v>-2100</v>
      </c>
      <c r="K659" s="1">
        <v>0.28000000000000003</v>
      </c>
      <c r="L659">
        <v>4.0999999999999996</v>
      </c>
      <c r="M659" s="2">
        <v>18678</v>
      </c>
      <c r="N659" t="s">
        <v>1057</v>
      </c>
      <c r="O659">
        <f t="shared" si="54"/>
        <v>3</v>
      </c>
      <c r="P659" s="12" t="e">
        <f>HYPERLINK(#REF!,"Link")</f>
        <v>#REF!</v>
      </c>
      <c r="Q659" s="12" t="e">
        <f>HYPERLINK(#REF!,"Link")</f>
        <v>#REF!</v>
      </c>
    </row>
    <row r="660" spans="1:17" x14ac:dyDescent="0.3">
      <c r="A660" t="s">
        <v>27</v>
      </c>
      <c r="B660" t="s">
        <v>28</v>
      </c>
      <c r="C660" s="9" t="s">
        <v>3790</v>
      </c>
      <c r="D660" s="9" t="s">
        <v>3791</v>
      </c>
      <c r="E660" s="14">
        <v>499</v>
      </c>
      <c r="F660" s="3">
        <v>176.63</v>
      </c>
      <c r="G660" s="3">
        <f t="shared" si="51"/>
        <v>998</v>
      </c>
      <c r="H660" s="3">
        <f t="shared" si="50"/>
        <v>353.26</v>
      </c>
      <c r="I660" s="14">
        <f t="shared" si="52"/>
        <v>648.70000000000005</v>
      </c>
      <c r="J660" s="14">
        <f t="shared" si="53"/>
        <v>-644.74</v>
      </c>
      <c r="K660" s="1">
        <v>0.65</v>
      </c>
      <c r="L660">
        <v>4.0999999999999996</v>
      </c>
      <c r="M660" s="2">
        <v>15189</v>
      </c>
      <c r="N660" t="s">
        <v>29</v>
      </c>
      <c r="O660">
        <f t="shared" si="54"/>
        <v>2</v>
      </c>
      <c r="P660" s="12" t="e">
        <f>HYPERLINK(#REF!,"Link")</f>
        <v>#REF!</v>
      </c>
      <c r="Q660" s="12" t="e">
        <f>HYPERLINK(#REF!,"Link")</f>
        <v>#REF!</v>
      </c>
    </row>
    <row r="661" spans="1:17" x14ac:dyDescent="0.3">
      <c r="A661" t="s">
        <v>1541</v>
      </c>
      <c r="B661" t="s">
        <v>1542</v>
      </c>
      <c r="C661" s="10" t="s">
        <v>3771</v>
      </c>
      <c r="D661" s="10" t="s">
        <v>3792</v>
      </c>
      <c r="E661" s="14">
        <v>550</v>
      </c>
      <c r="F661" s="3">
        <v>522</v>
      </c>
      <c r="G661" s="3">
        <f t="shared" si="51"/>
        <v>1100</v>
      </c>
      <c r="H661" s="3">
        <f t="shared" si="50"/>
        <v>1044</v>
      </c>
      <c r="I661" s="14">
        <f t="shared" si="52"/>
        <v>55</v>
      </c>
      <c r="J661" s="14">
        <f t="shared" si="53"/>
        <v>-56</v>
      </c>
      <c r="K661" s="1">
        <v>0.05</v>
      </c>
      <c r="L661">
        <v>4.4000000000000004</v>
      </c>
      <c r="M661" s="2">
        <v>12179</v>
      </c>
      <c r="N661" t="s">
        <v>1543</v>
      </c>
      <c r="O661">
        <f t="shared" si="54"/>
        <v>2</v>
      </c>
      <c r="P661" s="12" t="e">
        <f>HYPERLINK(#REF!,"Link")</f>
        <v>#REF!</v>
      </c>
      <c r="Q661" s="12" t="e">
        <f>HYPERLINK(#REF!,"Link")</f>
        <v>#REF!</v>
      </c>
    </row>
    <row r="662" spans="1:17" x14ac:dyDescent="0.3">
      <c r="A662" t="s">
        <v>1544</v>
      </c>
      <c r="B662" t="s">
        <v>1545</v>
      </c>
      <c r="C662" s="9" t="s">
        <v>3793</v>
      </c>
      <c r="D662" s="9" t="s">
        <v>3794</v>
      </c>
      <c r="E662" s="14">
        <v>1999</v>
      </c>
      <c r="F662" s="3">
        <v>799</v>
      </c>
      <c r="G662" s="3">
        <f t="shared" si="51"/>
        <v>3998</v>
      </c>
      <c r="H662" s="3">
        <f t="shared" si="50"/>
        <v>1598</v>
      </c>
      <c r="I662" s="14">
        <f t="shared" si="52"/>
        <v>2398.7999999999997</v>
      </c>
      <c r="J662" s="14">
        <f t="shared" si="53"/>
        <v>-2400</v>
      </c>
      <c r="K662" s="1">
        <v>0.6</v>
      </c>
      <c r="L662">
        <v>3.8</v>
      </c>
      <c r="M662" s="2">
        <v>12958</v>
      </c>
      <c r="N662" t="s">
        <v>1546</v>
      </c>
      <c r="O662">
        <f t="shared" si="54"/>
        <v>2</v>
      </c>
      <c r="P662" s="12" t="e">
        <f>HYPERLINK(#REF!,"Link")</f>
        <v>#REF!</v>
      </c>
      <c r="Q662" s="12" t="e">
        <f>HYPERLINK(#REF!,"Link")</f>
        <v>#REF!</v>
      </c>
    </row>
    <row r="663" spans="1:17" x14ac:dyDescent="0.3">
      <c r="A663" t="s">
        <v>1547</v>
      </c>
      <c r="B663" t="s">
        <v>1548</v>
      </c>
      <c r="C663" s="10" t="s">
        <v>3795</v>
      </c>
      <c r="D663" s="10" t="s">
        <v>3796</v>
      </c>
      <c r="E663" s="14">
        <v>1199</v>
      </c>
      <c r="F663" s="3">
        <v>681</v>
      </c>
      <c r="G663" s="3">
        <f t="shared" si="51"/>
        <v>5995</v>
      </c>
      <c r="H663" s="3">
        <f t="shared" si="50"/>
        <v>3405</v>
      </c>
      <c r="I663" s="14">
        <f t="shared" si="52"/>
        <v>2577.8499999999995</v>
      </c>
      <c r="J663" s="14">
        <f t="shared" si="53"/>
        <v>-2590</v>
      </c>
      <c r="K663" s="1">
        <v>0.43</v>
      </c>
      <c r="L663">
        <v>4.2</v>
      </c>
      <c r="M663" s="2">
        <v>8258</v>
      </c>
      <c r="N663" t="s">
        <v>1549</v>
      </c>
      <c r="O663">
        <f t="shared" si="54"/>
        <v>5</v>
      </c>
      <c r="P663" s="12" t="e">
        <f>HYPERLINK(#REF!,"Link")</f>
        <v>#REF!</v>
      </c>
      <c r="Q663" s="12" t="e">
        <f>HYPERLINK(#REF!,"Link")</f>
        <v>#REF!</v>
      </c>
    </row>
    <row r="664" spans="1:17" x14ac:dyDescent="0.3">
      <c r="A664" t="s">
        <v>1550</v>
      </c>
      <c r="B664" t="s">
        <v>1551</v>
      </c>
      <c r="C664" s="9" t="s">
        <v>3771</v>
      </c>
      <c r="D664" s="9" t="s">
        <v>3792</v>
      </c>
      <c r="E664" s="14">
        <v>3490</v>
      </c>
      <c r="F664" s="3">
        <v>1199</v>
      </c>
      <c r="G664" s="3">
        <f t="shared" si="51"/>
        <v>17450</v>
      </c>
      <c r="H664" s="3">
        <f t="shared" si="50"/>
        <v>5995</v>
      </c>
      <c r="I664" s="14">
        <f t="shared" si="52"/>
        <v>11517</v>
      </c>
      <c r="J664" s="14">
        <f t="shared" si="53"/>
        <v>-11455</v>
      </c>
      <c r="K664" s="1">
        <v>0.66</v>
      </c>
      <c r="L664">
        <v>4.0999999999999996</v>
      </c>
      <c r="M664" s="2">
        <v>11716</v>
      </c>
      <c r="N664" t="s">
        <v>1552</v>
      </c>
      <c r="O664">
        <f t="shared" si="54"/>
        <v>5</v>
      </c>
      <c r="P664" s="12" t="e">
        <f>HYPERLINK(#REF!,"Link")</f>
        <v>#REF!</v>
      </c>
      <c r="Q664" s="12" t="e">
        <f>HYPERLINK(#REF!,"Link")</f>
        <v>#REF!</v>
      </c>
    </row>
    <row r="665" spans="1:17" x14ac:dyDescent="0.3">
      <c r="A665" t="s">
        <v>1553</v>
      </c>
      <c r="B665" t="s">
        <v>1554</v>
      </c>
      <c r="C665" s="10" t="s">
        <v>3797</v>
      </c>
      <c r="D665" s="10"/>
      <c r="E665" s="14">
        <v>4999</v>
      </c>
      <c r="F665" s="3">
        <v>2499</v>
      </c>
      <c r="G665" s="3">
        <f t="shared" si="51"/>
        <v>14997</v>
      </c>
      <c r="H665" s="3">
        <f t="shared" si="50"/>
        <v>7497</v>
      </c>
      <c r="I665" s="14">
        <f t="shared" si="52"/>
        <v>7498.5</v>
      </c>
      <c r="J665" s="14">
        <f t="shared" si="53"/>
        <v>-7500</v>
      </c>
      <c r="K665" s="1">
        <v>0.5</v>
      </c>
      <c r="L665">
        <v>4.4000000000000004</v>
      </c>
      <c r="M665" s="2">
        <v>35024</v>
      </c>
      <c r="N665" t="s">
        <v>1555</v>
      </c>
      <c r="O665">
        <f t="shared" si="54"/>
        <v>3</v>
      </c>
      <c r="P665" s="12" t="e">
        <f>HYPERLINK(#REF!,"Link")</f>
        <v>#REF!</v>
      </c>
      <c r="Q665" s="12" t="e">
        <f>HYPERLINK(#REF!,"Link")</f>
        <v>#REF!</v>
      </c>
    </row>
    <row r="666" spans="1:17" x14ac:dyDescent="0.3">
      <c r="A666" t="s">
        <v>1556</v>
      </c>
      <c r="B666" t="s">
        <v>1557</v>
      </c>
      <c r="C666" s="9" t="s">
        <v>3798</v>
      </c>
      <c r="D666" s="9" t="s">
        <v>3799</v>
      </c>
      <c r="E666" s="14">
        <v>4999</v>
      </c>
      <c r="F666" s="3">
        <v>1799</v>
      </c>
      <c r="G666" s="3">
        <f t="shared" si="51"/>
        <v>14997</v>
      </c>
      <c r="H666" s="3">
        <f t="shared" si="50"/>
        <v>5397</v>
      </c>
      <c r="I666" s="14">
        <f t="shared" si="52"/>
        <v>9598.08</v>
      </c>
      <c r="J666" s="14">
        <f t="shared" si="53"/>
        <v>-9600</v>
      </c>
      <c r="K666" s="1">
        <v>0.64</v>
      </c>
      <c r="L666">
        <v>4.0999999999999996</v>
      </c>
      <c r="M666" s="2">
        <v>55192</v>
      </c>
      <c r="N666" t="s">
        <v>1558</v>
      </c>
      <c r="O666">
        <f t="shared" si="54"/>
        <v>3</v>
      </c>
      <c r="P666" s="12" t="e">
        <f>HYPERLINK(#REF!,"Link")</f>
        <v>#REF!</v>
      </c>
      <c r="Q666" s="12" t="e">
        <f>HYPERLINK(#REF!,"Link")</f>
        <v>#REF!</v>
      </c>
    </row>
    <row r="667" spans="1:17" x14ac:dyDescent="0.3">
      <c r="A667" t="s">
        <v>1559</v>
      </c>
      <c r="B667" t="s">
        <v>1560</v>
      </c>
      <c r="C667" s="10"/>
      <c r="D667" s="10"/>
      <c r="E667" s="14">
        <v>599</v>
      </c>
      <c r="F667" s="3">
        <v>429</v>
      </c>
      <c r="G667" s="3">
        <f t="shared" si="51"/>
        <v>1198</v>
      </c>
      <c r="H667" s="3">
        <f t="shared" si="50"/>
        <v>858</v>
      </c>
      <c r="I667" s="14">
        <f t="shared" si="52"/>
        <v>335.44000000000005</v>
      </c>
      <c r="J667" s="14">
        <f t="shared" si="53"/>
        <v>-340</v>
      </c>
      <c r="K667" s="1">
        <v>0.28000000000000003</v>
      </c>
      <c r="L667">
        <v>4.0999999999999996</v>
      </c>
      <c r="M667" s="2">
        <v>119466</v>
      </c>
      <c r="N667" t="s">
        <v>1561</v>
      </c>
      <c r="O667">
        <f t="shared" si="54"/>
        <v>2</v>
      </c>
      <c r="P667" s="12" t="e">
        <f>HYPERLINK(#REF!,"Link")</f>
        <v>#REF!</v>
      </c>
      <c r="Q667" s="12" t="e">
        <f>HYPERLINK(#REF!,"Link")</f>
        <v>#REF!</v>
      </c>
    </row>
    <row r="668" spans="1:17" x14ac:dyDescent="0.3">
      <c r="A668" t="s">
        <v>1562</v>
      </c>
      <c r="B668" t="s">
        <v>1563</v>
      </c>
      <c r="C668" s="9" t="s">
        <v>3800</v>
      </c>
      <c r="D668" s="9"/>
      <c r="E668" s="14">
        <v>499</v>
      </c>
      <c r="F668" s="3">
        <v>100</v>
      </c>
      <c r="G668" s="3">
        <f t="shared" si="51"/>
        <v>1996</v>
      </c>
      <c r="H668" s="3">
        <f t="shared" si="50"/>
        <v>400</v>
      </c>
      <c r="I668" s="14">
        <f t="shared" si="52"/>
        <v>1596.8000000000002</v>
      </c>
      <c r="J668" s="14">
        <f t="shared" si="53"/>
        <v>-1596</v>
      </c>
      <c r="K668" s="1">
        <v>0.8</v>
      </c>
      <c r="L668">
        <v>3.5</v>
      </c>
      <c r="M668" s="2">
        <v>9638</v>
      </c>
      <c r="N668" t="s">
        <v>1564</v>
      </c>
      <c r="O668">
        <f t="shared" si="54"/>
        <v>4</v>
      </c>
      <c r="P668" s="12" t="e">
        <f>HYPERLINK(#REF!,"Link")</f>
        <v>#REF!</v>
      </c>
      <c r="Q668" s="12" t="e">
        <f>HYPERLINK(#REF!,"Link")</f>
        <v>#REF!</v>
      </c>
    </row>
    <row r="669" spans="1:17" x14ac:dyDescent="0.3">
      <c r="A669" t="s">
        <v>1565</v>
      </c>
      <c r="B669" t="s">
        <v>1566</v>
      </c>
      <c r="C669" s="10" t="s">
        <v>3755</v>
      </c>
      <c r="D669" s="10" t="s">
        <v>3801</v>
      </c>
      <c r="E669" s="14">
        <v>399</v>
      </c>
      <c r="F669" s="3">
        <v>329</v>
      </c>
      <c r="G669" s="3">
        <f t="shared" si="51"/>
        <v>1596</v>
      </c>
      <c r="H669" s="3">
        <f t="shared" si="50"/>
        <v>1316</v>
      </c>
      <c r="I669" s="14">
        <f t="shared" si="52"/>
        <v>287.27999999999997</v>
      </c>
      <c r="J669" s="14">
        <f t="shared" si="53"/>
        <v>-280</v>
      </c>
      <c r="K669" s="1">
        <v>0.18</v>
      </c>
      <c r="L669">
        <v>3.6</v>
      </c>
      <c r="M669" s="2">
        <v>33735</v>
      </c>
      <c r="N669" t="s">
        <v>1567</v>
      </c>
      <c r="O669">
        <f t="shared" si="54"/>
        <v>4</v>
      </c>
      <c r="P669" s="12" t="e">
        <f>HYPERLINK(#REF!,"Link")</f>
        <v>#REF!</v>
      </c>
      <c r="Q669" s="12" t="e">
        <f>HYPERLINK(#REF!,"Link")</f>
        <v>#REF!</v>
      </c>
    </row>
    <row r="670" spans="1:17" x14ac:dyDescent="0.3">
      <c r="A670" t="s">
        <v>30</v>
      </c>
      <c r="B670" t="s">
        <v>31</v>
      </c>
      <c r="C670" s="9" t="s">
        <v>3744</v>
      </c>
      <c r="D670" s="9" t="s">
        <v>3802</v>
      </c>
      <c r="E670" s="14">
        <v>299</v>
      </c>
      <c r="F670" s="3">
        <v>229</v>
      </c>
      <c r="G670" s="3">
        <f t="shared" si="51"/>
        <v>299</v>
      </c>
      <c r="H670" s="3">
        <f t="shared" si="50"/>
        <v>229</v>
      </c>
      <c r="I670" s="14">
        <f t="shared" si="52"/>
        <v>68.77</v>
      </c>
      <c r="J670" s="14">
        <f t="shared" si="53"/>
        <v>-70</v>
      </c>
      <c r="K670" s="1">
        <v>0.23</v>
      </c>
      <c r="L670">
        <v>4.3</v>
      </c>
      <c r="M670" s="2">
        <v>30411</v>
      </c>
      <c r="N670" t="s">
        <v>32</v>
      </c>
      <c r="O670">
        <f t="shared" si="54"/>
        <v>1</v>
      </c>
      <c r="P670" s="12" t="e">
        <f>HYPERLINK(#REF!,"Link")</f>
        <v>#REF!</v>
      </c>
      <c r="Q670" s="12" t="e">
        <f>HYPERLINK(#REF!,"Link")</f>
        <v>#REF!</v>
      </c>
    </row>
    <row r="671" spans="1:17" x14ac:dyDescent="0.3">
      <c r="A671" t="s">
        <v>1568</v>
      </c>
      <c r="B671" t="s">
        <v>1569</v>
      </c>
      <c r="C671" s="10"/>
      <c r="D671" s="10"/>
      <c r="E671" s="14">
        <v>299</v>
      </c>
      <c r="F671" s="3">
        <v>139</v>
      </c>
      <c r="G671" s="3">
        <f t="shared" si="51"/>
        <v>598</v>
      </c>
      <c r="H671" s="3">
        <f t="shared" si="50"/>
        <v>278</v>
      </c>
      <c r="I671" s="14">
        <f t="shared" si="52"/>
        <v>322.92</v>
      </c>
      <c r="J671" s="14">
        <f t="shared" si="53"/>
        <v>-320</v>
      </c>
      <c r="K671" s="1">
        <v>0.54</v>
      </c>
      <c r="L671">
        <v>3.8</v>
      </c>
      <c r="M671" s="2">
        <v>3044</v>
      </c>
      <c r="N671" t="s">
        <v>1570</v>
      </c>
      <c r="O671">
        <f t="shared" si="54"/>
        <v>2</v>
      </c>
      <c r="P671" s="12" t="e">
        <f>HYPERLINK(#REF!,"Link")</f>
        <v>#REF!</v>
      </c>
      <c r="Q671" s="12" t="e">
        <f>HYPERLINK(#REF!,"Link")</f>
        <v>#REF!</v>
      </c>
    </row>
    <row r="672" spans="1:17" x14ac:dyDescent="0.3">
      <c r="A672" t="s">
        <v>1571</v>
      </c>
      <c r="B672" t="s">
        <v>1572</v>
      </c>
      <c r="C672" s="9" t="s">
        <v>3779</v>
      </c>
      <c r="D672" s="9" t="s">
        <v>3780</v>
      </c>
      <c r="E672" s="14">
        <v>2499</v>
      </c>
      <c r="F672" s="3">
        <v>1199</v>
      </c>
      <c r="G672" s="3">
        <f t="shared" si="51"/>
        <v>4998</v>
      </c>
      <c r="H672" s="3">
        <f t="shared" si="50"/>
        <v>2398</v>
      </c>
      <c r="I672" s="14">
        <f t="shared" si="52"/>
        <v>2598.96</v>
      </c>
      <c r="J672" s="14">
        <f t="shared" si="53"/>
        <v>-2600</v>
      </c>
      <c r="K672" s="1">
        <v>0.52</v>
      </c>
      <c r="L672">
        <v>4</v>
      </c>
      <c r="M672" s="2">
        <v>33584</v>
      </c>
      <c r="N672" t="s">
        <v>1573</v>
      </c>
      <c r="O672">
        <f t="shared" si="54"/>
        <v>2</v>
      </c>
      <c r="P672" s="12" t="e">
        <f>HYPERLINK(#REF!,"Link")</f>
        <v>#REF!</v>
      </c>
      <c r="Q672" s="12" t="e">
        <f>HYPERLINK(#REF!,"Link")</f>
        <v>#REF!</v>
      </c>
    </row>
    <row r="673" spans="1:17" x14ac:dyDescent="0.3">
      <c r="A673" t="s">
        <v>1574</v>
      </c>
      <c r="B673" t="s">
        <v>1575</v>
      </c>
      <c r="C673" s="10" t="s">
        <v>3803</v>
      </c>
      <c r="D673" s="10"/>
      <c r="E673" s="14">
        <v>2299</v>
      </c>
      <c r="F673" s="3">
        <v>1049</v>
      </c>
      <c r="G673" s="3">
        <f t="shared" si="51"/>
        <v>6897</v>
      </c>
      <c r="H673" s="3">
        <f t="shared" si="50"/>
        <v>3147</v>
      </c>
      <c r="I673" s="14">
        <f t="shared" si="52"/>
        <v>3724.38</v>
      </c>
      <c r="J673" s="14">
        <f t="shared" si="53"/>
        <v>-3750</v>
      </c>
      <c r="K673" s="1">
        <v>0.54</v>
      </c>
      <c r="L673">
        <v>3.9</v>
      </c>
      <c r="M673" s="2">
        <v>1779</v>
      </c>
      <c r="N673" t="s">
        <v>1576</v>
      </c>
      <c r="O673">
        <f t="shared" si="54"/>
        <v>3</v>
      </c>
      <c r="P673" s="12" t="e">
        <f>HYPERLINK(#REF!,"Link")</f>
        <v>#REF!</v>
      </c>
      <c r="Q673" s="12" t="e">
        <f>HYPERLINK(#REF!,"Link")</f>
        <v>#REF!</v>
      </c>
    </row>
    <row r="674" spans="1:17" x14ac:dyDescent="0.3">
      <c r="A674" t="s">
        <v>1066</v>
      </c>
      <c r="B674" t="s">
        <v>1067</v>
      </c>
      <c r="C674" s="9" t="s">
        <v>3727</v>
      </c>
      <c r="D674" s="9" t="s">
        <v>3804</v>
      </c>
      <c r="E674" s="14">
        <v>299</v>
      </c>
      <c r="F674" s="3">
        <v>119</v>
      </c>
      <c r="G674" s="3">
        <f t="shared" si="51"/>
        <v>897</v>
      </c>
      <c r="H674" s="3">
        <f t="shared" si="50"/>
        <v>357</v>
      </c>
      <c r="I674" s="14">
        <f t="shared" si="52"/>
        <v>538.20000000000005</v>
      </c>
      <c r="J674" s="14">
        <f t="shared" si="53"/>
        <v>-540</v>
      </c>
      <c r="K674" s="1">
        <v>0.6</v>
      </c>
      <c r="L674">
        <v>4.0999999999999996</v>
      </c>
      <c r="M674" s="2">
        <v>5999</v>
      </c>
      <c r="N674" t="s">
        <v>1068</v>
      </c>
      <c r="O674">
        <f t="shared" si="54"/>
        <v>3</v>
      </c>
      <c r="P674" s="12" t="e">
        <f>HYPERLINK(#REF!,"Link")</f>
        <v>#REF!</v>
      </c>
      <c r="Q674" s="12" t="e">
        <f>HYPERLINK(#REF!,"Link")</f>
        <v>#REF!</v>
      </c>
    </row>
    <row r="675" spans="1:17" x14ac:dyDescent="0.3">
      <c r="A675" t="s">
        <v>37</v>
      </c>
      <c r="B675" t="s">
        <v>38</v>
      </c>
      <c r="C675" s="10" t="s">
        <v>3738</v>
      </c>
      <c r="D675" s="10" t="s">
        <v>3805</v>
      </c>
      <c r="E675" s="14">
        <v>339</v>
      </c>
      <c r="F675" s="3">
        <v>154</v>
      </c>
      <c r="G675" s="3">
        <f t="shared" si="51"/>
        <v>1356</v>
      </c>
      <c r="H675" s="3">
        <f t="shared" si="50"/>
        <v>616</v>
      </c>
      <c r="I675" s="14">
        <f t="shared" si="52"/>
        <v>745.80000000000007</v>
      </c>
      <c r="J675" s="14">
        <f t="shared" si="53"/>
        <v>-740</v>
      </c>
      <c r="K675" s="1">
        <v>0.55000000000000004</v>
      </c>
      <c r="L675">
        <v>4.3</v>
      </c>
      <c r="M675" s="2">
        <v>13391</v>
      </c>
      <c r="N675" t="s">
        <v>39</v>
      </c>
      <c r="O675">
        <f t="shared" si="54"/>
        <v>4</v>
      </c>
      <c r="P675" s="12" t="e">
        <f>HYPERLINK(#REF!,"Link")</f>
        <v>#REF!</v>
      </c>
      <c r="Q675" s="12" t="e">
        <f>HYPERLINK(#REF!,"Link")</f>
        <v>#REF!</v>
      </c>
    </row>
    <row r="676" spans="1:17" x14ac:dyDescent="0.3">
      <c r="A676" t="s">
        <v>1577</v>
      </c>
      <c r="B676" t="s">
        <v>1578</v>
      </c>
      <c r="C676" s="9" t="s">
        <v>3729</v>
      </c>
      <c r="D676" s="9" t="s">
        <v>3786</v>
      </c>
      <c r="E676" s="14">
        <v>250</v>
      </c>
      <c r="F676" s="3">
        <v>225</v>
      </c>
      <c r="G676" s="3">
        <f t="shared" si="51"/>
        <v>1500</v>
      </c>
      <c r="H676" s="3">
        <f t="shared" si="50"/>
        <v>1350</v>
      </c>
      <c r="I676" s="14">
        <f t="shared" si="52"/>
        <v>150</v>
      </c>
      <c r="J676" s="14">
        <f t="shared" si="53"/>
        <v>-150</v>
      </c>
      <c r="K676" s="1">
        <v>0.1</v>
      </c>
      <c r="L676">
        <v>4.4000000000000004</v>
      </c>
      <c r="M676" s="2">
        <v>26556</v>
      </c>
      <c r="N676" t="s">
        <v>1579</v>
      </c>
      <c r="O676">
        <f t="shared" si="54"/>
        <v>6</v>
      </c>
      <c r="P676" s="12" t="e">
        <f>HYPERLINK(#REF!,"Link")</f>
        <v>#REF!</v>
      </c>
      <c r="Q676" s="12" t="e">
        <f>HYPERLINK(#REF!,"Link")</f>
        <v>#REF!</v>
      </c>
    </row>
    <row r="677" spans="1:17" x14ac:dyDescent="0.3">
      <c r="A677" t="s">
        <v>1580</v>
      </c>
      <c r="B677" t="s">
        <v>1581</v>
      </c>
      <c r="C677" s="10" t="s">
        <v>3729</v>
      </c>
      <c r="D677" s="10" t="s">
        <v>3806</v>
      </c>
      <c r="E677" s="14">
        <v>1499</v>
      </c>
      <c r="F677" s="3">
        <v>656</v>
      </c>
      <c r="G677" s="3">
        <f t="shared" si="51"/>
        <v>5996</v>
      </c>
      <c r="H677" s="3">
        <f t="shared" si="50"/>
        <v>2624</v>
      </c>
      <c r="I677" s="14">
        <f t="shared" si="52"/>
        <v>3357.76</v>
      </c>
      <c r="J677" s="14">
        <f t="shared" si="53"/>
        <v>-3372</v>
      </c>
      <c r="K677" s="1">
        <v>0.56000000000000005</v>
      </c>
      <c r="L677">
        <v>4.3</v>
      </c>
      <c r="M677" s="2">
        <v>25903</v>
      </c>
      <c r="N677" t="s">
        <v>1582</v>
      </c>
      <c r="O677">
        <f t="shared" si="54"/>
        <v>4</v>
      </c>
      <c r="P677" s="12" t="e">
        <f>HYPERLINK(#REF!,"Link")</f>
        <v>#REF!</v>
      </c>
      <c r="Q677" s="12" t="e">
        <f>HYPERLINK(#REF!,"Link")</f>
        <v>#REF!</v>
      </c>
    </row>
    <row r="678" spans="1:17" x14ac:dyDescent="0.3">
      <c r="A678" t="s">
        <v>1583</v>
      </c>
      <c r="B678" t="s">
        <v>1584</v>
      </c>
      <c r="C678" s="9"/>
      <c r="D678" s="9"/>
      <c r="E678" s="14">
        <v>2800</v>
      </c>
      <c r="F678" s="3">
        <v>1109</v>
      </c>
      <c r="G678" s="3">
        <f t="shared" si="51"/>
        <v>14000</v>
      </c>
      <c r="H678" s="3">
        <f t="shared" si="50"/>
        <v>5545</v>
      </c>
      <c r="I678" s="14">
        <f t="shared" si="52"/>
        <v>8400</v>
      </c>
      <c r="J678" s="14">
        <f t="shared" si="53"/>
        <v>-8455</v>
      </c>
      <c r="K678" s="1">
        <v>0.6</v>
      </c>
      <c r="L678">
        <v>4.3</v>
      </c>
      <c r="M678" s="2">
        <v>53464</v>
      </c>
      <c r="N678" t="s">
        <v>1585</v>
      </c>
      <c r="O678">
        <f t="shared" si="54"/>
        <v>5</v>
      </c>
      <c r="P678" s="12" t="e">
        <f>HYPERLINK(#REF!,"Link")</f>
        <v>#REF!</v>
      </c>
      <c r="Q678" s="12" t="e">
        <f>HYPERLINK(#REF!,"Link")</f>
        <v>#REF!</v>
      </c>
    </row>
    <row r="679" spans="1:17" x14ac:dyDescent="0.3">
      <c r="A679" t="s">
        <v>1059</v>
      </c>
      <c r="B679" t="s">
        <v>1006</v>
      </c>
      <c r="C679" s="10" t="s">
        <v>3807</v>
      </c>
      <c r="D679" s="10" t="s">
        <v>3808</v>
      </c>
      <c r="E679" s="14">
        <v>7990</v>
      </c>
      <c r="F679" s="3">
        <v>2999</v>
      </c>
      <c r="G679" s="3">
        <f t="shared" si="51"/>
        <v>23970</v>
      </c>
      <c r="H679" s="3">
        <f t="shared" si="50"/>
        <v>8997</v>
      </c>
      <c r="I679" s="14">
        <f t="shared" si="52"/>
        <v>14861.400000000001</v>
      </c>
      <c r="J679" s="14">
        <f t="shared" si="53"/>
        <v>-14973</v>
      </c>
      <c r="K679" s="1">
        <v>0.62</v>
      </c>
      <c r="L679">
        <v>4.0999999999999996</v>
      </c>
      <c r="M679" s="2">
        <v>48448</v>
      </c>
      <c r="N679" t="s">
        <v>1060</v>
      </c>
      <c r="O679">
        <f t="shared" si="54"/>
        <v>3</v>
      </c>
      <c r="P679" s="12" t="e">
        <f>HYPERLINK(#REF!,"Link")</f>
        <v>#REF!</v>
      </c>
      <c r="Q679" s="12" t="e">
        <f>HYPERLINK(#REF!,"Link")</f>
        <v>#REF!</v>
      </c>
    </row>
    <row r="680" spans="1:17" x14ac:dyDescent="0.3">
      <c r="A680" t="s">
        <v>1586</v>
      </c>
      <c r="B680" t="s">
        <v>1587</v>
      </c>
      <c r="C680" s="9" t="s">
        <v>3729</v>
      </c>
      <c r="D680" s="9" t="s">
        <v>3809</v>
      </c>
      <c r="E680" s="14">
        <v>299</v>
      </c>
      <c r="F680" s="3">
        <v>169</v>
      </c>
      <c r="G680" s="3">
        <f t="shared" si="51"/>
        <v>598</v>
      </c>
      <c r="H680" s="3">
        <f t="shared" si="50"/>
        <v>338</v>
      </c>
      <c r="I680" s="14">
        <f t="shared" si="52"/>
        <v>257.14</v>
      </c>
      <c r="J680" s="14">
        <f t="shared" si="53"/>
        <v>-260</v>
      </c>
      <c r="K680" s="1">
        <v>0.43</v>
      </c>
      <c r="L680">
        <v>4.4000000000000004</v>
      </c>
      <c r="M680" s="2">
        <v>5176</v>
      </c>
      <c r="N680" t="s">
        <v>1588</v>
      </c>
      <c r="O680">
        <f t="shared" si="54"/>
        <v>2</v>
      </c>
      <c r="P680" s="12" t="e">
        <f>HYPERLINK(#REF!,"Link")</f>
        <v>#REF!</v>
      </c>
      <c r="Q680" s="12" t="e">
        <f>HYPERLINK(#REF!,"Link")</f>
        <v>#REF!</v>
      </c>
    </row>
    <row r="681" spans="1:17" x14ac:dyDescent="0.3">
      <c r="A681" t="s">
        <v>1589</v>
      </c>
      <c r="B681" t="s">
        <v>1590</v>
      </c>
      <c r="C681" s="10" t="s">
        <v>3810</v>
      </c>
      <c r="D681" s="10" t="s">
        <v>3811</v>
      </c>
      <c r="E681" s="14">
        <v>404</v>
      </c>
      <c r="F681" s="3">
        <v>309</v>
      </c>
      <c r="G681" s="3">
        <f t="shared" si="51"/>
        <v>808</v>
      </c>
      <c r="H681" s="3">
        <f t="shared" si="50"/>
        <v>618</v>
      </c>
      <c r="I681" s="14">
        <f t="shared" si="52"/>
        <v>193.92</v>
      </c>
      <c r="J681" s="14">
        <f t="shared" si="53"/>
        <v>-190</v>
      </c>
      <c r="K681" s="1">
        <v>0.24</v>
      </c>
      <c r="L681">
        <v>4.4000000000000004</v>
      </c>
      <c r="M681" s="2">
        <v>8614</v>
      </c>
      <c r="N681" t="s">
        <v>1591</v>
      </c>
      <c r="O681">
        <f t="shared" si="54"/>
        <v>2</v>
      </c>
      <c r="P681" s="12" t="e">
        <f>HYPERLINK(#REF!,"Link")</f>
        <v>#REF!</v>
      </c>
      <c r="Q681" s="12" t="e">
        <f>HYPERLINK(#REF!,"Link")</f>
        <v>#REF!</v>
      </c>
    </row>
    <row r="682" spans="1:17" x14ac:dyDescent="0.3">
      <c r="A682" t="s">
        <v>1592</v>
      </c>
      <c r="B682" t="s">
        <v>1593</v>
      </c>
      <c r="C682" s="9" t="s">
        <v>3812</v>
      </c>
      <c r="D682" s="9" t="s">
        <v>3764</v>
      </c>
      <c r="E682" s="14">
        <v>1399</v>
      </c>
      <c r="F682" s="3">
        <v>599</v>
      </c>
      <c r="G682" s="3">
        <f t="shared" si="51"/>
        <v>4197</v>
      </c>
      <c r="H682" s="3">
        <f t="shared" si="50"/>
        <v>1797</v>
      </c>
      <c r="I682" s="14">
        <f t="shared" si="52"/>
        <v>2392.29</v>
      </c>
      <c r="J682" s="14">
        <f t="shared" si="53"/>
        <v>-2400</v>
      </c>
      <c r="K682" s="1">
        <v>0.56999999999999995</v>
      </c>
      <c r="L682">
        <v>3.8</v>
      </c>
      <c r="M682" s="2">
        <v>60026</v>
      </c>
      <c r="N682" t="s">
        <v>1594</v>
      </c>
      <c r="O682">
        <f t="shared" si="54"/>
        <v>3</v>
      </c>
      <c r="P682" s="12" t="e">
        <f>HYPERLINK(#REF!,"Link")</f>
        <v>#REF!</v>
      </c>
      <c r="Q682" s="12" t="e">
        <f>HYPERLINK(#REF!,"Link")</f>
        <v>#REF!</v>
      </c>
    </row>
    <row r="683" spans="1:17" x14ac:dyDescent="0.3">
      <c r="A683" t="s">
        <v>1595</v>
      </c>
      <c r="B683" t="s">
        <v>1596</v>
      </c>
      <c r="C683" s="10" t="s">
        <v>3793</v>
      </c>
      <c r="D683" s="10" t="s">
        <v>3813</v>
      </c>
      <c r="E683" s="14">
        <v>599</v>
      </c>
      <c r="F683" s="3">
        <v>299</v>
      </c>
      <c r="G683" s="3">
        <f t="shared" si="51"/>
        <v>1198</v>
      </c>
      <c r="H683" s="3">
        <f t="shared" si="50"/>
        <v>598</v>
      </c>
      <c r="I683" s="14">
        <f t="shared" si="52"/>
        <v>599</v>
      </c>
      <c r="J683" s="14">
        <f t="shared" si="53"/>
        <v>-600</v>
      </c>
      <c r="K683" s="1">
        <v>0.5</v>
      </c>
      <c r="L683">
        <v>3.8</v>
      </c>
      <c r="M683" s="2">
        <v>3066</v>
      </c>
      <c r="N683" t="s">
        <v>1597</v>
      </c>
      <c r="O683">
        <f t="shared" si="54"/>
        <v>2</v>
      </c>
      <c r="P683" s="12" t="e">
        <f>HYPERLINK(#REF!,"Link")</f>
        <v>#REF!</v>
      </c>
      <c r="Q683" s="12" t="e">
        <f>HYPERLINK(#REF!,"Link")</f>
        <v>#REF!</v>
      </c>
    </row>
    <row r="684" spans="1:17" x14ac:dyDescent="0.3">
      <c r="A684" t="s">
        <v>1598</v>
      </c>
      <c r="B684" t="s">
        <v>1599</v>
      </c>
      <c r="C684" s="9" t="s">
        <v>3787</v>
      </c>
      <c r="D684" s="9" t="s">
        <v>3814</v>
      </c>
      <c r="E684" s="14">
        <v>999</v>
      </c>
      <c r="F684" s="3">
        <v>449</v>
      </c>
      <c r="G684" s="3">
        <f t="shared" si="51"/>
        <v>2997</v>
      </c>
      <c r="H684" s="3">
        <f t="shared" si="50"/>
        <v>1347</v>
      </c>
      <c r="I684" s="14">
        <f t="shared" si="52"/>
        <v>1648.3500000000001</v>
      </c>
      <c r="J684" s="14">
        <f t="shared" si="53"/>
        <v>-1650</v>
      </c>
      <c r="K684" s="1">
        <v>0.55000000000000004</v>
      </c>
      <c r="L684">
        <v>4</v>
      </c>
      <c r="M684" s="2">
        <v>2102</v>
      </c>
      <c r="N684" t="s">
        <v>1600</v>
      </c>
      <c r="O684">
        <f t="shared" si="54"/>
        <v>3</v>
      </c>
      <c r="P684" s="12" t="e">
        <f>HYPERLINK(#REF!,"Link")</f>
        <v>#REF!</v>
      </c>
      <c r="Q684" s="12" t="e">
        <f>HYPERLINK(#REF!,"Link")</f>
        <v>#REF!</v>
      </c>
    </row>
    <row r="685" spans="1:17" x14ac:dyDescent="0.3">
      <c r="A685" t="s">
        <v>1601</v>
      </c>
      <c r="B685" t="s">
        <v>1602</v>
      </c>
      <c r="C685" s="10" t="s">
        <v>3815</v>
      </c>
      <c r="D685" s="10"/>
      <c r="E685" s="14">
        <v>1295</v>
      </c>
      <c r="F685" s="3">
        <v>799</v>
      </c>
      <c r="G685" s="3">
        <f t="shared" si="51"/>
        <v>3885</v>
      </c>
      <c r="H685" s="3">
        <f t="shared" si="50"/>
        <v>2397</v>
      </c>
      <c r="I685" s="14">
        <f t="shared" si="52"/>
        <v>1476.3000000000002</v>
      </c>
      <c r="J685" s="14">
        <f t="shared" si="53"/>
        <v>-1488</v>
      </c>
      <c r="K685" s="1">
        <v>0.38</v>
      </c>
      <c r="L685">
        <v>4.4000000000000004</v>
      </c>
      <c r="M685" s="2">
        <v>34852</v>
      </c>
      <c r="N685" t="s">
        <v>1603</v>
      </c>
      <c r="O685">
        <f t="shared" si="54"/>
        <v>3</v>
      </c>
      <c r="P685" s="12" t="e">
        <f>HYPERLINK(#REF!,"Link")</f>
        <v>#REF!</v>
      </c>
      <c r="Q685" s="12" t="e">
        <f>HYPERLINK(#REF!,"Link")</f>
        <v>#REF!</v>
      </c>
    </row>
    <row r="686" spans="1:17" x14ac:dyDescent="0.3">
      <c r="A686" t="s">
        <v>42</v>
      </c>
      <c r="B686" t="s">
        <v>43</v>
      </c>
      <c r="C686" s="9" t="s">
        <v>3816</v>
      </c>
      <c r="D686" s="9" t="s">
        <v>3817</v>
      </c>
      <c r="E686" s="14">
        <v>700</v>
      </c>
      <c r="F686" s="3">
        <v>219</v>
      </c>
      <c r="G686" s="3">
        <f t="shared" si="51"/>
        <v>1400</v>
      </c>
      <c r="H686" s="3">
        <f t="shared" si="50"/>
        <v>438</v>
      </c>
      <c r="I686" s="14">
        <f t="shared" si="52"/>
        <v>965.99999999999989</v>
      </c>
      <c r="J686" s="14">
        <f t="shared" si="53"/>
        <v>-962</v>
      </c>
      <c r="K686" s="1">
        <v>0.69</v>
      </c>
      <c r="L686">
        <v>4.4000000000000004</v>
      </c>
      <c r="M686" s="2">
        <v>426972</v>
      </c>
      <c r="N686" t="s">
        <v>44</v>
      </c>
      <c r="O686">
        <f t="shared" si="54"/>
        <v>2</v>
      </c>
      <c r="P686" s="12" t="e">
        <f>HYPERLINK(#REF!,"Link")</f>
        <v>#REF!</v>
      </c>
      <c r="Q686" s="12" t="e">
        <f>HYPERLINK(#REF!,"Link")</f>
        <v>#REF!</v>
      </c>
    </row>
    <row r="687" spans="1:17" x14ac:dyDescent="0.3">
      <c r="A687" t="s">
        <v>1604</v>
      </c>
      <c r="B687" t="s">
        <v>1605</v>
      </c>
      <c r="C687" s="10" t="s">
        <v>3744</v>
      </c>
      <c r="D687" s="10" t="s">
        <v>3818</v>
      </c>
      <c r="E687" s="14">
        <v>160</v>
      </c>
      <c r="F687" s="3">
        <v>157</v>
      </c>
      <c r="G687" s="3">
        <f t="shared" si="51"/>
        <v>480</v>
      </c>
      <c r="H687" s="3">
        <f t="shared" si="50"/>
        <v>471</v>
      </c>
      <c r="I687" s="14">
        <f t="shared" si="52"/>
        <v>9.6000000000000014</v>
      </c>
      <c r="J687" s="14">
        <f t="shared" si="53"/>
        <v>-9</v>
      </c>
      <c r="K687" s="1">
        <v>0.02</v>
      </c>
      <c r="L687">
        <v>4.5</v>
      </c>
      <c r="M687" s="2">
        <v>8618</v>
      </c>
      <c r="N687" t="s">
        <v>1606</v>
      </c>
      <c r="O687">
        <f t="shared" si="54"/>
        <v>3</v>
      </c>
      <c r="P687" s="12" t="e">
        <f>HYPERLINK(#REF!,"Link")</f>
        <v>#REF!</v>
      </c>
      <c r="Q687" s="12" t="e">
        <f>HYPERLINK(#REF!,"Link")</f>
        <v>#REF!</v>
      </c>
    </row>
    <row r="688" spans="1:17" x14ac:dyDescent="0.3">
      <c r="A688" t="s">
        <v>1082</v>
      </c>
      <c r="B688" t="s">
        <v>1083</v>
      </c>
      <c r="C688" s="9" t="s">
        <v>3768</v>
      </c>
      <c r="D688" s="9" t="s">
        <v>3819</v>
      </c>
      <c r="E688" s="14">
        <v>1600</v>
      </c>
      <c r="F688" s="3">
        <v>369</v>
      </c>
      <c r="G688" s="3">
        <f t="shared" si="51"/>
        <v>1600</v>
      </c>
      <c r="H688" s="3">
        <f t="shared" si="50"/>
        <v>369</v>
      </c>
      <c r="I688" s="14">
        <f t="shared" si="52"/>
        <v>1232</v>
      </c>
      <c r="J688" s="14">
        <f t="shared" si="53"/>
        <v>-1231</v>
      </c>
      <c r="K688" s="1">
        <v>0.77</v>
      </c>
      <c r="L688">
        <v>4</v>
      </c>
      <c r="M688" s="2">
        <v>32625</v>
      </c>
      <c r="N688" t="s">
        <v>1084</v>
      </c>
      <c r="O688">
        <f t="shared" si="54"/>
        <v>1</v>
      </c>
      <c r="P688" s="12" t="e">
        <f>HYPERLINK(#REF!,"Link")</f>
        <v>#REF!</v>
      </c>
      <c r="Q688" s="12" t="e">
        <f>HYPERLINK(#REF!,"Link")</f>
        <v>#REF!</v>
      </c>
    </row>
    <row r="689" spans="1:17" x14ac:dyDescent="0.3">
      <c r="A689" t="s">
        <v>1607</v>
      </c>
      <c r="B689" t="s">
        <v>1608</v>
      </c>
      <c r="C689" s="10" t="s">
        <v>3820</v>
      </c>
      <c r="D689" s="10"/>
      <c r="E689" s="14">
        <v>899</v>
      </c>
      <c r="F689" s="3">
        <v>599</v>
      </c>
      <c r="G689" s="3">
        <f t="shared" si="51"/>
        <v>3596</v>
      </c>
      <c r="H689" s="3">
        <f t="shared" si="50"/>
        <v>2396</v>
      </c>
      <c r="I689" s="14">
        <f t="shared" si="52"/>
        <v>1186.68</v>
      </c>
      <c r="J689" s="14">
        <f t="shared" si="53"/>
        <v>-1200</v>
      </c>
      <c r="K689" s="1">
        <v>0.33</v>
      </c>
      <c r="L689">
        <v>4</v>
      </c>
      <c r="M689" s="2">
        <v>4018</v>
      </c>
      <c r="N689" t="s">
        <v>1609</v>
      </c>
      <c r="O689">
        <f t="shared" si="54"/>
        <v>4</v>
      </c>
      <c r="P689" s="12" t="e">
        <f>HYPERLINK(#REF!,"Link")</f>
        <v>#REF!</v>
      </c>
      <c r="Q689" s="12" t="e">
        <f>HYPERLINK(#REF!,"Link")</f>
        <v>#REF!</v>
      </c>
    </row>
    <row r="690" spans="1:17" x14ac:dyDescent="0.3">
      <c r="A690" t="s">
        <v>1610</v>
      </c>
      <c r="B690" t="s">
        <v>1611</v>
      </c>
      <c r="C690" s="9" t="s">
        <v>3725</v>
      </c>
      <c r="D690" s="9" t="s">
        <v>3726</v>
      </c>
      <c r="E690" s="14">
        <v>599</v>
      </c>
      <c r="F690" s="3">
        <v>479</v>
      </c>
      <c r="G690" s="3">
        <f t="shared" si="51"/>
        <v>1797</v>
      </c>
      <c r="H690" s="3">
        <f t="shared" si="50"/>
        <v>1437</v>
      </c>
      <c r="I690" s="14">
        <f t="shared" si="52"/>
        <v>359.40000000000003</v>
      </c>
      <c r="J690" s="14">
        <f t="shared" si="53"/>
        <v>-360</v>
      </c>
      <c r="K690" s="1">
        <v>0.2</v>
      </c>
      <c r="L690">
        <v>4.3</v>
      </c>
      <c r="M690" s="2">
        <v>11687</v>
      </c>
      <c r="N690" t="s">
        <v>1612</v>
      </c>
      <c r="O690">
        <f t="shared" si="54"/>
        <v>3</v>
      </c>
      <c r="P690" s="12" t="e">
        <f>HYPERLINK(#REF!,"Link")</f>
        <v>#REF!</v>
      </c>
      <c r="Q690" s="12" t="e">
        <f>HYPERLINK(#REF!,"Link")</f>
        <v>#REF!</v>
      </c>
    </row>
    <row r="691" spans="1:17" x14ac:dyDescent="0.3">
      <c r="A691" t="s">
        <v>45</v>
      </c>
      <c r="B691" t="s">
        <v>46</v>
      </c>
      <c r="C691" s="10" t="s">
        <v>3821</v>
      </c>
      <c r="D691" s="10"/>
      <c r="E691" s="14">
        <v>899</v>
      </c>
      <c r="F691" s="3">
        <v>350</v>
      </c>
      <c r="G691" s="3">
        <f t="shared" si="51"/>
        <v>5394</v>
      </c>
      <c r="H691" s="3">
        <f t="shared" si="50"/>
        <v>2100</v>
      </c>
      <c r="I691" s="14">
        <f t="shared" si="52"/>
        <v>3290.34</v>
      </c>
      <c r="J691" s="14">
        <f t="shared" si="53"/>
        <v>-3294</v>
      </c>
      <c r="K691" s="1">
        <v>0.61</v>
      </c>
      <c r="L691">
        <v>4.2</v>
      </c>
      <c r="M691" s="2">
        <v>2262</v>
      </c>
      <c r="N691" t="s">
        <v>47</v>
      </c>
      <c r="O691">
        <f t="shared" si="54"/>
        <v>6</v>
      </c>
      <c r="P691" s="12" t="e">
        <f>HYPERLINK(#REF!,"Link")</f>
        <v>#REF!</v>
      </c>
      <c r="Q691" s="12" t="e">
        <f>HYPERLINK(#REF!,"Link")</f>
        <v>#REF!</v>
      </c>
    </row>
    <row r="692" spans="1:17" x14ac:dyDescent="0.3">
      <c r="A692" t="s">
        <v>1613</v>
      </c>
      <c r="B692" t="s">
        <v>1614</v>
      </c>
      <c r="C692" s="9" t="s">
        <v>3822</v>
      </c>
      <c r="D692" s="9"/>
      <c r="E692" s="14">
        <v>2990</v>
      </c>
      <c r="F692" s="3">
        <v>1598</v>
      </c>
      <c r="G692" s="3">
        <f t="shared" si="51"/>
        <v>5980</v>
      </c>
      <c r="H692" s="3">
        <f t="shared" si="50"/>
        <v>3196</v>
      </c>
      <c r="I692" s="14">
        <f t="shared" si="52"/>
        <v>2810.6</v>
      </c>
      <c r="J692" s="14">
        <f t="shared" si="53"/>
        <v>-2784</v>
      </c>
      <c r="K692" s="1">
        <v>0.47</v>
      </c>
      <c r="L692">
        <v>3.8</v>
      </c>
      <c r="M692" s="2">
        <v>11015</v>
      </c>
      <c r="N692" t="s">
        <v>1615</v>
      </c>
      <c r="O692">
        <f t="shared" si="54"/>
        <v>2</v>
      </c>
      <c r="P692" s="12" t="e">
        <f>HYPERLINK(#REF!,"Link")</f>
        <v>#REF!</v>
      </c>
      <c r="Q692" s="12" t="e">
        <f>HYPERLINK(#REF!,"Link")</f>
        <v>#REF!</v>
      </c>
    </row>
    <row r="693" spans="1:17" x14ac:dyDescent="0.3">
      <c r="A693" t="s">
        <v>1616</v>
      </c>
      <c r="B693" t="s">
        <v>1617</v>
      </c>
      <c r="C693" s="10" t="s">
        <v>3823</v>
      </c>
      <c r="D693" s="10"/>
      <c r="E693" s="14">
        <v>899</v>
      </c>
      <c r="F693" s="3">
        <v>599</v>
      </c>
      <c r="G693" s="3">
        <f t="shared" si="51"/>
        <v>899</v>
      </c>
      <c r="H693" s="3">
        <f t="shared" si="50"/>
        <v>599</v>
      </c>
      <c r="I693" s="14">
        <f t="shared" si="52"/>
        <v>296.67</v>
      </c>
      <c r="J693" s="14">
        <f t="shared" si="53"/>
        <v>-300</v>
      </c>
      <c r="K693" s="1">
        <v>0.33</v>
      </c>
      <c r="L693">
        <v>4.3</v>
      </c>
      <c r="M693" s="2">
        <v>95116</v>
      </c>
      <c r="N693" t="s">
        <v>1618</v>
      </c>
      <c r="O693">
        <f t="shared" si="54"/>
        <v>1</v>
      </c>
      <c r="P693" s="12" t="e">
        <f>HYPERLINK(#REF!,"Link")</f>
        <v>#REF!</v>
      </c>
      <c r="Q693" s="12" t="e">
        <f>HYPERLINK(#REF!,"Link")</f>
        <v>#REF!</v>
      </c>
    </row>
    <row r="694" spans="1:17" x14ac:dyDescent="0.3">
      <c r="A694" t="s">
        <v>48</v>
      </c>
      <c r="B694" t="s">
        <v>22</v>
      </c>
      <c r="C694" s="9" t="s">
        <v>3752</v>
      </c>
      <c r="D694" s="9" t="s">
        <v>3824</v>
      </c>
      <c r="E694" s="14">
        <v>399</v>
      </c>
      <c r="F694" s="3">
        <v>159</v>
      </c>
      <c r="G694" s="3">
        <f t="shared" si="51"/>
        <v>798</v>
      </c>
      <c r="H694" s="3">
        <f t="shared" si="50"/>
        <v>318</v>
      </c>
      <c r="I694" s="14">
        <f t="shared" si="52"/>
        <v>478.79999999999995</v>
      </c>
      <c r="J694" s="14">
        <f t="shared" si="53"/>
        <v>-480</v>
      </c>
      <c r="K694" s="1">
        <v>0.6</v>
      </c>
      <c r="L694">
        <v>4.0999999999999996</v>
      </c>
      <c r="M694" s="2">
        <v>4768</v>
      </c>
      <c r="N694" t="s">
        <v>49</v>
      </c>
      <c r="O694">
        <f t="shared" si="54"/>
        <v>2</v>
      </c>
      <c r="P694" s="12" t="e">
        <f>HYPERLINK(#REF!,"Link")</f>
        <v>#REF!</v>
      </c>
      <c r="Q694" s="12" t="e">
        <f>HYPERLINK(#REF!,"Link")</f>
        <v>#REF!</v>
      </c>
    </row>
    <row r="695" spans="1:17" x14ac:dyDescent="0.3">
      <c r="A695" t="s">
        <v>1619</v>
      </c>
      <c r="B695" t="s">
        <v>1584</v>
      </c>
      <c r="C695" s="10" t="s">
        <v>3748</v>
      </c>
      <c r="D695" s="10" t="s">
        <v>3759</v>
      </c>
      <c r="E695" s="14">
        <v>3000</v>
      </c>
      <c r="F695" s="3">
        <v>1299</v>
      </c>
      <c r="G695" s="3">
        <f t="shared" si="51"/>
        <v>18000</v>
      </c>
      <c r="H695" s="3">
        <f t="shared" si="50"/>
        <v>7794</v>
      </c>
      <c r="I695" s="14">
        <f t="shared" si="52"/>
        <v>10259.999999999998</v>
      </c>
      <c r="J695" s="14">
        <f t="shared" si="53"/>
        <v>-10206</v>
      </c>
      <c r="K695" s="1">
        <v>0.56999999999999995</v>
      </c>
      <c r="L695">
        <v>4.3</v>
      </c>
      <c r="M695" s="2">
        <v>23022</v>
      </c>
      <c r="N695" t="s">
        <v>1620</v>
      </c>
      <c r="O695">
        <f t="shared" si="54"/>
        <v>6</v>
      </c>
      <c r="P695" s="12" t="e">
        <f>HYPERLINK(#REF!,"Link")</f>
        <v>#REF!</v>
      </c>
      <c r="Q695" s="12" t="e">
        <f>HYPERLINK(#REF!,"Link")</f>
        <v>#REF!</v>
      </c>
    </row>
    <row r="696" spans="1:17" x14ac:dyDescent="0.3">
      <c r="A696" t="s">
        <v>1108</v>
      </c>
      <c r="B696" t="s">
        <v>1109</v>
      </c>
      <c r="C696" s="9" t="s">
        <v>3816</v>
      </c>
      <c r="D696" s="9" t="s">
        <v>3825</v>
      </c>
      <c r="E696" s="14">
        <v>4999</v>
      </c>
      <c r="F696" s="3">
        <v>1599</v>
      </c>
      <c r="G696" s="3">
        <f t="shared" si="51"/>
        <v>9998</v>
      </c>
      <c r="H696" s="3">
        <f t="shared" si="50"/>
        <v>3198</v>
      </c>
      <c r="I696" s="14">
        <f t="shared" si="52"/>
        <v>6798.64</v>
      </c>
      <c r="J696" s="14">
        <f t="shared" si="53"/>
        <v>-6800</v>
      </c>
      <c r="K696" s="1">
        <v>0.68</v>
      </c>
      <c r="L696">
        <v>4</v>
      </c>
      <c r="M696" s="2">
        <v>67951</v>
      </c>
      <c r="N696" t="s">
        <v>1110</v>
      </c>
      <c r="O696">
        <f t="shared" si="54"/>
        <v>2</v>
      </c>
      <c r="P696" s="12" t="e">
        <f>HYPERLINK(#REF!,"Link")</f>
        <v>#REF!</v>
      </c>
      <c r="Q696" s="12" t="e">
        <f>HYPERLINK(#REF!,"Link")</f>
        <v>#REF!</v>
      </c>
    </row>
    <row r="697" spans="1:17" x14ac:dyDescent="0.3">
      <c r="A697" t="s">
        <v>1621</v>
      </c>
      <c r="B697" t="s">
        <v>1622</v>
      </c>
      <c r="C697" s="10" t="s">
        <v>3768</v>
      </c>
      <c r="D697" s="10" t="s">
        <v>3826</v>
      </c>
      <c r="E697" s="14">
        <v>4999</v>
      </c>
      <c r="F697" s="3">
        <v>294</v>
      </c>
      <c r="G697" s="3">
        <f t="shared" si="51"/>
        <v>4999</v>
      </c>
      <c r="H697" s="3">
        <f t="shared" si="50"/>
        <v>294</v>
      </c>
      <c r="I697" s="14">
        <f t="shared" si="52"/>
        <v>4699.0599999999995</v>
      </c>
      <c r="J697" s="14">
        <f t="shared" si="53"/>
        <v>-4705</v>
      </c>
      <c r="K697" s="1">
        <v>0.94</v>
      </c>
      <c r="L697">
        <v>4.3</v>
      </c>
      <c r="M697" s="2">
        <v>4426</v>
      </c>
      <c r="N697" t="s">
        <v>1623</v>
      </c>
      <c r="O697">
        <f t="shared" si="54"/>
        <v>1</v>
      </c>
      <c r="P697" s="12" t="e">
        <f>HYPERLINK(#REF!,"Link")</f>
        <v>#REF!</v>
      </c>
      <c r="Q697" s="12" t="e">
        <f>HYPERLINK(#REF!,"Link")</f>
        <v>#REF!</v>
      </c>
    </row>
    <row r="698" spans="1:17" x14ac:dyDescent="0.3">
      <c r="A698" t="s">
        <v>1624</v>
      </c>
      <c r="B698" t="s">
        <v>1625</v>
      </c>
      <c r="C698" s="9" t="s">
        <v>3768</v>
      </c>
      <c r="D698" s="9"/>
      <c r="E698" s="14">
        <v>861</v>
      </c>
      <c r="F698" s="3">
        <v>828</v>
      </c>
      <c r="G698" s="3">
        <f t="shared" si="51"/>
        <v>3444</v>
      </c>
      <c r="H698" s="3">
        <f t="shared" si="50"/>
        <v>3312</v>
      </c>
      <c r="I698" s="14">
        <f t="shared" si="52"/>
        <v>137.76</v>
      </c>
      <c r="J698" s="14">
        <f t="shared" si="53"/>
        <v>-132</v>
      </c>
      <c r="K698" s="1">
        <v>0.04</v>
      </c>
      <c r="L698">
        <v>4.2</v>
      </c>
      <c r="M698" s="2">
        <v>4567</v>
      </c>
      <c r="N698" t="s">
        <v>1626</v>
      </c>
      <c r="O698">
        <f t="shared" si="54"/>
        <v>4</v>
      </c>
      <c r="P698" s="12" t="e">
        <f>HYPERLINK(#REF!,"Link")</f>
        <v>#REF!</v>
      </c>
      <c r="Q698" s="12" t="e">
        <f>HYPERLINK(#REF!,"Link")</f>
        <v>#REF!</v>
      </c>
    </row>
    <row r="699" spans="1:17" x14ac:dyDescent="0.3">
      <c r="A699" t="s">
        <v>1627</v>
      </c>
      <c r="B699" t="s">
        <v>1628</v>
      </c>
      <c r="C699" s="10" t="s">
        <v>3812</v>
      </c>
      <c r="D699" s="10" t="s">
        <v>3760</v>
      </c>
      <c r="E699" s="14">
        <v>795</v>
      </c>
      <c r="F699" s="3">
        <v>745</v>
      </c>
      <c r="G699" s="3">
        <f t="shared" si="51"/>
        <v>3180</v>
      </c>
      <c r="H699" s="3">
        <f t="shared" si="50"/>
        <v>2980</v>
      </c>
      <c r="I699" s="14">
        <f t="shared" si="52"/>
        <v>190.79999999999998</v>
      </c>
      <c r="J699" s="14">
        <f t="shared" si="53"/>
        <v>-200</v>
      </c>
      <c r="K699" s="1">
        <v>0.06</v>
      </c>
      <c r="L699">
        <v>4</v>
      </c>
      <c r="M699" s="2">
        <v>13797</v>
      </c>
      <c r="N699" t="s">
        <v>1629</v>
      </c>
      <c r="O699">
        <f t="shared" si="54"/>
        <v>4</v>
      </c>
      <c r="P699" s="12" t="e">
        <f>HYPERLINK(#REF!,"Link")</f>
        <v>#REF!</v>
      </c>
      <c r="Q699" s="12" t="e">
        <f>HYPERLINK(#REF!,"Link")</f>
        <v>#REF!</v>
      </c>
    </row>
    <row r="700" spans="1:17" x14ac:dyDescent="0.3">
      <c r="A700" t="s">
        <v>1630</v>
      </c>
      <c r="B700" t="s">
        <v>1631</v>
      </c>
      <c r="C700" s="9" t="s">
        <v>3827</v>
      </c>
      <c r="D700" s="9"/>
      <c r="E700" s="14">
        <v>2495</v>
      </c>
      <c r="F700" s="3">
        <v>1549</v>
      </c>
      <c r="G700" s="3">
        <f t="shared" si="51"/>
        <v>4990</v>
      </c>
      <c r="H700" s="3">
        <f t="shared" si="50"/>
        <v>3098</v>
      </c>
      <c r="I700" s="14">
        <f t="shared" si="52"/>
        <v>1896.2</v>
      </c>
      <c r="J700" s="14">
        <f t="shared" si="53"/>
        <v>-1892</v>
      </c>
      <c r="K700" s="1">
        <v>0.38</v>
      </c>
      <c r="L700">
        <v>4.4000000000000004</v>
      </c>
      <c r="M700" s="2">
        <v>15137</v>
      </c>
      <c r="N700" t="s">
        <v>1632</v>
      </c>
      <c r="O700">
        <f t="shared" si="54"/>
        <v>2</v>
      </c>
      <c r="P700" s="12" t="e">
        <f>HYPERLINK(#REF!,"Link")</f>
        <v>#REF!</v>
      </c>
      <c r="Q700" s="12" t="e">
        <f>HYPERLINK(#REF!,"Link")</f>
        <v>#REF!</v>
      </c>
    </row>
    <row r="701" spans="1:17" x14ac:dyDescent="0.3">
      <c r="A701" t="s">
        <v>50</v>
      </c>
      <c r="B701" t="s">
        <v>51</v>
      </c>
      <c r="C701" s="10" t="s">
        <v>3779</v>
      </c>
      <c r="D701" s="10" t="s">
        <v>3828</v>
      </c>
      <c r="E701" s="14">
        <v>399</v>
      </c>
      <c r="F701" s="3">
        <v>349</v>
      </c>
      <c r="G701" s="3">
        <f t="shared" si="51"/>
        <v>399</v>
      </c>
      <c r="H701" s="3">
        <f t="shared" si="50"/>
        <v>349</v>
      </c>
      <c r="I701" s="14">
        <f t="shared" si="52"/>
        <v>51.870000000000005</v>
      </c>
      <c r="J701" s="14">
        <f t="shared" si="53"/>
        <v>-50</v>
      </c>
      <c r="K701" s="1">
        <v>0.13</v>
      </c>
      <c r="L701">
        <v>4.4000000000000004</v>
      </c>
      <c r="M701" s="2">
        <v>18757</v>
      </c>
      <c r="N701" t="s">
        <v>52</v>
      </c>
      <c r="O701">
        <f t="shared" si="54"/>
        <v>1</v>
      </c>
      <c r="P701" s="12" t="e">
        <f>HYPERLINK(#REF!,"Link")</f>
        <v>#REF!</v>
      </c>
      <c r="Q701" s="12" t="e">
        <f>HYPERLINK(#REF!,"Link")</f>
        <v>#REF!</v>
      </c>
    </row>
    <row r="702" spans="1:17" x14ac:dyDescent="0.3">
      <c r="A702" t="s">
        <v>63</v>
      </c>
      <c r="B702" t="s">
        <v>64</v>
      </c>
      <c r="C702" s="9" t="s">
        <v>3829</v>
      </c>
      <c r="D702" s="9"/>
      <c r="E702" s="14">
        <v>1799</v>
      </c>
      <c r="F702" s="3">
        <v>970</v>
      </c>
      <c r="G702" s="3">
        <f t="shared" si="51"/>
        <v>3598</v>
      </c>
      <c r="H702" s="3">
        <f t="shared" si="50"/>
        <v>1940</v>
      </c>
      <c r="I702" s="14">
        <f t="shared" si="52"/>
        <v>1655.0800000000002</v>
      </c>
      <c r="J702" s="14">
        <f t="shared" si="53"/>
        <v>-1658</v>
      </c>
      <c r="K702" s="1">
        <v>0.46</v>
      </c>
      <c r="L702">
        <v>4.5</v>
      </c>
      <c r="M702">
        <v>815</v>
      </c>
      <c r="N702" t="s">
        <v>65</v>
      </c>
      <c r="O702">
        <f t="shared" si="54"/>
        <v>2</v>
      </c>
      <c r="P702" s="12" t="e">
        <f>HYPERLINK(#REF!,"Link")</f>
        <v>#REF!</v>
      </c>
      <c r="Q702" s="12" t="e">
        <f>HYPERLINK(#REF!,"Link")</f>
        <v>#REF!</v>
      </c>
    </row>
    <row r="703" spans="1:17" x14ac:dyDescent="0.3">
      <c r="A703" t="s">
        <v>1633</v>
      </c>
      <c r="B703" t="s">
        <v>1634</v>
      </c>
      <c r="C703" s="10" t="s">
        <v>3744</v>
      </c>
      <c r="D703" s="10" t="s">
        <v>3830</v>
      </c>
      <c r="E703" s="14">
        <v>2499</v>
      </c>
      <c r="F703" s="3">
        <v>1469</v>
      </c>
      <c r="G703" s="3">
        <f t="shared" si="51"/>
        <v>2499</v>
      </c>
      <c r="H703" s="3">
        <f t="shared" si="50"/>
        <v>1469</v>
      </c>
      <c r="I703" s="14">
        <f t="shared" si="52"/>
        <v>1024.5899999999999</v>
      </c>
      <c r="J703" s="14">
        <f t="shared" si="53"/>
        <v>-1030</v>
      </c>
      <c r="K703" s="1">
        <v>0.41</v>
      </c>
      <c r="L703">
        <v>4.2</v>
      </c>
      <c r="M703" s="2">
        <v>156638</v>
      </c>
      <c r="N703" t="s">
        <v>1635</v>
      </c>
      <c r="O703">
        <f t="shared" si="54"/>
        <v>1</v>
      </c>
      <c r="P703" s="12" t="e">
        <f>HYPERLINK(#REF!,"Link")</f>
        <v>#REF!</v>
      </c>
      <c r="Q703" s="12" t="e">
        <f>HYPERLINK(#REF!,"Link")</f>
        <v>#REF!</v>
      </c>
    </row>
    <row r="704" spans="1:17" x14ac:dyDescent="0.3">
      <c r="A704" t="s">
        <v>1636</v>
      </c>
      <c r="B704" t="s">
        <v>1637</v>
      </c>
      <c r="C704" s="9" t="s">
        <v>3831</v>
      </c>
      <c r="D704" s="9"/>
      <c r="E704" s="14">
        <v>800</v>
      </c>
      <c r="F704" s="3">
        <v>198</v>
      </c>
      <c r="G704" s="3">
        <f t="shared" si="51"/>
        <v>4000</v>
      </c>
      <c r="H704" s="3">
        <f t="shared" si="50"/>
        <v>990</v>
      </c>
      <c r="I704" s="14">
        <f t="shared" si="52"/>
        <v>3000</v>
      </c>
      <c r="J704" s="14">
        <f t="shared" si="53"/>
        <v>-3010</v>
      </c>
      <c r="K704" s="1">
        <v>0.75</v>
      </c>
      <c r="L704">
        <v>4.0999999999999996</v>
      </c>
      <c r="M704" s="2">
        <v>9344</v>
      </c>
      <c r="N704" t="s">
        <v>1638</v>
      </c>
      <c r="O704">
        <f t="shared" si="54"/>
        <v>5</v>
      </c>
      <c r="P704" s="12" t="e">
        <f>HYPERLINK(#REF!,"Link")</f>
        <v>#REF!</v>
      </c>
      <c r="Q704" s="12" t="e">
        <f>HYPERLINK(#REF!,"Link")</f>
        <v>#REF!</v>
      </c>
    </row>
    <row r="705" spans="1:17" x14ac:dyDescent="0.3">
      <c r="A705" t="s">
        <v>1639</v>
      </c>
      <c r="B705" t="s">
        <v>1640</v>
      </c>
      <c r="C705" s="10" t="s">
        <v>3768</v>
      </c>
      <c r="D705" s="10" t="s">
        <v>3832</v>
      </c>
      <c r="E705" s="14">
        <v>549</v>
      </c>
      <c r="F705" s="3">
        <v>549</v>
      </c>
      <c r="G705" s="3">
        <f t="shared" si="51"/>
        <v>2196</v>
      </c>
      <c r="H705" s="3">
        <f t="shared" si="50"/>
        <v>2196</v>
      </c>
      <c r="I705" s="14">
        <f t="shared" si="52"/>
        <v>0</v>
      </c>
      <c r="J705" s="14">
        <f t="shared" si="53"/>
        <v>0</v>
      </c>
      <c r="K705" s="1">
        <v>0</v>
      </c>
      <c r="L705">
        <v>4.5</v>
      </c>
      <c r="M705" s="2">
        <v>4875</v>
      </c>
      <c r="N705" t="s">
        <v>1641</v>
      </c>
      <c r="O705">
        <f t="shared" si="54"/>
        <v>4</v>
      </c>
      <c r="P705" s="12" t="e">
        <f>HYPERLINK(#REF!,"Link")</f>
        <v>#REF!</v>
      </c>
      <c r="Q705" s="12" t="e">
        <f>HYPERLINK(#REF!,"Link")</f>
        <v>#REF!</v>
      </c>
    </row>
    <row r="706" spans="1:17" x14ac:dyDescent="0.3">
      <c r="A706" t="s">
        <v>1152</v>
      </c>
      <c r="B706" t="s">
        <v>1153</v>
      </c>
      <c r="C706" s="9" t="s">
        <v>3816</v>
      </c>
      <c r="D706" s="9" t="s">
        <v>3833</v>
      </c>
      <c r="E706" s="14">
        <v>9999</v>
      </c>
      <c r="F706" s="3">
        <v>2999</v>
      </c>
      <c r="G706" s="3">
        <f t="shared" si="51"/>
        <v>39996</v>
      </c>
      <c r="H706" s="3">
        <f t="shared" ref="H706:H769" si="55">F706*O706</f>
        <v>11996</v>
      </c>
      <c r="I706" s="14">
        <f t="shared" si="52"/>
        <v>27997.199999999997</v>
      </c>
      <c r="J706" s="14">
        <f t="shared" si="53"/>
        <v>-28000</v>
      </c>
      <c r="K706" s="1">
        <v>0.7</v>
      </c>
      <c r="L706">
        <v>4.2</v>
      </c>
      <c r="M706" s="2">
        <v>20881</v>
      </c>
      <c r="N706" t="s">
        <v>1154</v>
      </c>
      <c r="O706">
        <f t="shared" si="54"/>
        <v>4</v>
      </c>
      <c r="P706" s="12" t="e">
        <f>HYPERLINK(#REF!,"Link")</f>
        <v>#REF!</v>
      </c>
      <c r="Q706" s="12" t="e">
        <f>HYPERLINK(#REF!,"Link")</f>
        <v>#REF!</v>
      </c>
    </row>
    <row r="707" spans="1:17" x14ac:dyDescent="0.3">
      <c r="A707" t="s">
        <v>1642</v>
      </c>
      <c r="B707" t="s">
        <v>1643</v>
      </c>
      <c r="C707" s="10" t="s">
        <v>3729</v>
      </c>
      <c r="D707" s="10" t="s">
        <v>3834</v>
      </c>
      <c r="E707" s="14">
        <v>29999</v>
      </c>
      <c r="F707" s="3">
        <v>12000</v>
      </c>
      <c r="G707" s="3">
        <f t="shared" ref="G707:G770" si="56">E707*O707</f>
        <v>59998</v>
      </c>
      <c r="H707" s="3">
        <f t="shared" si="55"/>
        <v>24000</v>
      </c>
      <c r="I707" s="14">
        <f t="shared" ref="I707:I770" si="57">(E707*K707)*O707</f>
        <v>35998.799999999996</v>
      </c>
      <c r="J707" s="14">
        <f t="shared" ref="J707:J770" si="58">H707-G707</f>
        <v>-35998</v>
      </c>
      <c r="K707" s="1">
        <v>0.6</v>
      </c>
      <c r="L707">
        <v>4.3</v>
      </c>
      <c r="M707" s="2">
        <v>4744</v>
      </c>
      <c r="N707" t="s">
        <v>1644</v>
      </c>
      <c r="O707">
        <f t="shared" ref="O707:O770" si="59">LEN(N707)-LEN(SUBSTITUTE(N707,",",""))+1</f>
        <v>2</v>
      </c>
      <c r="P707" s="12" t="e">
        <f>HYPERLINK(#REF!,"Link")</f>
        <v>#REF!</v>
      </c>
      <c r="Q707" s="12" t="e">
        <f>HYPERLINK(#REF!,"Link")</f>
        <v>#REF!</v>
      </c>
    </row>
    <row r="708" spans="1:17" x14ac:dyDescent="0.3">
      <c r="A708" t="s">
        <v>1645</v>
      </c>
      <c r="B708" t="s">
        <v>1646</v>
      </c>
      <c r="C708" s="9" t="s">
        <v>3812</v>
      </c>
      <c r="D708" s="9" t="s">
        <v>3835</v>
      </c>
      <c r="E708" s="14">
        <v>3499</v>
      </c>
      <c r="F708" s="3">
        <v>1299</v>
      </c>
      <c r="G708" s="3">
        <f t="shared" si="56"/>
        <v>17495</v>
      </c>
      <c r="H708" s="3">
        <f t="shared" si="55"/>
        <v>6495</v>
      </c>
      <c r="I708" s="14">
        <f t="shared" si="57"/>
        <v>11021.849999999999</v>
      </c>
      <c r="J708" s="14">
        <f t="shared" si="58"/>
        <v>-11000</v>
      </c>
      <c r="K708" s="1">
        <v>0.63</v>
      </c>
      <c r="L708">
        <v>3.9</v>
      </c>
      <c r="M708" s="2">
        <v>12452</v>
      </c>
      <c r="N708" t="s">
        <v>1647</v>
      </c>
      <c r="O708">
        <f t="shared" si="59"/>
        <v>5</v>
      </c>
      <c r="P708" s="12" t="e">
        <f>HYPERLINK(#REF!,"Link")</f>
        <v>#REF!</v>
      </c>
      <c r="Q708" s="12" t="e">
        <f>HYPERLINK(#REF!,"Link")</f>
        <v>#REF!</v>
      </c>
    </row>
    <row r="709" spans="1:17" x14ac:dyDescent="0.3">
      <c r="A709" t="s">
        <v>1648</v>
      </c>
      <c r="B709" t="s">
        <v>1649</v>
      </c>
      <c r="C709" s="10" t="s">
        <v>3836</v>
      </c>
      <c r="D709" s="10" t="s">
        <v>3837</v>
      </c>
      <c r="E709" s="14">
        <v>315</v>
      </c>
      <c r="F709" s="3">
        <v>269</v>
      </c>
      <c r="G709" s="3">
        <f t="shared" si="56"/>
        <v>630</v>
      </c>
      <c r="H709" s="3">
        <f t="shared" si="55"/>
        <v>538</v>
      </c>
      <c r="I709" s="14">
        <f t="shared" si="57"/>
        <v>94.5</v>
      </c>
      <c r="J709" s="14">
        <f t="shared" si="58"/>
        <v>-92</v>
      </c>
      <c r="K709" s="1">
        <v>0.15</v>
      </c>
      <c r="L709">
        <v>4.5</v>
      </c>
      <c r="M709" s="2">
        <v>17810</v>
      </c>
      <c r="N709" t="s">
        <v>1650</v>
      </c>
      <c r="O709">
        <f t="shared" si="59"/>
        <v>2</v>
      </c>
      <c r="P709" s="12" t="e">
        <f>HYPERLINK(#REF!,"Link")</f>
        <v>#REF!</v>
      </c>
      <c r="Q709" s="12" t="e">
        <f>HYPERLINK(#REF!,"Link")</f>
        <v>#REF!</v>
      </c>
    </row>
    <row r="710" spans="1:17" x14ac:dyDescent="0.3">
      <c r="A710" t="s">
        <v>1651</v>
      </c>
      <c r="B710" t="s">
        <v>1652</v>
      </c>
      <c r="C710" s="9" t="s">
        <v>3838</v>
      </c>
      <c r="D710" s="9"/>
      <c r="E710" s="14">
        <v>1499</v>
      </c>
      <c r="F710" s="3">
        <v>799</v>
      </c>
      <c r="G710" s="3">
        <f t="shared" si="56"/>
        <v>2998</v>
      </c>
      <c r="H710" s="3">
        <f t="shared" si="55"/>
        <v>1598</v>
      </c>
      <c r="I710" s="14">
        <f t="shared" si="57"/>
        <v>1409.06</v>
      </c>
      <c r="J710" s="14">
        <f t="shared" si="58"/>
        <v>-1400</v>
      </c>
      <c r="K710" s="1">
        <v>0.47</v>
      </c>
      <c r="L710">
        <v>4.0999999999999996</v>
      </c>
      <c r="M710" s="2">
        <v>53648</v>
      </c>
      <c r="N710" t="s">
        <v>1653</v>
      </c>
      <c r="O710">
        <f t="shared" si="59"/>
        <v>2</v>
      </c>
      <c r="P710" s="12" t="e">
        <f>HYPERLINK(#REF!,"Link")</f>
        <v>#REF!</v>
      </c>
      <c r="Q710" s="12" t="e">
        <f>HYPERLINK(#REF!,"Link")</f>
        <v>#REF!</v>
      </c>
    </row>
    <row r="711" spans="1:17" x14ac:dyDescent="0.3">
      <c r="A711" t="s">
        <v>1654</v>
      </c>
      <c r="B711" t="s">
        <v>1655</v>
      </c>
      <c r="C711" s="10" t="s">
        <v>3839</v>
      </c>
      <c r="D711" s="10"/>
      <c r="E711" s="14">
        <v>13750</v>
      </c>
      <c r="F711" s="3">
        <v>6299</v>
      </c>
      <c r="G711" s="3">
        <f t="shared" si="56"/>
        <v>27500</v>
      </c>
      <c r="H711" s="3">
        <f t="shared" si="55"/>
        <v>12598</v>
      </c>
      <c r="I711" s="14">
        <f t="shared" si="57"/>
        <v>14850.000000000002</v>
      </c>
      <c r="J711" s="14">
        <f t="shared" si="58"/>
        <v>-14902</v>
      </c>
      <c r="K711" s="1">
        <v>0.54</v>
      </c>
      <c r="L711">
        <v>4.2</v>
      </c>
      <c r="M711" s="2">
        <v>2014</v>
      </c>
      <c r="N711" t="s">
        <v>1656</v>
      </c>
      <c r="O711">
        <f t="shared" si="59"/>
        <v>2</v>
      </c>
      <c r="P711" s="12" t="e">
        <f>HYPERLINK(#REF!,"Link")</f>
        <v>#REF!</v>
      </c>
      <c r="Q711" s="12" t="e">
        <f>HYPERLINK(#REF!,"Link")</f>
        <v>#REF!</v>
      </c>
    </row>
    <row r="712" spans="1:17" x14ac:dyDescent="0.3">
      <c r="A712" t="s">
        <v>1657</v>
      </c>
      <c r="B712" t="s">
        <v>1658</v>
      </c>
      <c r="C712" s="9" t="s">
        <v>3836</v>
      </c>
      <c r="D712" s="9" t="s">
        <v>3837</v>
      </c>
      <c r="E712" s="14">
        <v>59</v>
      </c>
      <c r="F712" s="3">
        <v>59</v>
      </c>
      <c r="G712" s="3">
        <f t="shared" si="56"/>
        <v>59</v>
      </c>
      <c r="H712" s="3">
        <f t="shared" si="55"/>
        <v>59</v>
      </c>
      <c r="I712" s="14">
        <f t="shared" si="57"/>
        <v>0</v>
      </c>
      <c r="J712" s="14">
        <f t="shared" si="58"/>
        <v>0</v>
      </c>
      <c r="K712" s="1">
        <v>0</v>
      </c>
      <c r="L712">
        <v>3.8</v>
      </c>
      <c r="M712" s="2">
        <v>5958</v>
      </c>
      <c r="N712" t="s">
        <v>1659</v>
      </c>
      <c r="O712">
        <f t="shared" si="59"/>
        <v>1</v>
      </c>
      <c r="P712" s="12" t="e">
        <f>HYPERLINK(#REF!,"Link")</f>
        <v>#REF!</v>
      </c>
      <c r="Q712" s="12" t="e">
        <f>HYPERLINK(#REF!,"Link")</f>
        <v>#REF!</v>
      </c>
    </row>
    <row r="713" spans="1:17" x14ac:dyDescent="0.3">
      <c r="A713" t="s">
        <v>1660</v>
      </c>
      <c r="B713" t="s">
        <v>1661</v>
      </c>
      <c r="C713" s="10" t="s">
        <v>3725</v>
      </c>
      <c r="D713" s="10" t="s">
        <v>3726</v>
      </c>
      <c r="E713" s="14">
        <v>999</v>
      </c>
      <c r="F713" s="3">
        <v>571</v>
      </c>
      <c r="G713" s="3">
        <f t="shared" si="56"/>
        <v>6993</v>
      </c>
      <c r="H713" s="3">
        <f t="shared" si="55"/>
        <v>3997</v>
      </c>
      <c r="I713" s="14">
        <f t="shared" si="57"/>
        <v>3006.99</v>
      </c>
      <c r="J713" s="14">
        <f t="shared" si="58"/>
        <v>-2996</v>
      </c>
      <c r="K713" s="1">
        <v>0.43</v>
      </c>
      <c r="L713">
        <v>4.3</v>
      </c>
      <c r="M713" s="2">
        <v>38221</v>
      </c>
      <c r="N713" t="s">
        <v>1662</v>
      </c>
      <c r="O713">
        <f t="shared" si="59"/>
        <v>7</v>
      </c>
      <c r="P713" s="12" t="e">
        <f>HYPERLINK(#REF!,"Link")</f>
        <v>#REF!</v>
      </c>
      <c r="Q713" s="12" t="e">
        <f>HYPERLINK(#REF!,"Link")</f>
        <v>#REF!</v>
      </c>
    </row>
    <row r="714" spans="1:17" x14ac:dyDescent="0.3">
      <c r="A714" t="s">
        <v>1663</v>
      </c>
      <c r="B714" t="s">
        <v>1664</v>
      </c>
      <c r="C714" s="9" t="s">
        <v>3816</v>
      </c>
      <c r="D714" s="9" t="s">
        <v>3840</v>
      </c>
      <c r="E714" s="14">
        <v>999</v>
      </c>
      <c r="F714" s="3">
        <v>549</v>
      </c>
      <c r="G714" s="3">
        <f t="shared" si="56"/>
        <v>1998</v>
      </c>
      <c r="H714" s="3">
        <f t="shared" si="55"/>
        <v>1098</v>
      </c>
      <c r="I714" s="14">
        <f t="shared" si="57"/>
        <v>899.1</v>
      </c>
      <c r="J714" s="14">
        <f t="shared" si="58"/>
        <v>-900</v>
      </c>
      <c r="K714" s="1">
        <v>0.45</v>
      </c>
      <c r="L714">
        <v>3.9</v>
      </c>
      <c r="M714" s="2">
        <v>64705</v>
      </c>
      <c r="N714" t="s">
        <v>1665</v>
      </c>
      <c r="O714">
        <f t="shared" si="59"/>
        <v>2</v>
      </c>
      <c r="P714" s="12" t="e">
        <f>HYPERLINK(#REF!,"Link")</f>
        <v>#REF!</v>
      </c>
      <c r="Q714" s="12" t="e">
        <f>HYPERLINK(#REF!,"Link")</f>
        <v>#REF!</v>
      </c>
    </row>
    <row r="715" spans="1:17" x14ac:dyDescent="0.3">
      <c r="A715" t="s">
        <v>1129</v>
      </c>
      <c r="B715" t="s">
        <v>1130</v>
      </c>
      <c r="C715" s="10" t="s">
        <v>3793</v>
      </c>
      <c r="D715" s="10" t="s">
        <v>3841</v>
      </c>
      <c r="E715" s="14">
        <v>5999</v>
      </c>
      <c r="F715" s="3">
        <v>2099</v>
      </c>
      <c r="G715" s="3">
        <f t="shared" si="56"/>
        <v>5999</v>
      </c>
      <c r="H715" s="3">
        <f t="shared" si="55"/>
        <v>2099</v>
      </c>
      <c r="I715" s="14">
        <f t="shared" si="57"/>
        <v>3899.35</v>
      </c>
      <c r="J715" s="14">
        <f t="shared" si="58"/>
        <v>-3900</v>
      </c>
      <c r="K715" s="1">
        <v>0.65</v>
      </c>
      <c r="L715">
        <v>4.3</v>
      </c>
      <c r="M715" s="2">
        <v>17129</v>
      </c>
      <c r="N715" t="s">
        <v>1131</v>
      </c>
      <c r="O715">
        <f t="shared" si="59"/>
        <v>1</v>
      </c>
      <c r="P715" s="12" t="e">
        <f>HYPERLINK(#REF!,"Link")</f>
        <v>#REF!</v>
      </c>
      <c r="Q715" s="12" t="e">
        <f>HYPERLINK(#REF!,"Link")</f>
        <v>#REF!</v>
      </c>
    </row>
    <row r="716" spans="1:17" x14ac:dyDescent="0.3">
      <c r="A716" t="s">
        <v>60</v>
      </c>
      <c r="B716" t="s">
        <v>61</v>
      </c>
      <c r="C716" s="9" t="s">
        <v>3744</v>
      </c>
      <c r="D716" s="9" t="s">
        <v>3842</v>
      </c>
      <c r="E716" s="14">
        <v>21990</v>
      </c>
      <c r="F716" s="3">
        <v>13490</v>
      </c>
      <c r="G716" s="3">
        <f t="shared" si="56"/>
        <v>65970</v>
      </c>
      <c r="H716" s="3">
        <f t="shared" si="55"/>
        <v>40470</v>
      </c>
      <c r="I716" s="14">
        <f t="shared" si="57"/>
        <v>25728.300000000003</v>
      </c>
      <c r="J716" s="14">
        <f t="shared" si="58"/>
        <v>-25500</v>
      </c>
      <c r="K716" s="1">
        <v>0.39</v>
      </c>
      <c r="L716">
        <v>4.3</v>
      </c>
      <c r="M716" s="2">
        <v>11976</v>
      </c>
      <c r="N716" t="s">
        <v>62</v>
      </c>
      <c r="O716">
        <f t="shared" si="59"/>
        <v>3</v>
      </c>
      <c r="P716" s="12" t="e">
        <f>HYPERLINK(#REF!,"Link")</f>
        <v>#REF!</v>
      </c>
      <c r="Q716" s="12" t="e">
        <f>HYPERLINK(#REF!,"Link")</f>
        <v>#REF!</v>
      </c>
    </row>
    <row r="717" spans="1:17" x14ac:dyDescent="0.3">
      <c r="A717" t="s">
        <v>1666</v>
      </c>
      <c r="B717" t="s">
        <v>1667</v>
      </c>
      <c r="C717" s="10" t="s">
        <v>3843</v>
      </c>
      <c r="D717" s="10"/>
      <c r="E717" s="14">
        <v>699</v>
      </c>
      <c r="F717" s="3">
        <v>448</v>
      </c>
      <c r="G717" s="3">
        <f t="shared" si="56"/>
        <v>2097</v>
      </c>
      <c r="H717" s="3">
        <f t="shared" si="55"/>
        <v>1344</v>
      </c>
      <c r="I717" s="14">
        <f t="shared" si="57"/>
        <v>754.92</v>
      </c>
      <c r="J717" s="14">
        <f t="shared" si="58"/>
        <v>-753</v>
      </c>
      <c r="K717" s="1">
        <v>0.36</v>
      </c>
      <c r="L717">
        <v>3.9</v>
      </c>
      <c r="M717" s="2">
        <v>17348</v>
      </c>
      <c r="N717" t="s">
        <v>1668</v>
      </c>
      <c r="O717">
        <f t="shared" si="59"/>
        <v>3</v>
      </c>
      <c r="P717" s="12" t="e">
        <f>HYPERLINK(#REF!,"Link")</f>
        <v>#REF!</v>
      </c>
      <c r="Q717" s="12" t="e">
        <f>HYPERLINK(#REF!,"Link")</f>
        <v>#REF!</v>
      </c>
    </row>
    <row r="718" spans="1:17" x14ac:dyDescent="0.3">
      <c r="A718" t="s">
        <v>1669</v>
      </c>
      <c r="B718" t="s">
        <v>1670</v>
      </c>
      <c r="C718" s="9" t="s">
        <v>3839</v>
      </c>
      <c r="D718" s="9" t="s">
        <v>3844</v>
      </c>
      <c r="E718" s="14">
        <v>2999</v>
      </c>
      <c r="F718" s="3">
        <v>1499</v>
      </c>
      <c r="G718" s="3">
        <f t="shared" si="56"/>
        <v>14995</v>
      </c>
      <c r="H718" s="3">
        <f t="shared" si="55"/>
        <v>7495</v>
      </c>
      <c r="I718" s="14">
        <f t="shared" si="57"/>
        <v>7497.5</v>
      </c>
      <c r="J718" s="14">
        <f t="shared" si="58"/>
        <v>-7500</v>
      </c>
      <c r="K718" s="1">
        <v>0.5</v>
      </c>
      <c r="L718">
        <v>3.7</v>
      </c>
      <c r="M718" s="2">
        <v>87798</v>
      </c>
      <c r="N718" t="s">
        <v>1671</v>
      </c>
      <c r="O718">
        <f t="shared" si="59"/>
        <v>5</v>
      </c>
      <c r="P718" s="12" t="e">
        <f>HYPERLINK(#REF!,"Link")</f>
        <v>#REF!</v>
      </c>
      <c r="Q718" s="12" t="e">
        <f>HYPERLINK(#REF!,"Link")</f>
        <v>#REF!</v>
      </c>
    </row>
    <row r="719" spans="1:17" x14ac:dyDescent="0.3">
      <c r="A719" t="s">
        <v>1672</v>
      </c>
      <c r="B719" t="s">
        <v>1673</v>
      </c>
      <c r="C719" s="10" t="s">
        <v>3845</v>
      </c>
      <c r="D719" s="10" t="s">
        <v>3846</v>
      </c>
      <c r="E719" s="14">
        <v>499</v>
      </c>
      <c r="F719" s="3">
        <v>299</v>
      </c>
      <c r="G719" s="3">
        <f t="shared" si="56"/>
        <v>998</v>
      </c>
      <c r="H719" s="3">
        <f t="shared" si="55"/>
        <v>598</v>
      </c>
      <c r="I719" s="14">
        <f t="shared" si="57"/>
        <v>399.20000000000005</v>
      </c>
      <c r="J719" s="14">
        <f t="shared" si="58"/>
        <v>-400</v>
      </c>
      <c r="K719" s="1">
        <v>0.4</v>
      </c>
      <c r="L719">
        <v>4.2</v>
      </c>
      <c r="M719" s="2">
        <v>24432</v>
      </c>
      <c r="N719" t="s">
        <v>1674</v>
      </c>
      <c r="O719">
        <f t="shared" si="59"/>
        <v>2</v>
      </c>
      <c r="P719" s="12" t="e">
        <f>HYPERLINK(#REF!,"Link")</f>
        <v>#REF!</v>
      </c>
      <c r="Q719" s="12" t="e">
        <f>HYPERLINK(#REF!,"Link")</f>
        <v>#REF!</v>
      </c>
    </row>
    <row r="720" spans="1:17" x14ac:dyDescent="0.3">
      <c r="A720" t="s">
        <v>1675</v>
      </c>
      <c r="B720" t="s">
        <v>1676</v>
      </c>
      <c r="C720" s="9" t="s">
        <v>3793</v>
      </c>
      <c r="D720" s="9" t="s">
        <v>3847</v>
      </c>
      <c r="E720" s="14">
        <v>1400</v>
      </c>
      <c r="F720" s="3">
        <v>579</v>
      </c>
      <c r="G720" s="3">
        <f t="shared" si="56"/>
        <v>4200</v>
      </c>
      <c r="H720" s="3">
        <f t="shared" si="55"/>
        <v>1737</v>
      </c>
      <c r="I720" s="14">
        <f t="shared" si="57"/>
        <v>2478</v>
      </c>
      <c r="J720" s="14">
        <f t="shared" si="58"/>
        <v>-2463</v>
      </c>
      <c r="K720" s="1">
        <v>0.59</v>
      </c>
      <c r="L720">
        <v>4.3</v>
      </c>
      <c r="M720" s="2">
        <v>189104</v>
      </c>
      <c r="N720" t="s">
        <v>1677</v>
      </c>
      <c r="O720">
        <f t="shared" si="59"/>
        <v>3</v>
      </c>
      <c r="P720" s="12" t="e">
        <f>HYPERLINK(#REF!,"Link")</f>
        <v>#REF!</v>
      </c>
      <c r="Q720" s="12" t="e">
        <f>HYPERLINK(#REF!,"Link")</f>
        <v>#REF!</v>
      </c>
    </row>
    <row r="721" spans="1:17" x14ac:dyDescent="0.3">
      <c r="A721" t="s">
        <v>1678</v>
      </c>
      <c r="B721" t="s">
        <v>1679</v>
      </c>
      <c r="C721" s="10" t="s">
        <v>3848</v>
      </c>
      <c r="D721" s="10"/>
      <c r="E721" s="14">
        <v>3299</v>
      </c>
      <c r="F721" s="3">
        <v>2499</v>
      </c>
      <c r="G721" s="3">
        <f t="shared" si="56"/>
        <v>26392</v>
      </c>
      <c r="H721" s="3">
        <f t="shared" si="55"/>
        <v>19992</v>
      </c>
      <c r="I721" s="14">
        <f t="shared" si="57"/>
        <v>6334.08</v>
      </c>
      <c r="J721" s="14">
        <f t="shared" si="58"/>
        <v>-6400</v>
      </c>
      <c r="K721" s="1">
        <v>0.24</v>
      </c>
      <c r="L721">
        <v>4.2</v>
      </c>
      <c r="M721" s="2">
        <v>93112</v>
      </c>
      <c r="N721" t="s">
        <v>1680</v>
      </c>
      <c r="O721">
        <f t="shared" si="59"/>
        <v>8</v>
      </c>
      <c r="P721" s="12" t="e">
        <f>HYPERLINK(#REF!,"Link")</f>
        <v>#REF!</v>
      </c>
      <c r="Q721" s="12" t="e">
        <f>HYPERLINK(#REF!,"Link")</f>
        <v>#REF!</v>
      </c>
    </row>
    <row r="722" spans="1:17" x14ac:dyDescent="0.3">
      <c r="A722" t="s">
        <v>1681</v>
      </c>
      <c r="B722" t="s">
        <v>1682</v>
      </c>
      <c r="C722" s="9" t="s">
        <v>3727</v>
      </c>
      <c r="D722" s="9" t="s">
        <v>3849</v>
      </c>
      <c r="E722" s="14">
        <v>5999</v>
      </c>
      <c r="F722" s="3">
        <v>1199</v>
      </c>
      <c r="G722" s="3">
        <f t="shared" si="56"/>
        <v>11998</v>
      </c>
      <c r="H722" s="3">
        <f t="shared" si="55"/>
        <v>2398</v>
      </c>
      <c r="I722" s="14">
        <f t="shared" si="57"/>
        <v>9598.4</v>
      </c>
      <c r="J722" s="14">
        <f t="shared" si="58"/>
        <v>-9600</v>
      </c>
      <c r="K722" s="1">
        <v>0.8</v>
      </c>
      <c r="L722">
        <v>3.9</v>
      </c>
      <c r="M722" s="2">
        <v>47521</v>
      </c>
      <c r="N722" t="s">
        <v>1683</v>
      </c>
      <c r="O722">
        <f t="shared" si="59"/>
        <v>2</v>
      </c>
      <c r="P722" s="12" t="e">
        <f>HYPERLINK(#REF!,"Link")</f>
        <v>#REF!</v>
      </c>
      <c r="Q722" s="12" t="e">
        <f>HYPERLINK(#REF!,"Link")</f>
        <v>#REF!</v>
      </c>
    </row>
    <row r="723" spans="1:17" x14ac:dyDescent="0.3">
      <c r="A723" t="s">
        <v>1684</v>
      </c>
      <c r="B723" t="s">
        <v>1685</v>
      </c>
      <c r="C723" s="10" t="s">
        <v>3790</v>
      </c>
      <c r="D723" s="10" t="s">
        <v>3850</v>
      </c>
      <c r="E723" s="14">
        <v>499</v>
      </c>
      <c r="F723" s="3">
        <v>399</v>
      </c>
      <c r="G723" s="3">
        <f t="shared" si="56"/>
        <v>499</v>
      </c>
      <c r="H723" s="3">
        <f t="shared" si="55"/>
        <v>399</v>
      </c>
      <c r="I723" s="14">
        <f t="shared" si="57"/>
        <v>99.800000000000011</v>
      </c>
      <c r="J723" s="14">
        <f t="shared" si="58"/>
        <v>-100</v>
      </c>
      <c r="K723" s="1">
        <v>0.2</v>
      </c>
      <c r="L723">
        <v>4.3</v>
      </c>
      <c r="M723" s="2">
        <v>27201</v>
      </c>
      <c r="N723" t="s">
        <v>1686</v>
      </c>
      <c r="O723">
        <f t="shared" si="59"/>
        <v>1</v>
      </c>
      <c r="P723" s="12" t="e">
        <f>HYPERLINK(#REF!,"Link")</f>
        <v>#REF!</v>
      </c>
      <c r="Q723" s="12" t="e">
        <f>HYPERLINK(#REF!,"Link")</f>
        <v>#REF!</v>
      </c>
    </row>
    <row r="724" spans="1:17" x14ac:dyDescent="0.3">
      <c r="A724" t="s">
        <v>66</v>
      </c>
      <c r="B724" t="s">
        <v>67</v>
      </c>
      <c r="C724" s="9" t="s">
        <v>3729</v>
      </c>
      <c r="D724" s="9" t="s">
        <v>3851</v>
      </c>
      <c r="E724" s="14">
        <v>499</v>
      </c>
      <c r="F724" s="3">
        <v>279</v>
      </c>
      <c r="G724" s="3">
        <f t="shared" si="56"/>
        <v>1497</v>
      </c>
      <c r="H724" s="3">
        <f t="shared" si="55"/>
        <v>837</v>
      </c>
      <c r="I724" s="14">
        <f t="shared" si="57"/>
        <v>658.68000000000006</v>
      </c>
      <c r="J724" s="14">
        <f t="shared" si="58"/>
        <v>-660</v>
      </c>
      <c r="K724" s="1">
        <v>0.44</v>
      </c>
      <c r="L724">
        <v>3.7</v>
      </c>
      <c r="M724" s="2">
        <v>10962</v>
      </c>
      <c r="N724" t="s">
        <v>68</v>
      </c>
      <c r="O724">
        <f t="shared" si="59"/>
        <v>3</v>
      </c>
      <c r="P724" s="12" t="e">
        <f>HYPERLINK(#REF!,"Link")</f>
        <v>#REF!</v>
      </c>
      <c r="Q724" s="12" t="e">
        <f>HYPERLINK(#REF!,"Link")</f>
        <v>#REF!</v>
      </c>
    </row>
    <row r="725" spans="1:17" x14ac:dyDescent="0.3">
      <c r="A725" t="s">
        <v>69</v>
      </c>
      <c r="B725" t="s">
        <v>70</v>
      </c>
      <c r="C725" s="10" t="s">
        <v>3787</v>
      </c>
      <c r="D725" s="10" t="s">
        <v>3852</v>
      </c>
      <c r="E725" s="14">
        <v>22900</v>
      </c>
      <c r="F725" s="3">
        <v>13490</v>
      </c>
      <c r="G725" s="3">
        <f t="shared" si="56"/>
        <v>45800</v>
      </c>
      <c r="H725" s="3">
        <f t="shared" si="55"/>
        <v>26980</v>
      </c>
      <c r="I725" s="14">
        <f t="shared" si="57"/>
        <v>18778</v>
      </c>
      <c r="J725" s="14">
        <f t="shared" si="58"/>
        <v>-18820</v>
      </c>
      <c r="K725" s="1">
        <v>0.41</v>
      </c>
      <c r="L725">
        <v>4.3</v>
      </c>
      <c r="M725" s="2">
        <v>16299</v>
      </c>
      <c r="N725" t="s">
        <v>71</v>
      </c>
      <c r="O725">
        <f t="shared" si="59"/>
        <v>2</v>
      </c>
      <c r="P725" s="12" t="e">
        <f>HYPERLINK(#REF!,"Link")</f>
        <v>#REF!</v>
      </c>
      <c r="Q725" s="12" t="e">
        <f>HYPERLINK(#REF!,"Link")</f>
        <v>#REF!</v>
      </c>
    </row>
    <row r="726" spans="1:17" x14ac:dyDescent="0.3">
      <c r="A726" t="s">
        <v>1687</v>
      </c>
      <c r="B726" t="s">
        <v>1688</v>
      </c>
      <c r="C726" s="9" t="s">
        <v>3853</v>
      </c>
      <c r="D726" s="9"/>
      <c r="E726" s="14">
        <v>375</v>
      </c>
      <c r="F726" s="3">
        <v>279</v>
      </c>
      <c r="G726" s="3">
        <f t="shared" si="56"/>
        <v>750</v>
      </c>
      <c r="H726" s="3">
        <f t="shared" si="55"/>
        <v>558</v>
      </c>
      <c r="I726" s="14">
        <f t="shared" si="57"/>
        <v>195</v>
      </c>
      <c r="J726" s="14">
        <f t="shared" si="58"/>
        <v>-192</v>
      </c>
      <c r="K726" s="1">
        <v>0.26</v>
      </c>
      <c r="L726">
        <v>4.3</v>
      </c>
      <c r="M726" s="2">
        <v>31534</v>
      </c>
      <c r="N726" t="s">
        <v>1689</v>
      </c>
      <c r="O726">
        <f t="shared" si="59"/>
        <v>2</v>
      </c>
      <c r="P726" s="12" t="e">
        <f>HYPERLINK(#REF!,"Link")</f>
        <v>#REF!</v>
      </c>
      <c r="Q726" s="12" t="e">
        <f>HYPERLINK(#REF!,"Link")</f>
        <v>#REF!</v>
      </c>
    </row>
    <row r="727" spans="1:17" x14ac:dyDescent="0.3">
      <c r="A727" t="s">
        <v>1690</v>
      </c>
      <c r="B727" t="s">
        <v>1188</v>
      </c>
      <c r="C727" s="10"/>
      <c r="D727" s="10"/>
      <c r="E727" s="14">
        <v>4999</v>
      </c>
      <c r="F727" s="3">
        <v>2499</v>
      </c>
      <c r="G727" s="3">
        <f t="shared" si="56"/>
        <v>9998</v>
      </c>
      <c r="H727" s="3">
        <f t="shared" si="55"/>
        <v>4998</v>
      </c>
      <c r="I727" s="14">
        <f t="shared" si="57"/>
        <v>4999</v>
      </c>
      <c r="J727" s="14">
        <f t="shared" si="58"/>
        <v>-5000</v>
      </c>
      <c r="K727" s="1">
        <v>0.5</v>
      </c>
      <c r="L727">
        <v>3.9</v>
      </c>
      <c r="M727" s="2">
        <v>7571</v>
      </c>
      <c r="N727" t="s">
        <v>1189</v>
      </c>
      <c r="O727">
        <f t="shared" si="59"/>
        <v>2</v>
      </c>
      <c r="P727" s="12" t="e">
        <f>HYPERLINK(#REF!,"Link")</f>
        <v>#REF!</v>
      </c>
      <c r="Q727" s="12" t="e">
        <f>HYPERLINK(#REF!,"Link")</f>
        <v>#REF!</v>
      </c>
    </row>
    <row r="728" spans="1:17" x14ac:dyDescent="0.3">
      <c r="A728" t="s">
        <v>1691</v>
      </c>
      <c r="B728" t="s">
        <v>1692</v>
      </c>
      <c r="C728" s="9" t="s">
        <v>3854</v>
      </c>
      <c r="D728" s="9"/>
      <c r="E728" s="14">
        <v>160</v>
      </c>
      <c r="F728" s="3">
        <v>137</v>
      </c>
      <c r="G728" s="3">
        <f t="shared" si="56"/>
        <v>1120</v>
      </c>
      <c r="H728" s="3">
        <f t="shared" si="55"/>
        <v>959</v>
      </c>
      <c r="I728" s="14">
        <f t="shared" si="57"/>
        <v>156.80000000000001</v>
      </c>
      <c r="J728" s="14">
        <f t="shared" si="58"/>
        <v>-161</v>
      </c>
      <c r="K728" s="1">
        <v>0.14000000000000001</v>
      </c>
      <c r="L728">
        <v>4.4000000000000004</v>
      </c>
      <c r="M728" s="2">
        <v>6537</v>
      </c>
      <c r="N728" t="s">
        <v>1693</v>
      </c>
      <c r="O728">
        <f t="shared" si="59"/>
        <v>7</v>
      </c>
      <c r="P728" s="12" t="e">
        <f>HYPERLINK(#REF!,"Link")</f>
        <v>#REF!</v>
      </c>
      <c r="Q728" s="12" t="e">
        <f>HYPERLINK(#REF!,"Link")</f>
        <v>#REF!</v>
      </c>
    </row>
    <row r="729" spans="1:17" x14ac:dyDescent="0.3">
      <c r="A729" t="s">
        <v>72</v>
      </c>
      <c r="B729" t="s">
        <v>73</v>
      </c>
      <c r="C729" s="10" t="s">
        <v>3795</v>
      </c>
      <c r="D729" s="10"/>
      <c r="E729" s="14">
        <v>199</v>
      </c>
      <c r="F729" s="3">
        <v>59</v>
      </c>
      <c r="G729" s="3">
        <f t="shared" si="56"/>
        <v>597</v>
      </c>
      <c r="H729" s="3">
        <f t="shared" si="55"/>
        <v>177</v>
      </c>
      <c r="I729" s="14">
        <f t="shared" si="57"/>
        <v>417.9</v>
      </c>
      <c r="J729" s="14">
        <f t="shared" si="58"/>
        <v>-420</v>
      </c>
      <c r="K729" s="1">
        <v>0.7</v>
      </c>
      <c r="L729">
        <v>4</v>
      </c>
      <c r="M729" s="2">
        <v>9377</v>
      </c>
      <c r="N729" t="s">
        <v>74</v>
      </c>
      <c r="O729">
        <f t="shared" si="59"/>
        <v>3</v>
      </c>
      <c r="P729" s="12" t="e">
        <f>HYPERLINK(#REF!,"Link")</f>
        <v>#REF!</v>
      </c>
      <c r="Q729" s="12" t="e">
        <f>HYPERLINK(#REF!,"Link")</f>
        <v>#REF!</v>
      </c>
    </row>
    <row r="730" spans="1:17" x14ac:dyDescent="0.3">
      <c r="A730" t="s">
        <v>1694</v>
      </c>
      <c r="B730" t="s">
        <v>1695</v>
      </c>
      <c r="C730" s="9" t="s">
        <v>3790</v>
      </c>
      <c r="D730" s="9" t="s">
        <v>3855</v>
      </c>
      <c r="E730" s="14">
        <v>499</v>
      </c>
      <c r="F730" s="3">
        <v>299</v>
      </c>
      <c r="G730" s="3">
        <f t="shared" si="56"/>
        <v>1497</v>
      </c>
      <c r="H730" s="3">
        <f t="shared" si="55"/>
        <v>897</v>
      </c>
      <c r="I730" s="14">
        <f t="shared" si="57"/>
        <v>598.80000000000007</v>
      </c>
      <c r="J730" s="14">
        <f t="shared" si="58"/>
        <v>-600</v>
      </c>
      <c r="K730" s="1">
        <v>0.4</v>
      </c>
      <c r="L730">
        <v>4.5</v>
      </c>
      <c r="M730" s="2">
        <v>21010</v>
      </c>
      <c r="N730" t="s">
        <v>1696</v>
      </c>
      <c r="O730">
        <f t="shared" si="59"/>
        <v>3</v>
      </c>
      <c r="P730" s="12" t="e">
        <f>HYPERLINK(#REF!,"Link")</f>
        <v>#REF!</v>
      </c>
      <c r="Q730" s="12" t="e">
        <f>HYPERLINK(#REF!,"Link")</f>
        <v>#REF!</v>
      </c>
    </row>
    <row r="731" spans="1:17" x14ac:dyDescent="0.3">
      <c r="A731" t="s">
        <v>1697</v>
      </c>
      <c r="B731" t="s">
        <v>1698</v>
      </c>
      <c r="C731" s="10" t="s">
        <v>3856</v>
      </c>
      <c r="D731" s="10" t="s">
        <v>3857</v>
      </c>
      <c r="E731" s="14">
        <v>3999</v>
      </c>
      <c r="F731" s="3">
        <v>1799</v>
      </c>
      <c r="G731" s="3">
        <f t="shared" si="56"/>
        <v>11997</v>
      </c>
      <c r="H731" s="3">
        <f t="shared" si="55"/>
        <v>5397</v>
      </c>
      <c r="I731" s="14">
        <f t="shared" si="57"/>
        <v>6598.35</v>
      </c>
      <c r="J731" s="14">
        <f t="shared" si="58"/>
        <v>-6600</v>
      </c>
      <c r="K731" s="1">
        <v>0.55000000000000004</v>
      </c>
      <c r="L731">
        <v>3.9</v>
      </c>
      <c r="M731" s="2">
        <v>3517</v>
      </c>
      <c r="N731" t="s">
        <v>1699</v>
      </c>
      <c r="O731">
        <f t="shared" si="59"/>
        <v>3</v>
      </c>
      <c r="P731" s="12" t="e">
        <f>HYPERLINK(#REF!,"Link")</f>
        <v>#REF!</v>
      </c>
      <c r="Q731" s="12" t="e">
        <f>HYPERLINK(#REF!,"Link")</f>
        <v>#REF!</v>
      </c>
    </row>
    <row r="732" spans="1:17" x14ac:dyDescent="0.3">
      <c r="A732" t="s">
        <v>1700</v>
      </c>
      <c r="B732" t="s">
        <v>1701</v>
      </c>
      <c r="C732" s="9" t="s">
        <v>3858</v>
      </c>
      <c r="D732" s="9"/>
      <c r="E732" s="14">
        <v>2999</v>
      </c>
      <c r="F732" s="3">
        <v>1999</v>
      </c>
      <c r="G732" s="3">
        <f t="shared" si="56"/>
        <v>5998</v>
      </c>
      <c r="H732" s="3">
        <f t="shared" si="55"/>
        <v>3998</v>
      </c>
      <c r="I732" s="14">
        <f t="shared" si="57"/>
        <v>1979.3400000000001</v>
      </c>
      <c r="J732" s="14">
        <f t="shared" si="58"/>
        <v>-2000</v>
      </c>
      <c r="K732" s="1">
        <v>0.33</v>
      </c>
      <c r="L732">
        <v>4.3</v>
      </c>
      <c r="M732" s="2">
        <v>63899</v>
      </c>
      <c r="N732" t="s">
        <v>1702</v>
      </c>
      <c r="O732">
        <f t="shared" si="59"/>
        <v>2</v>
      </c>
      <c r="P732" s="12" t="e">
        <f>HYPERLINK(#REF!,"Link")</f>
        <v>#REF!</v>
      </c>
      <c r="Q732" s="12" t="e">
        <f>HYPERLINK(#REF!,"Link")</f>
        <v>#REF!</v>
      </c>
    </row>
    <row r="733" spans="1:17" x14ac:dyDescent="0.3">
      <c r="A733" t="s">
        <v>78</v>
      </c>
      <c r="B733" t="s">
        <v>79</v>
      </c>
      <c r="C733" s="10" t="s">
        <v>3859</v>
      </c>
      <c r="D733" s="10" t="s">
        <v>3860</v>
      </c>
      <c r="E733" s="14">
        <v>699</v>
      </c>
      <c r="F733" s="3">
        <v>199</v>
      </c>
      <c r="G733" s="3">
        <f t="shared" si="56"/>
        <v>2097</v>
      </c>
      <c r="H733" s="3">
        <f t="shared" si="55"/>
        <v>597</v>
      </c>
      <c r="I733" s="14">
        <f t="shared" si="57"/>
        <v>1509.84</v>
      </c>
      <c r="J733" s="14">
        <f t="shared" si="58"/>
        <v>-1500</v>
      </c>
      <c r="K733" s="1">
        <v>0.72</v>
      </c>
      <c r="L733">
        <v>4.2</v>
      </c>
      <c r="M733" s="2">
        <v>12153</v>
      </c>
      <c r="N733" t="s">
        <v>80</v>
      </c>
      <c r="O733">
        <f t="shared" si="59"/>
        <v>3</v>
      </c>
      <c r="P733" s="12" t="e">
        <f>HYPERLINK(#REF!,"Link")</f>
        <v>#REF!</v>
      </c>
      <c r="Q733" s="12" t="e">
        <f>HYPERLINK(#REF!,"Link")</f>
        <v>#REF!</v>
      </c>
    </row>
    <row r="734" spans="1:17" x14ac:dyDescent="0.3">
      <c r="A734" t="s">
        <v>1703</v>
      </c>
      <c r="B734" t="s">
        <v>1704</v>
      </c>
      <c r="C734" s="9" t="s">
        <v>3861</v>
      </c>
      <c r="D734" s="9" t="s">
        <v>3862</v>
      </c>
      <c r="E734" s="14">
        <v>1499</v>
      </c>
      <c r="F734" s="3">
        <v>399</v>
      </c>
      <c r="G734" s="3">
        <f t="shared" si="56"/>
        <v>2998</v>
      </c>
      <c r="H734" s="3">
        <f t="shared" si="55"/>
        <v>798</v>
      </c>
      <c r="I734" s="14">
        <f t="shared" si="57"/>
        <v>2188.54</v>
      </c>
      <c r="J734" s="14">
        <f t="shared" si="58"/>
        <v>-2200</v>
      </c>
      <c r="K734" s="1">
        <v>0.73</v>
      </c>
      <c r="L734">
        <v>4.0999999999999996</v>
      </c>
      <c r="M734" s="2">
        <v>5730</v>
      </c>
      <c r="N734" t="s">
        <v>1705</v>
      </c>
      <c r="O734">
        <f t="shared" si="59"/>
        <v>2</v>
      </c>
      <c r="P734" s="12" t="e">
        <f>HYPERLINK(#REF!,"Link")</f>
        <v>#REF!</v>
      </c>
      <c r="Q734" s="12" t="e">
        <f>HYPERLINK(#REF!,"Link")</f>
        <v>#REF!</v>
      </c>
    </row>
    <row r="735" spans="1:17" x14ac:dyDescent="0.3">
      <c r="A735" t="s">
        <v>1706</v>
      </c>
      <c r="B735" t="s">
        <v>1707</v>
      </c>
      <c r="C735" s="10" t="s">
        <v>3861</v>
      </c>
      <c r="D735" s="10" t="s">
        <v>3863</v>
      </c>
      <c r="E735" s="14">
        <v>3999</v>
      </c>
      <c r="F735" s="3">
        <v>1699</v>
      </c>
      <c r="G735" s="3">
        <f t="shared" si="56"/>
        <v>7998</v>
      </c>
      <c r="H735" s="3">
        <f t="shared" si="55"/>
        <v>3398</v>
      </c>
      <c r="I735" s="14">
        <f t="shared" si="57"/>
        <v>4638.8399999999992</v>
      </c>
      <c r="J735" s="14">
        <f t="shared" si="58"/>
        <v>-4600</v>
      </c>
      <c r="K735" s="1">
        <v>0.57999999999999996</v>
      </c>
      <c r="L735">
        <v>4.2</v>
      </c>
      <c r="M735" s="2">
        <v>25488</v>
      </c>
      <c r="N735" t="s">
        <v>1708</v>
      </c>
      <c r="O735">
        <f t="shared" si="59"/>
        <v>2</v>
      </c>
      <c r="P735" s="12" t="e">
        <f>HYPERLINK(#REF!,"Link")</f>
        <v>#REF!</v>
      </c>
      <c r="Q735" s="12" t="e">
        <f>HYPERLINK(#REF!,"Link")</f>
        <v>#REF!</v>
      </c>
    </row>
    <row r="736" spans="1:17" x14ac:dyDescent="0.3">
      <c r="A736" t="s">
        <v>1709</v>
      </c>
      <c r="B736" t="s">
        <v>1710</v>
      </c>
      <c r="C736" s="9" t="s">
        <v>3864</v>
      </c>
      <c r="D736" s="9" t="s">
        <v>3865</v>
      </c>
      <c r="E736" s="14">
        <v>995</v>
      </c>
      <c r="F736" s="3">
        <v>699</v>
      </c>
      <c r="G736" s="3">
        <f t="shared" si="56"/>
        <v>1990</v>
      </c>
      <c r="H736" s="3">
        <f t="shared" si="55"/>
        <v>1398</v>
      </c>
      <c r="I736" s="14">
        <f t="shared" si="57"/>
        <v>597</v>
      </c>
      <c r="J736" s="14">
        <f t="shared" si="58"/>
        <v>-592</v>
      </c>
      <c r="K736" s="1">
        <v>0.3</v>
      </c>
      <c r="L736">
        <v>4.5</v>
      </c>
      <c r="M736" s="2">
        <v>54405</v>
      </c>
      <c r="N736" t="s">
        <v>1711</v>
      </c>
      <c r="O736">
        <f t="shared" si="59"/>
        <v>2</v>
      </c>
      <c r="P736" s="12" t="e">
        <f>HYPERLINK(#REF!,"Link")</f>
        <v>#REF!</v>
      </c>
      <c r="Q736" s="12" t="e">
        <f>HYPERLINK(#REF!,"Link")</f>
        <v>#REF!</v>
      </c>
    </row>
    <row r="737" spans="1:17" x14ac:dyDescent="0.3">
      <c r="A737" t="s">
        <v>1174</v>
      </c>
      <c r="B737" t="s">
        <v>1175</v>
      </c>
      <c r="C737" s="10" t="s">
        <v>3859</v>
      </c>
      <c r="D737" s="10" t="s">
        <v>3866</v>
      </c>
      <c r="E737" s="14">
        <v>499</v>
      </c>
      <c r="F737" s="3">
        <v>95</v>
      </c>
      <c r="G737" s="3">
        <f t="shared" si="56"/>
        <v>998</v>
      </c>
      <c r="H737" s="3">
        <f t="shared" si="55"/>
        <v>190</v>
      </c>
      <c r="I737" s="14">
        <f t="shared" si="57"/>
        <v>808.38000000000011</v>
      </c>
      <c r="J737" s="14">
        <f t="shared" si="58"/>
        <v>-808</v>
      </c>
      <c r="K737" s="1">
        <v>0.81</v>
      </c>
      <c r="L737">
        <v>4.2</v>
      </c>
      <c r="M737" s="2">
        <v>1949</v>
      </c>
      <c r="N737" t="s">
        <v>1176</v>
      </c>
      <c r="O737">
        <f t="shared" si="59"/>
        <v>2</v>
      </c>
      <c r="P737" s="12" t="e">
        <f>HYPERLINK(#REF!,"Link")</f>
        <v>#REF!</v>
      </c>
      <c r="Q737" s="12" t="e">
        <f>HYPERLINK(#REF!,"Link")</f>
        <v>#REF!</v>
      </c>
    </row>
    <row r="738" spans="1:17" x14ac:dyDescent="0.3">
      <c r="A738" t="s">
        <v>1712</v>
      </c>
      <c r="B738" t="s">
        <v>1713</v>
      </c>
      <c r="C738" s="9" t="s">
        <v>3867</v>
      </c>
      <c r="D738" s="9" t="s">
        <v>3868</v>
      </c>
      <c r="E738" s="14">
        <v>1699</v>
      </c>
      <c r="F738" s="3">
        <v>1149</v>
      </c>
      <c r="G738" s="3">
        <f t="shared" si="56"/>
        <v>3398</v>
      </c>
      <c r="H738" s="3">
        <f t="shared" si="55"/>
        <v>2298</v>
      </c>
      <c r="I738" s="14">
        <f t="shared" si="57"/>
        <v>1087.3600000000001</v>
      </c>
      <c r="J738" s="14">
        <f t="shared" si="58"/>
        <v>-1100</v>
      </c>
      <c r="K738" s="1">
        <v>0.32</v>
      </c>
      <c r="L738">
        <v>4.2</v>
      </c>
      <c r="M738" s="2">
        <v>122478</v>
      </c>
      <c r="N738" t="s">
        <v>1714</v>
      </c>
      <c r="O738">
        <f t="shared" si="59"/>
        <v>2</v>
      </c>
      <c r="P738" s="12" t="e">
        <f>HYPERLINK(#REF!,"Link")</f>
        <v>#REF!</v>
      </c>
      <c r="Q738" s="12" t="e">
        <f>HYPERLINK(#REF!,"Link")</f>
        <v>#REF!</v>
      </c>
    </row>
    <row r="739" spans="1:17" x14ac:dyDescent="0.3">
      <c r="A739" t="s">
        <v>1715</v>
      </c>
      <c r="B739" t="s">
        <v>1716</v>
      </c>
      <c r="C739" s="10" t="s">
        <v>3859</v>
      </c>
      <c r="D739" s="10" t="s">
        <v>3869</v>
      </c>
      <c r="E739" s="14">
        <v>1995</v>
      </c>
      <c r="F739" s="3">
        <v>1495</v>
      </c>
      <c r="G739" s="3">
        <f t="shared" si="56"/>
        <v>5985</v>
      </c>
      <c r="H739" s="3">
        <f t="shared" si="55"/>
        <v>4485</v>
      </c>
      <c r="I739" s="14">
        <f t="shared" si="57"/>
        <v>1496.25</v>
      </c>
      <c r="J739" s="14">
        <f t="shared" si="58"/>
        <v>-1500</v>
      </c>
      <c r="K739" s="1">
        <v>0.25</v>
      </c>
      <c r="L739">
        <v>4.3</v>
      </c>
      <c r="M739" s="2">
        <v>7241</v>
      </c>
      <c r="N739" t="s">
        <v>1717</v>
      </c>
      <c r="O739">
        <f t="shared" si="59"/>
        <v>3</v>
      </c>
      <c r="P739" s="12" t="e">
        <f>HYPERLINK(#REF!,"Link")</f>
        <v>#REF!</v>
      </c>
      <c r="Q739" s="12" t="e">
        <f>HYPERLINK(#REF!,"Link")</f>
        <v>#REF!</v>
      </c>
    </row>
    <row r="740" spans="1:17" x14ac:dyDescent="0.3">
      <c r="A740" t="s">
        <v>1718</v>
      </c>
      <c r="B740" t="s">
        <v>1719</v>
      </c>
      <c r="C740" s="9" t="s">
        <v>3859</v>
      </c>
      <c r="D740" s="9" t="s">
        <v>3870</v>
      </c>
      <c r="E740" s="14">
        <v>4999</v>
      </c>
      <c r="F740" s="3">
        <v>849</v>
      </c>
      <c r="G740" s="3">
        <f t="shared" si="56"/>
        <v>19996</v>
      </c>
      <c r="H740" s="3">
        <f t="shared" si="55"/>
        <v>3396</v>
      </c>
      <c r="I740" s="14">
        <f t="shared" si="57"/>
        <v>16596.68</v>
      </c>
      <c r="J740" s="14">
        <f t="shared" si="58"/>
        <v>-16600</v>
      </c>
      <c r="K740" s="1">
        <v>0.83</v>
      </c>
      <c r="L740">
        <v>4</v>
      </c>
      <c r="M740" s="2">
        <v>20457</v>
      </c>
      <c r="N740" t="s">
        <v>1720</v>
      </c>
      <c r="O740">
        <f t="shared" si="59"/>
        <v>4</v>
      </c>
      <c r="P740" s="12" t="e">
        <f>HYPERLINK(#REF!,"Link")</f>
        <v>#REF!</v>
      </c>
      <c r="Q740" s="12" t="e">
        <f>HYPERLINK(#REF!,"Link")</f>
        <v>#REF!</v>
      </c>
    </row>
    <row r="741" spans="1:17" x14ac:dyDescent="0.3">
      <c r="A741" t="s">
        <v>1721</v>
      </c>
      <c r="B741" t="s">
        <v>1722</v>
      </c>
      <c r="C741" s="10" t="s">
        <v>3864</v>
      </c>
      <c r="D741" s="10" t="s">
        <v>3865</v>
      </c>
      <c r="E741" s="14">
        <v>440</v>
      </c>
      <c r="F741" s="3">
        <v>440</v>
      </c>
      <c r="G741" s="3">
        <f t="shared" si="56"/>
        <v>1320</v>
      </c>
      <c r="H741" s="3">
        <f t="shared" si="55"/>
        <v>1320</v>
      </c>
      <c r="I741" s="14">
        <f t="shared" si="57"/>
        <v>0</v>
      </c>
      <c r="J741" s="14">
        <f t="shared" si="58"/>
        <v>0</v>
      </c>
      <c r="K741" s="1">
        <v>0</v>
      </c>
      <c r="L741">
        <v>4.5</v>
      </c>
      <c r="M741" s="2">
        <v>8610</v>
      </c>
      <c r="N741" t="s">
        <v>1723</v>
      </c>
      <c r="O741">
        <f t="shared" si="59"/>
        <v>3</v>
      </c>
      <c r="P741" s="12" t="e">
        <f>HYPERLINK(#REF!,"Link")</f>
        <v>#REF!</v>
      </c>
      <c r="Q741" s="12" t="e">
        <f>HYPERLINK(#REF!,"Link")</f>
        <v>#REF!</v>
      </c>
    </row>
    <row r="742" spans="1:17" x14ac:dyDescent="0.3">
      <c r="A742" t="s">
        <v>1165</v>
      </c>
      <c r="B742" t="s">
        <v>1166</v>
      </c>
      <c r="C742" s="9" t="s">
        <v>3859</v>
      </c>
      <c r="D742" s="9" t="s">
        <v>3871</v>
      </c>
      <c r="E742" s="14">
        <v>999</v>
      </c>
      <c r="F742" s="3">
        <v>349</v>
      </c>
      <c r="G742" s="3">
        <f t="shared" si="56"/>
        <v>2997</v>
      </c>
      <c r="H742" s="3">
        <f t="shared" si="55"/>
        <v>1047</v>
      </c>
      <c r="I742" s="14">
        <f t="shared" si="57"/>
        <v>1948.0500000000002</v>
      </c>
      <c r="J742" s="14">
        <f t="shared" si="58"/>
        <v>-1950</v>
      </c>
      <c r="K742" s="1">
        <v>0.65</v>
      </c>
      <c r="L742">
        <v>3.8</v>
      </c>
      <c r="M742" s="2">
        <v>16557</v>
      </c>
      <c r="N742" t="s">
        <v>1167</v>
      </c>
      <c r="O742">
        <f t="shared" si="59"/>
        <v>3</v>
      </c>
      <c r="P742" s="12" t="e">
        <f>HYPERLINK(#REF!,"Link")</f>
        <v>#REF!</v>
      </c>
      <c r="Q742" s="12" t="e">
        <f>HYPERLINK(#REF!,"Link")</f>
        <v>#REF!</v>
      </c>
    </row>
    <row r="743" spans="1:17" x14ac:dyDescent="0.3">
      <c r="A743" t="s">
        <v>1724</v>
      </c>
      <c r="B743" t="s">
        <v>1725</v>
      </c>
      <c r="C743" s="10" t="s">
        <v>3872</v>
      </c>
      <c r="D743" s="10" t="s">
        <v>3873</v>
      </c>
      <c r="E743" s="14">
        <v>3999</v>
      </c>
      <c r="F743" s="3">
        <v>599</v>
      </c>
      <c r="G743" s="3">
        <f t="shared" si="56"/>
        <v>7998</v>
      </c>
      <c r="H743" s="3">
        <f t="shared" si="55"/>
        <v>1198</v>
      </c>
      <c r="I743" s="14">
        <f t="shared" si="57"/>
        <v>6798.3</v>
      </c>
      <c r="J743" s="14">
        <f t="shared" si="58"/>
        <v>-6800</v>
      </c>
      <c r="K743" s="1">
        <v>0.85</v>
      </c>
      <c r="L743">
        <v>3.9</v>
      </c>
      <c r="M743" s="2">
        <v>1087</v>
      </c>
      <c r="N743" t="s">
        <v>1726</v>
      </c>
      <c r="O743">
        <f t="shared" si="59"/>
        <v>2</v>
      </c>
      <c r="P743" s="12" t="e">
        <f>HYPERLINK(#REF!,"Link")</f>
        <v>#REF!</v>
      </c>
      <c r="Q743" s="12" t="e">
        <f>HYPERLINK(#REF!,"Link")</f>
        <v>#REF!</v>
      </c>
    </row>
    <row r="744" spans="1:17" x14ac:dyDescent="0.3">
      <c r="A744" t="s">
        <v>1727</v>
      </c>
      <c r="B744" t="s">
        <v>1728</v>
      </c>
      <c r="C744" s="9" t="s">
        <v>3861</v>
      </c>
      <c r="D744" s="9"/>
      <c r="E744" s="14">
        <v>399</v>
      </c>
      <c r="F744" s="3">
        <v>149</v>
      </c>
      <c r="G744" s="3">
        <f t="shared" si="56"/>
        <v>1995</v>
      </c>
      <c r="H744" s="3">
        <f t="shared" si="55"/>
        <v>745</v>
      </c>
      <c r="I744" s="14">
        <f t="shared" si="57"/>
        <v>1256.8499999999999</v>
      </c>
      <c r="J744" s="14">
        <f t="shared" si="58"/>
        <v>-1250</v>
      </c>
      <c r="K744" s="1">
        <v>0.63</v>
      </c>
      <c r="L744">
        <v>4</v>
      </c>
      <c r="M744" s="2">
        <v>1540</v>
      </c>
      <c r="N744" t="s">
        <v>1729</v>
      </c>
      <c r="O744">
        <f t="shared" si="59"/>
        <v>5</v>
      </c>
      <c r="P744" s="12" t="e">
        <f>HYPERLINK(#REF!,"Link")</f>
        <v>#REF!</v>
      </c>
      <c r="Q744" s="12" t="e">
        <f>HYPERLINK(#REF!,"Link")</f>
        <v>#REF!</v>
      </c>
    </row>
    <row r="745" spans="1:17" x14ac:dyDescent="0.3">
      <c r="A745" t="s">
        <v>1730</v>
      </c>
      <c r="B745" t="s">
        <v>1731</v>
      </c>
      <c r="C745" s="10" t="s">
        <v>3859</v>
      </c>
      <c r="D745" s="10" t="s">
        <v>3860</v>
      </c>
      <c r="E745" s="14">
        <v>999</v>
      </c>
      <c r="F745" s="3">
        <v>289</v>
      </c>
      <c r="G745" s="3">
        <f t="shared" si="56"/>
        <v>1998</v>
      </c>
      <c r="H745" s="3">
        <f t="shared" si="55"/>
        <v>578</v>
      </c>
      <c r="I745" s="14">
        <f t="shared" si="57"/>
        <v>1418.58</v>
      </c>
      <c r="J745" s="14">
        <f t="shared" si="58"/>
        <v>-1420</v>
      </c>
      <c r="K745" s="1">
        <v>0.71</v>
      </c>
      <c r="L745">
        <v>4.0999999999999996</v>
      </c>
      <c r="M745">
        <v>401</v>
      </c>
      <c r="N745" t="s">
        <v>1732</v>
      </c>
      <c r="O745">
        <f t="shared" si="59"/>
        <v>2</v>
      </c>
      <c r="P745" s="12" t="e">
        <f>HYPERLINK(#REF!,"Link")</f>
        <v>#REF!</v>
      </c>
      <c r="Q745" s="12" t="e">
        <f>HYPERLINK(#REF!,"Link")</f>
        <v>#REF!</v>
      </c>
    </row>
    <row r="746" spans="1:17" x14ac:dyDescent="0.3">
      <c r="A746" t="s">
        <v>1733</v>
      </c>
      <c r="B746" t="s">
        <v>1734</v>
      </c>
      <c r="C746" s="9" t="s">
        <v>3872</v>
      </c>
      <c r="D746" s="9" t="s">
        <v>3874</v>
      </c>
      <c r="E746" s="14">
        <v>499</v>
      </c>
      <c r="F746" s="3">
        <v>179</v>
      </c>
      <c r="G746" s="3">
        <f t="shared" si="56"/>
        <v>998</v>
      </c>
      <c r="H746" s="3">
        <f t="shared" si="55"/>
        <v>358</v>
      </c>
      <c r="I746" s="14">
        <f t="shared" si="57"/>
        <v>638.72</v>
      </c>
      <c r="J746" s="14">
        <f t="shared" si="58"/>
        <v>-640</v>
      </c>
      <c r="K746" s="1">
        <v>0.64</v>
      </c>
      <c r="L746">
        <v>3.4</v>
      </c>
      <c r="M746" s="2">
        <v>9385</v>
      </c>
      <c r="N746" t="s">
        <v>1735</v>
      </c>
      <c r="O746">
        <f t="shared" si="59"/>
        <v>2</v>
      </c>
      <c r="P746" s="12" t="e">
        <f>HYPERLINK(#REF!,"Link")</f>
        <v>#REF!</v>
      </c>
      <c r="Q746" s="12" t="e">
        <f>HYPERLINK(#REF!,"Link")</f>
        <v>#REF!</v>
      </c>
    </row>
    <row r="747" spans="1:17" x14ac:dyDescent="0.3">
      <c r="A747" t="s">
        <v>1736</v>
      </c>
      <c r="B747" t="s">
        <v>1222</v>
      </c>
      <c r="C747" s="10" t="s">
        <v>3872</v>
      </c>
      <c r="D747" s="10" t="s">
        <v>3875</v>
      </c>
      <c r="E747" s="14">
        <v>4999</v>
      </c>
      <c r="F747" s="3">
        <v>1499</v>
      </c>
      <c r="G747" s="3">
        <f t="shared" si="56"/>
        <v>14997</v>
      </c>
      <c r="H747" s="3">
        <f t="shared" si="55"/>
        <v>4497</v>
      </c>
      <c r="I747" s="14">
        <f t="shared" si="57"/>
        <v>10497.9</v>
      </c>
      <c r="J747" s="14">
        <f t="shared" si="58"/>
        <v>-10500</v>
      </c>
      <c r="K747" s="1">
        <v>0.7</v>
      </c>
      <c r="L747">
        <v>4</v>
      </c>
      <c r="M747" s="2">
        <v>92588</v>
      </c>
      <c r="N747" t="s">
        <v>1223</v>
      </c>
      <c r="O747">
        <f t="shared" si="59"/>
        <v>3</v>
      </c>
      <c r="P747" s="12" t="e">
        <f>HYPERLINK(#REF!,"Link")</f>
        <v>#REF!</v>
      </c>
      <c r="Q747" s="12" t="e">
        <f>HYPERLINK(#REF!,"Link")</f>
        <v>#REF!</v>
      </c>
    </row>
    <row r="748" spans="1:17" x14ac:dyDescent="0.3">
      <c r="A748" t="s">
        <v>1737</v>
      </c>
      <c r="B748" t="s">
        <v>1738</v>
      </c>
      <c r="C748" s="9" t="s">
        <v>3859</v>
      </c>
      <c r="D748" s="9" t="s">
        <v>3876</v>
      </c>
      <c r="E748" s="14">
        <v>699</v>
      </c>
      <c r="F748" s="3">
        <v>399</v>
      </c>
      <c r="G748" s="3">
        <f t="shared" si="56"/>
        <v>2097</v>
      </c>
      <c r="H748" s="3">
        <f t="shared" si="55"/>
        <v>1197</v>
      </c>
      <c r="I748" s="14">
        <f t="shared" si="57"/>
        <v>901.71</v>
      </c>
      <c r="J748" s="14">
        <f t="shared" si="58"/>
        <v>-900</v>
      </c>
      <c r="K748" s="1">
        <v>0.43</v>
      </c>
      <c r="L748">
        <v>3.4</v>
      </c>
      <c r="M748" s="2">
        <v>3454</v>
      </c>
      <c r="N748" t="s">
        <v>1739</v>
      </c>
      <c r="O748">
        <f t="shared" si="59"/>
        <v>3</v>
      </c>
      <c r="P748" s="12" t="e">
        <f>HYPERLINK(#REF!,"Link")</f>
        <v>#REF!</v>
      </c>
      <c r="Q748" s="12" t="e">
        <f>HYPERLINK(#REF!,"Link")</f>
        <v>#REF!</v>
      </c>
    </row>
    <row r="749" spans="1:17" x14ac:dyDescent="0.3">
      <c r="A749" t="s">
        <v>1740</v>
      </c>
      <c r="B749" t="s">
        <v>1741</v>
      </c>
      <c r="C749" s="10" t="s">
        <v>3877</v>
      </c>
      <c r="D749" s="10" t="s">
        <v>3878</v>
      </c>
      <c r="E749" s="14">
        <v>799</v>
      </c>
      <c r="F749" s="3">
        <v>599</v>
      </c>
      <c r="G749" s="3">
        <f t="shared" si="56"/>
        <v>1598</v>
      </c>
      <c r="H749" s="3">
        <f t="shared" si="55"/>
        <v>1198</v>
      </c>
      <c r="I749" s="14">
        <f t="shared" si="57"/>
        <v>399.5</v>
      </c>
      <c r="J749" s="14">
        <f t="shared" si="58"/>
        <v>-400</v>
      </c>
      <c r="K749" s="1">
        <v>0.25</v>
      </c>
      <c r="L749">
        <v>4.3</v>
      </c>
      <c r="M749" s="2">
        <v>15790</v>
      </c>
      <c r="N749" t="s">
        <v>1742</v>
      </c>
      <c r="O749">
        <f t="shared" si="59"/>
        <v>2</v>
      </c>
      <c r="P749" s="12" t="e">
        <f>HYPERLINK(#REF!,"Link")</f>
        <v>#REF!</v>
      </c>
      <c r="Q749" s="12" t="e">
        <f>HYPERLINK(#REF!,"Link")</f>
        <v>#REF!</v>
      </c>
    </row>
    <row r="750" spans="1:17" x14ac:dyDescent="0.3">
      <c r="A750" t="s">
        <v>1743</v>
      </c>
      <c r="B750" t="s">
        <v>1744</v>
      </c>
      <c r="C750" s="9" t="s">
        <v>3859</v>
      </c>
      <c r="D750" s="9" t="s">
        <v>3879</v>
      </c>
      <c r="E750" s="14">
        <v>2000</v>
      </c>
      <c r="F750" s="3">
        <v>949</v>
      </c>
      <c r="G750" s="3">
        <f t="shared" si="56"/>
        <v>4000</v>
      </c>
      <c r="H750" s="3">
        <f t="shared" si="55"/>
        <v>1898</v>
      </c>
      <c r="I750" s="14">
        <f t="shared" si="57"/>
        <v>2120</v>
      </c>
      <c r="J750" s="14">
        <f t="shared" si="58"/>
        <v>-2102</v>
      </c>
      <c r="K750" s="1">
        <v>0.53</v>
      </c>
      <c r="L750">
        <v>3.9</v>
      </c>
      <c r="M750" s="2">
        <v>14969</v>
      </c>
      <c r="N750" t="s">
        <v>1745</v>
      </c>
      <c r="O750">
        <f t="shared" si="59"/>
        <v>2</v>
      </c>
      <c r="P750" s="12" t="e">
        <f>HYPERLINK(#REF!,"Link")</f>
        <v>#REF!</v>
      </c>
      <c r="Q750" s="12" t="e">
        <f>HYPERLINK(#REF!,"Link")</f>
        <v>#REF!</v>
      </c>
    </row>
    <row r="751" spans="1:17" x14ac:dyDescent="0.3">
      <c r="A751" t="s">
        <v>1746</v>
      </c>
      <c r="B751" t="s">
        <v>951</v>
      </c>
      <c r="C751" s="10" t="s">
        <v>3864</v>
      </c>
      <c r="D751" s="10" t="s">
        <v>3880</v>
      </c>
      <c r="E751" s="14">
        <v>9999</v>
      </c>
      <c r="F751" s="3">
        <v>2499</v>
      </c>
      <c r="G751" s="3">
        <f t="shared" si="56"/>
        <v>29997</v>
      </c>
      <c r="H751" s="3">
        <f t="shared" si="55"/>
        <v>7497</v>
      </c>
      <c r="I751" s="14">
        <f t="shared" si="57"/>
        <v>22497.75</v>
      </c>
      <c r="J751" s="14">
        <f t="shared" si="58"/>
        <v>-22500</v>
      </c>
      <c r="K751" s="1">
        <v>0.75</v>
      </c>
      <c r="L751">
        <v>4.0999999999999996</v>
      </c>
      <c r="M751" s="2">
        <v>42139</v>
      </c>
      <c r="N751" t="s">
        <v>1747</v>
      </c>
      <c r="O751">
        <f t="shared" si="59"/>
        <v>3</v>
      </c>
      <c r="P751" s="12" t="e">
        <f>HYPERLINK(#REF!,"Link")</f>
        <v>#REF!</v>
      </c>
      <c r="Q751" s="12" t="e">
        <f>HYPERLINK(#REF!,"Link")</f>
        <v>#REF!</v>
      </c>
    </row>
    <row r="752" spans="1:17" x14ac:dyDescent="0.3">
      <c r="A752" t="s">
        <v>1748</v>
      </c>
      <c r="B752" t="s">
        <v>1749</v>
      </c>
      <c r="C752" s="9" t="s">
        <v>3859</v>
      </c>
      <c r="D752" s="9" t="s">
        <v>3881</v>
      </c>
      <c r="E752" s="14">
        <v>180</v>
      </c>
      <c r="F752" s="3">
        <v>159</v>
      </c>
      <c r="G752" s="3">
        <f t="shared" si="56"/>
        <v>360</v>
      </c>
      <c r="H752" s="3">
        <f t="shared" si="55"/>
        <v>318</v>
      </c>
      <c r="I752" s="14">
        <f t="shared" si="57"/>
        <v>43.199999999999996</v>
      </c>
      <c r="J752" s="14">
        <f t="shared" si="58"/>
        <v>-42</v>
      </c>
      <c r="K752" s="1">
        <v>0.12</v>
      </c>
      <c r="L752">
        <v>4.3</v>
      </c>
      <c r="M752">
        <v>989</v>
      </c>
      <c r="N752" t="s">
        <v>1750</v>
      </c>
      <c r="O752">
        <f t="shared" si="59"/>
        <v>2</v>
      </c>
      <c r="P752" s="12" t="e">
        <f>HYPERLINK(#REF!,"Link")</f>
        <v>#REF!</v>
      </c>
      <c r="Q752" s="12" t="e">
        <f>HYPERLINK(#REF!,"Link")</f>
        <v>#REF!</v>
      </c>
    </row>
    <row r="753" spans="1:17" x14ac:dyDescent="0.3">
      <c r="A753" t="s">
        <v>1751</v>
      </c>
      <c r="B753" t="s">
        <v>1752</v>
      </c>
      <c r="C753" s="10" t="s">
        <v>3859</v>
      </c>
      <c r="D753" s="10" t="s">
        <v>3882</v>
      </c>
      <c r="E753" s="14">
        <v>2900</v>
      </c>
      <c r="F753" s="3">
        <v>1329</v>
      </c>
      <c r="G753" s="3">
        <f t="shared" si="56"/>
        <v>11600</v>
      </c>
      <c r="H753" s="3">
        <f t="shared" si="55"/>
        <v>5316</v>
      </c>
      <c r="I753" s="14">
        <f t="shared" si="57"/>
        <v>6264</v>
      </c>
      <c r="J753" s="14">
        <f t="shared" si="58"/>
        <v>-6284</v>
      </c>
      <c r="K753" s="1">
        <v>0.54</v>
      </c>
      <c r="L753">
        <v>4.5</v>
      </c>
      <c r="M753" s="2">
        <v>19624</v>
      </c>
      <c r="N753" t="s">
        <v>1753</v>
      </c>
      <c r="O753">
        <f t="shared" si="59"/>
        <v>4</v>
      </c>
      <c r="P753" s="12" t="e">
        <f>HYPERLINK(#REF!,"Link")</f>
        <v>#REF!</v>
      </c>
      <c r="Q753" s="12" t="e">
        <f>HYPERLINK(#REF!,"Link")</f>
        <v>#REF!</v>
      </c>
    </row>
    <row r="754" spans="1:17" x14ac:dyDescent="0.3">
      <c r="A754" t="s">
        <v>1754</v>
      </c>
      <c r="B754" t="s">
        <v>1755</v>
      </c>
      <c r="C754" s="9" t="s">
        <v>3859</v>
      </c>
      <c r="D754" s="9" t="s">
        <v>3883</v>
      </c>
      <c r="E754" s="14">
        <v>999</v>
      </c>
      <c r="F754" s="3">
        <v>570</v>
      </c>
      <c r="G754" s="3">
        <f t="shared" si="56"/>
        <v>999</v>
      </c>
      <c r="H754" s="3">
        <f t="shared" si="55"/>
        <v>570</v>
      </c>
      <c r="I754" s="14">
        <f t="shared" si="57"/>
        <v>429.57</v>
      </c>
      <c r="J754" s="14">
        <f t="shared" si="58"/>
        <v>-429</v>
      </c>
      <c r="K754" s="1">
        <v>0.43</v>
      </c>
      <c r="L754">
        <v>4.2</v>
      </c>
      <c r="M754" s="2">
        <v>3201</v>
      </c>
      <c r="N754" t="s">
        <v>1756</v>
      </c>
      <c r="O754">
        <f t="shared" si="59"/>
        <v>1</v>
      </c>
      <c r="P754" s="12" t="e">
        <f>HYPERLINK(#REF!,"Link")</f>
        <v>#REF!</v>
      </c>
      <c r="Q754" s="12" t="e">
        <f>HYPERLINK(#REF!,"Link")</f>
        <v>#REF!</v>
      </c>
    </row>
    <row r="755" spans="1:17" x14ac:dyDescent="0.3">
      <c r="A755" t="s">
        <v>1757</v>
      </c>
      <c r="B755" t="s">
        <v>1758</v>
      </c>
      <c r="C755" s="10" t="s">
        <v>3859</v>
      </c>
      <c r="D755" s="10" t="s">
        <v>3866</v>
      </c>
      <c r="E755" s="14">
        <v>1999</v>
      </c>
      <c r="F755" s="3">
        <v>899</v>
      </c>
      <c r="G755" s="3">
        <f t="shared" si="56"/>
        <v>3998</v>
      </c>
      <c r="H755" s="3">
        <f t="shared" si="55"/>
        <v>1798</v>
      </c>
      <c r="I755" s="14">
        <f t="shared" si="57"/>
        <v>2198.9</v>
      </c>
      <c r="J755" s="14">
        <f t="shared" si="58"/>
        <v>-2200</v>
      </c>
      <c r="K755" s="1">
        <v>0.55000000000000004</v>
      </c>
      <c r="L755">
        <v>4.0999999999999996</v>
      </c>
      <c r="M755" s="2">
        <v>30469</v>
      </c>
      <c r="N755" t="s">
        <v>1759</v>
      </c>
      <c r="O755">
        <f t="shared" si="59"/>
        <v>2</v>
      </c>
      <c r="P755" s="12" t="e">
        <f>HYPERLINK(#REF!,"Link")</f>
        <v>#REF!</v>
      </c>
      <c r="Q755" s="12" t="e">
        <f>HYPERLINK(#REF!,"Link")</f>
        <v>#REF!</v>
      </c>
    </row>
    <row r="756" spans="1:17" x14ac:dyDescent="0.3">
      <c r="A756" t="s">
        <v>1760</v>
      </c>
      <c r="B756" t="s">
        <v>1761</v>
      </c>
      <c r="C756" s="9" t="s">
        <v>3859</v>
      </c>
      <c r="D756" s="9" t="s">
        <v>3884</v>
      </c>
      <c r="E756" s="14">
        <v>999</v>
      </c>
      <c r="F756" s="3">
        <v>449</v>
      </c>
      <c r="G756" s="3">
        <f t="shared" si="56"/>
        <v>1998</v>
      </c>
      <c r="H756" s="3">
        <f t="shared" si="55"/>
        <v>898</v>
      </c>
      <c r="I756" s="14">
        <f t="shared" si="57"/>
        <v>1098.9000000000001</v>
      </c>
      <c r="J756" s="14">
        <f t="shared" si="58"/>
        <v>-1100</v>
      </c>
      <c r="K756" s="1">
        <v>0.55000000000000004</v>
      </c>
      <c r="L756">
        <v>4.4000000000000004</v>
      </c>
      <c r="M756" s="2">
        <v>9940</v>
      </c>
      <c r="N756" t="s">
        <v>1762</v>
      </c>
      <c r="O756">
        <f t="shared" si="59"/>
        <v>2</v>
      </c>
      <c r="P756" s="12" t="e">
        <f>HYPERLINK(#REF!,"Link")</f>
        <v>#REF!</v>
      </c>
      <c r="Q756" s="12" t="e">
        <f>HYPERLINK(#REF!,"Link")</f>
        <v>#REF!</v>
      </c>
    </row>
    <row r="757" spans="1:17" x14ac:dyDescent="0.3">
      <c r="A757" t="s">
        <v>1763</v>
      </c>
      <c r="B757" t="s">
        <v>1764</v>
      </c>
      <c r="C757" s="10" t="s">
        <v>3885</v>
      </c>
      <c r="D757" s="10" t="s">
        <v>3886</v>
      </c>
      <c r="E757" s="14">
        <v>999</v>
      </c>
      <c r="F757" s="3">
        <v>549</v>
      </c>
      <c r="G757" s="3">
        <f t="shared" si="56"/>
        <v>1998</v>
      </c>
      <c r="H757" s="3">
        <f t="shared" si="55"/>
        <v>1098</v>
      </c>
      <c r="I757" s="14">
        <f t="shared" si="57"/>
        <v>899.1</v>
      </c>
      <c r="J757" s="14">
        <f t="shared" si="58"/>
        <v>-900</v>
      </c>
      <c r="K757" s="1">
        <v>0.45</v>
      </c>
      <c r="L757">
        <v>4.3</v>
      </c>
      <c r="M757" s="2">
        <v>7758</v>
      </c>
      <c r="N757" t="s">
        <v>1765</v>
      </c>
      <c r="O757">
        <f t="shared" si="59"/>
        <v>2</v>
      </c>
      <c r="P757" s="12" t="e">
        <f>HYPERLINK(#REF!,"Link")</f>
        <v>#REF!</v>
      </c>
      <c r="Q757" s="12" t="e">
        <f>HYPERLINK(#REF!,"Link")</f>
        <v>#REF!</v>
      </c>
    </row>
    <row r="758" spans="1:17" x14ac:dyDescent="0.3">
      <c r="A758" t="s">
        <v>1766</v>
      </c>
      <c r="B758" t="s">
        <v>1767</v>
      </c>
      <c r="C758" s="9" t="s">
        <v>3864</v>
      </c>
      <c r="D758" s="9" t="s">
        <v>3887</v>
      </c>
      <c r="E758" s="14">
        <v>2399</v>
      </c>
      <c r="F758" s="3">
        <v>1529</v>
      </c>
      <c r="G758" s="3">
        <f t="shared" si="56"/>
        <v>7197</v>
      </c>
      <c r="H758" s="3">
        <f t="shared" si="55"/>
        <v>4587</v>
      </c>
      <c r="I758" s="14">
        <f t="shared" si="57"/>
        <v>2590.92</v>
      </c>
      <c r="J758" s="14">
        <f t="shared" si="58"/>
        <v>-2610</v>
      </c>
      <c r="K758" s="1">
        <v>0.36</v>
      </c>
      <c r="L758">
        <v>4.3</v>
      </c>
      <c r="M758" s="2">
        <v>68409</v>
      </c>
      <c r="N758" t="s">
        <v>1768</v>
      </c>
      <c r="O758">
        <f t="shared" si="59"/>
        <v>3</v>
      </c>
      <c r="P758" s="12" t="e">
        <f>HYPERLINK(#REF!,"Link")</f>
        <v>#REF!</v>
      </c>
      <c r="Q758" s="12" t="e">
        <f>HYPERLINK(#REF!,"Link")</f>
        <v>#REF!</v>
      </c>
    </row>
    <row r="759" spans="1:17" x14ac:dyDescent="0.3">
      <c r="A759" t="s">
        <v>1769</v>
      </c>
      <c r="B759" t="s">
        <v>1770</v>
      </c>
      <c r="C759" s="10" t="s">
        <v>3861</v>
      </c>
      <c r="D759" s="10" t="s">
        <v>3888</v>
      </c>
      <c r="E759" s="14">
        <v>100</v>
      </c>
      <c r="F759" s="3">
        <v>100</v>
      </c>
      <c r="G759" s="3">
        <f t="shared" si="56"/>
        <v>300</v>
      </c>
      <c r="H759" s="3">
        <f t="shared" si="55"/>
        <v>300</v>
      </c>
      <c r="I759" s="14">
        <f t="shared" si="57"/>
        <v>0</v>
      </c>
      <c r="J759" s="14">
        <f t="shared" si="58"/>
        <v>0</v>
      </c>
      <c r="K759" s="1">
        <v>0</v>
      </c>
      <c r="L759">
        <v>4.3</v>
      </c>
      <c r="M759" s="2">
        <v>3095</v>
      </c>
      <c r="N759" t="s">
        <v>1771</v>
      </c>
      <c r="O759">
        <f t="shared" si="59"/>
        <v>3</v>
      </c>
      <c r="P759" s="12" t="e">
        <f>HYPERLINK(#REF!,"Link")</f>
        <v>#REF!</v>
      </c>
      <c r="Q759" s="12" t="e">
        <f>HYPERLINK(#REF!,"Link")</f>
        <v>#REF!</v>
      </c>
    </row>
    <row r="760" spans="1:17" x14ac:dyDescent="0.3">
      <c r="A760" t="s">
        <v>1772</v>
      </c>
      <c r="B760" t="s">
        <v>1773</v>
      </c>
      <c r="C760" s="9" t="s">
        <v>3859</v>
      </c>
      <c r="D760" s="9" t="s">
        <v>3889</v>
      </c>
      <c r="E760" s="14">
        <v>1499</v>
      </c>
      <c r="F760" s="3">
        <v>299</v>
      </c>
      <c r="G760" s="3">
        <f t="shared" si="56"/>
        <v>8994</v>
      </c>
      <c r="H760" s="3">
        <f t="shared" si="55"/>
        <v>1794</v>
      </c>
      <c r="I760" s="14">
        <f t="shared" si="57"/>
        <v>7195.2000000000007</v>
      </c>
      <c r="J760" s="14">
        <f t="shared" si="58"/>
        <v>-7200</v>
      </c>
      <c r="K760" s="1">
        <v>0.8</v>
      </c>
      <c r="L760">
        <v>4.2</v>
      </c>
      <c r="M760">
        <v>903</v>
      </c>
      <c r="N760" t="s">
        <v>1774</v>
      </c>
      <c r="O760">
        <f t="shared" si="59"/>
        <v>6</v>
      </c>
      <c r="P760" s="12" t="e">
        <f>HYPERLINK(#REF!,"Link")</f>
        <v>#REF!</v>
      </c>
      <c r="Q760" s="12" t="e">
        <f>HYPERLINK(#REF!,"Link")</f>
        <v>#REF!</v>
      </c>
    </row>
    <row r="761" spans="1:17" x14ac:dyDescent="0.3">
      <c r="A761" t="s">
        <v>1775</v>
      </c>
      <c r="B761" t="s">
        <v>1776</v>
      </c>
      <c r="C761" s="10" t="s">
        <v>3861</v>
      </c>
      <c r="D761" s="10" t="s">
        <v>3890</v>
      </c>
      <c r="E761" s="14">
        <v>1795</v>
      </c>
      <c r="F761" s="3">
        <v>1295</v>
      </c>
      <c r="G761" s="3">
        <f t="shared" si="56"/>
        <v>3590</v>
      </c>
      <c r="H761" s="3">
        <f t="shared" si="55"/>
        <v>2590</v>
      </c>
      <c r="I761" s="14">
        <f t="shared" si="57"/>
        <v>1005.2</v>
      </c>
      <c r="J761" s="14">
        <f t="shared" si="58"/>
        <v>-1000</v>
      </c>
      <c r="K761" s="1">
        <v>0.28000000000000003</v>
      </c>
      <c r="L761">
        <v>4.0999999999999996</v>
      </c>
      <c r="M761" s="2">
        <v>25771</v>
      </c>
      <c r="N761" t="s">
        <v>1777</v>
      </c>
      <c r="O761">
        <f t="shared" si="59"/>
        <v>2</v>
      </c>
      <c r="P761" s="12" t="e">
        <f>HYPERLINK(#REF!,"Link")</f>
        <v>#REF!</v>
      </c>
      <c r="Q761" s="12" t="e">
        <f>HYPERLINK(#REF!,"Link")</f>
        <v>#REF!</v>
      </c>
    </row>
    <row r="762" spans="1:17" x14ac:dyDescent="0.3">
      <c r="A762" t="s">
        <v>1778</v>
      </c>
      <c r="B762" t="s">
        <v>1779</v>
      </c>
      <c r="C762" s="9" t="s">
        <v>3891</v>
      </c>
      <c r="D762" s="9" t="s">
        <v>3892</v>
      </c>
      <c r="E762" s="14">
        <v>999</v>
      </c>
      <c r="F762" s="3">
        <v>699</v>
      </c>
      <c r="G762" s="3">
        <f t="shared" si="56"/>
        <v>3996</v>
      </c>
      <c r="H762" s="3">
        <f t="shared" si="55"/>
        <v>2796</v>
      </c>
      <c r="I762" s="14">
        <f t="shared" si="57"/>
        <v>1198.8</v>
      </c>
      <c r="J762" s="14">
        <f t="shared" si="58"/>
        <v>-1200</v>
      </c>
      <c r="K762" s="1">
        <v>0.3</v>
      </c>
      <c r="L762">
        <v>4.0999999999999996</v>
      </c>
      <c r="M762" s="2">
        <v>273189</v>
      </c>
      <c r="N762" t="s">
        <v>1780</v>
      </c>
      <c r="O762">
        <f t="shared" si="59"/>
        <v>4</v>
      </c>
      <c r="P762" s="12" t="e">
        <f>HYPERLINK(#REF!,"Link")</f>
        <v>#REF!</v>
      </c>
      <c r="Q762" s="12" t="e">
        <f>HYPERLINK(#REF!,"Link")</f>
        <v>#REF!</v>
      </c>
    </row>
    <row r="763" spans="1:17" x14ac:dyDescent="0.3">
      <c r="A763" t="s">
        <v>1781</v>
      </c>
      <c r="B763" t="s">
        <v>1782</v>
      </c>
      <c r="C763" s="10" t="s">
        <v>3885</v>
      </c>
      <c r="D763" s="10" t="s">
        <v>3893</v>
      </c>
      <c r="E763" s="14">
        <v>315</v>
      </c>
      <c r="F763" s="3">
        <v>252</v>
      </c>
      <c r="G763" s="3">
        <f t="shared" si="56"/>
        <v>945</v>
      </c>
      <c r="H763" s="3">
        <f t="shared" si="55"/>
        <v>756</v>
      </c>
      <c r="I763" s="14">
        <f t="shared" si="57"/>
        <v>189</v>
      </c>
      <c r="J763" s="14">
        <f t="shared" si="58"/>
        <v>-189</v>
      </c>
      <c r="K763" s="1">
        <v>0.2</v>
      </c>
      <c r="L763">
        <v>4.5</v>
      </c>
      <c r="M763" s="2">
        <v>3785</v>
      </c>
      <c r="N763" t="s">
        <v>1783</v>
      </c>
      <c r="O763">
        <f t="shared" si="59"/>
        <v>3</v>
      </c>
      <c r="P763" s="12" t="e">
        <f>HYPERLINK(#REF!,"Link")</f>
        <v>#REF!</v>
      </c>
      <c r="Q763" s="12" t="e">
        <f>HYPERLINK(#REF!,"Link")</f>
        <v>#REF!</v>
      </c>
    </row>
    <row r="764" spans="1:17" x14ac:dyDescent="0.3">
      <c r="A764" t="s">
        <v>1784</v>
      </c>
      <c r="B764" t="s">
        <v>1785</v>
      </c>
      <c r="C764" s="9" t="s">
        <v>3891</v>
      </c>
      <c r="D764" s="9" t="s">
        <v>3894</v>
      </c>
      <c r="E764" s="14">
        <v>220</v>
      </c>
      <c r="F764" s="3">
        <v>190</v>
      </c>
      <c r="G764" s="3">
        <f t="shared" si="56"/>
        <v>1100</v>
      </c>
      <c r="H764" s="3">
        <f t="shared" si="55"/>
        <v>950</v>
      </c>
      <c r="I764" s="14">
        <f t="shared" si="57"/>
        <v>154.00000000000003</v>
      </c>
      <c r="J764" s="14">
        <f t="shared" si="58"/>
        <v>-150</v>
      </c>
      <c r="K764" s="1">
        <v>0.14000000000000001</v>
      </c>
      <c r="L764">
        <v>4.4000000000000004</v>
      </c>
      <c r="M764" s="2">
        <v>2866</v>
      </c>
      <c r="N764" t="s">
        <v>1786</v>
      </c>
      <c r="O764">
        <f t="shared" si="59"/>
        <v>5</v>
      </c>
      <c r="P764" s="12" t="e">
        <f>HYPERLINK(#REF!,"Link")</f>
        <v>#REF!</v>
      </c>
      <c r="Q764" s="12" t="e">
        <f>HYPERLINK(#REF!,"Link")</f>
        <v>#REF!</v>
      </c>
    </row>
    <row r="765" spans="1:17" x14ac:dyDescent="0.3">
      <c r="A765" t="s">
        <v>1787</v>
      </c>
      <c r="B765" t="s">
        <v>1788</v>
      </c>
      <c r="C765" s="10" t="s">
        <v>3895</v>
      </c>
      <c r="D765" s="10" t="s">
        <v>3896</v>
      </c>
      <c r="E765" s="14">
        <v>1599</v>
      </c>
      <c r="F765" s="3">
        <v>1299</v>
      </c>
      <c r="G765" s="3">
        <f t="shared" si="56"/>
        <v>6396</v>
      </c>
      <c r="H765" s="3">
        <f t="shared" si="55"/>
        <v>5196</v>
      </c>
      <c r="I765" s="14">
        <f t="shared" si="57"/>
        <v>1215.24</v>
      </c>
      <c r="J765" s="14">
        <f t="shared" si="58"/>
        <v>-1200</v>
      </c>
      <c r="K765" s="1">
        <v>0.19</v>
      </c>
      <c r="L765">
        <v>4.3</v>
      </c>
      <c r="M765" s="2">
        <v>27223</v>
      </c>
      <c r="N765" t="s">
        <v>1789</v>
      </c>
      <c r="O765">
        <f t="shared" si="59"/>
        <v>4</v>
      </c>
      <c r="P765" s="12" t="e">
        <f>HYPERLINK(#REF!,"Link")</f>
        <v>#REF!</v>
      </c>
      <c r="Q765" s="12" t="e">
        <f>HYPERLINK(#REF!,"Link")</f>
        <v>#REF!</v>
      </c>
    </row>
    <row r="766" spans="1:17" x14ac:dyDescent="0.3">
      <c r="A766" t="s">
        <v>1790</v>
      </c>
      <c r="B766" t="s">
        <v>1791</v>
      </c>
      <c r="C766" s="9" t="s">
        <v>3895</v>
      </c>
      <c r="D766" s="9" t="s">
        <v>3897</v>
      </c>
      <c r="E766" s="14">
        <v>1650</v>
      </c>
      <c r="F766" s="3">
        <v>729</v>
      </c>
      <c r="G766" s="3">
        <f t="shared" si="56"/>
        <v>8250</v>
      </c>
      <c r="H766" s="3">
        <f t="shared" si="55"/>
        <v>3645</v>
      </c>
      <c r="I766" s="14">
        <f t="shared" si="57"/>
        <v>4620.0000000000009</v>
      </c>
      <c r="J766" s="14">
        <f t="shared" si="58"/>
        <v>-4605</v>
      </c>
      <c r="K766" s="1">
        <v>0.56000000000000005</v>
      </c>
      <c r="L766">
        <v>4.3</v>
      </c>
      <c r="M766" s="2">
        <v>82356</v>
      </c>
      <c r="N766" t="s">
        <v>1792</v>
      </c>
      <c r="O766">
        <f t="shared" si="59"/>
        <v>5</v>
      </c>
      <c r="P766" s="12" t="e">
        <f>HYPERLINK(#REF!,"Link")</f>
        <v>#REF!</v>
      </c>
      <c r="Q766" s="12" t="e">
        <f>HYPERLINK(#REF!,"Link")</f>
        <v>#REF!</v>
      </c>
    </row>
    <row r="767" spans="1:17" x14ac:dyDescent="0.3">
      <c r="A767" t="s">
        <v>1793</v>
      </c>
      <c r="B767" t="s">
        <v>1794</v>
      </c>
      <c r="C767" s="10" t="s">
        <v>3859</v>
      </c>
      <c r="D767" s="10" t="s">
        <v>3898</v>
      </c>
      <c r="E767" s="14">
        <v>600</v>
      </c>
      <c r="F767" s="3">
        <v>480</v>
      </c>
      <c r="G767" s="3">
        <f t="shared" si="56"/>
        <v>1800</v>
      </c>
      <c r="H767" s="3">
        <f t="shared" si="55"/>
        <v>1440</v>
      </c>
      <c r="I767" s="14">
        <f t="shared" si="57"/>
        <v>360</v>
      </c>
      <c r="J767" s="14">
        <f t="shared" si="58"/>
        <v>-360</v>
      </c>
      <c r="K767" s="1">
        <v>0.2</v>
      </c>
      <c r="L767">
        <v>4.3</v>
      </c>
      <c r="M767" s="2">
        <v>5719</v>
      </c>
      <c r="N767" t="s">
        <v>1795</v>
      </c>
      <c r="O767">
        <f t="shared" si="59"/>
        <v>3</v>
      </c>
      <c r="P767" s="12" t="e">
        <f>HYPERLINK(#REF!,"Link")</f>
        <v>#REF!</v>
      </c>
      <c r="Q767" s="12" t="e">
        <f>HYPERLINK(#REF!,"Link")</f>
        <v>#REF!</v>
      </c>
    </row>
    <row r="768" spans="1:17" x14ac:dyDescent="0.3">
      <c r="A768" t="s">
        <v>1197</v>
      </c>
      <c r="B768" t="s">
        <v>1198</v>
      </c>
      <c r="C768" s="9" t="s">
        <v>3899</v>
      </c>
      <c r="D768" s="9" t="s">
        <v>3900</v>
      </c>
      <c r="E768" s="14">
        <v>6990</v>
      </c>
      <c r="F768" s="3">
        <v>1799</v>
      </c>
      <c r="G768" s="3">
        <f t="shared" si="56"/>
        <v>13980</v>
      </c>
      <c r="H768" s="3">
        <f t="shared" si="55"/>
        <v>3598</v>
      </c>
      <c r="I768" s="14">
        <f t="shared" si="57"/>
        <v>10345.200000000001</v>
      </c>
      <c r="J768" s="14">
        <f t="shared" si="58"/>
        <v>-10382</v>
      </c>
      <c r="K768" s="1">
        <v>0.74</v>
      </c>
      <c r="L768">
        <v>4</v>
      </c>
      <c r="M768" s="2">
        <v>26880</v>
      </c>
      <c r="N768" t="s">
        <v>1199</v>
      </c>
      <c r="O768">
        <f t="shared" si="59"/>
        <v>2</v>
      </c>
      <c r="P768" s="12" t="e">
        <f>HYPERLINK(#REF!,"Link")</f>
        <v>#REF!</v>
      </c>
      <c r="Q768" s="12" t="e">
        <f>HYPERLINK(#REF!,"Link")</f>
        <v>#REF!</v>
      </c>
    </row>
    <row r="769" spans="1:17" x14ac:dyDescent="0.3">
      <c r="A769" t="s">
        <v>1796</v>
      </c>
      <c r="B769" t="s">
        <v>1797</v>
      </c>
      <c r="C769" s="10" t="s">
        <v>3901</v>
      </c>
      <c r="D769" s="10" t="s">
        <v>3902</v>
      </c>
      <c r="E769" s="14">
        <v>2499</v>
      </c>
      <c r="F769" s="3">
        <v>999</v>
      </c>
      <c r="G769" s="3">
        <f t="shared" si="56"/>
        <v>12495</v>
      </c>
      <c r="H769" s="3">
        <f t="shared" si="55"/>
        <v>4995</v>
      </c>
      <c r="I769" s="14">
        <f t="shared" si="57"/>
        <v>7496.9999999999991</v>
      </c>
      <c r="J769" s="14">
        <f t="shared" si="58"/>
        <v>-7500</v>
      </c>
      <c r="K769" s="1">
        <v>0.6</v>
      </c>
      <c r="L769">
        <v>4.3</v>
      </c>
      <c r="M769" s="2">
        <v>1690</v>
      </c>
      <c r="N769" t="s">
        <v>1798</v>
      </c>
      <c r="O769">
        <f t="shared" si="59"/>
        <v>5</v>
      </c>
      <c r="P769" s="12" t="e">
        <f>HYPERLINK(#REF!,"Link")</f>
        <v>#REF!</v>
      </c>
      <c r="Q769" s="12" t="e">
        <f>HYPERLINK(#REF!,"Link")</f>
        <v>#REF!</v>
      </c>
    </row>
    <row r="770" spans="1:17" x14ac:dyDescent="0.3">
      <c r="A770" t="s">
        <v>84</v>
      </c>
      <c r="B770" t="s">
        <v>85</v>
      </c>
      <c r="C770" s="9" t="s">
        <v>3895</v>
      </c>
      <c r="D770" s="9" t="s">
        <v>3903</v>
      </c>
      <c r="E770" s="14">
        <v>399</v>
      </c>
      <c r="F770" s="3">
        <v>299</v>
      </c>
      <c r="G770" s="3">
        <f t="shared" si="56"/>
        <v>1596</v>
      </c>
      <c r="H770" s="3">
        <f t="shared" ref="H770:H833" si="60">F770*O770</f>
        <v>1196</v>
      </c>
      <c r="I770" s="14">
        <f t="shared" si="57"/>
        <v>399</v>
      </c>
      <c r="J770" s="14">
        <f t="shared" si="58"/>
        <v>-400</v>
      </c>
      <c r="K770" s="1">
        <v>0.25</v>
      </c>
      <c r="L770">
        <v>4</v>
      </c>
      <c r="M770" s="2">
        <v>2766</v>
      </c>
      <c r="N770" t="s">
        <v>86</v>
      </c>
      <c r="O770">
        <f t="shared" si="59"/>
        <v>4</v>
      </c>
      <c r="P770" s="12" t="e">
        <f>HYPERLINK(#REF!,"Link")</f>
        <v>#REF!</v>
      </c>
      <c r="Q770" s="12" t="e">
        <f>HYPERLINK(#REF!,"Link")</f>
        <v>#REF!</v>
      </c>
    </row>
    <row r="771" spans="1:17" x14ac:dyDescent="0.3">
      <c r="A771" t="s">
        <v>1799</v>
      </c>
      <c r="B771" t="s">
        <v>1800</v>
      </c>
      <c r="C771" s="10" t="s">
        <v>3877</v>
      </c>
      <c r="D771" s="10" t="s">
        <v>3904</v>
      </c>
      <c r="E771" s="14">
        <v>699</v>
      </c>
      <c r="F771" s="3">
        <v>238</v>
      </c>
      <c r="G771" s="3">
        <f t="shared" ref="G771:G834" si="61">E771*O771</f>
        <v>699</v>
      </c>
      <c r="H771" s="3">
        <f t="shared" si="60"/>
        <v>238</v>
      </c>
      <c r="I771" s="14">
        <f t="shared" ref="I771:I834" si="62">(E771*K771)*O771</f>
        <v>461.34000000000003</v>
      </c>
      <c r="J771" s="14">
        <f t="shared" ref="J771:J834" si="63">H771-G771</f>
        <v>-461</v>
      </c>
      <c r="K771" s="1">
        <v>0.66</v>
      </c>
      <c r="L771">
        <v>4.4000000000000004</v>
      </c>
      <c r="M771" s="2">
        <v>8372</v>
      </c>
      <c r="N771" t="s">
        <v>1801</v>
      </c>
      <c r="O771">
        <f t="shared" ref="O771:O834" si="64">LEN(N771)-LEN(SUBSTITUTE(N771,",",""))+1</f>
        <v>1</v>
      </c>
      <c r="P771" s="12" t="e">
        <f>HYPERLINK(#REF!,"Link")</f>
        <v>#REF!</v>
      </c>
      <c r="Q771" s="12" t="e">
        <f>HYPERLINK(#REF!,"Link")</f>
        <v>#REF!</v>
      </c>
    </row>
    <row r="772" spans="1:17" x14ac:dyDescent="0.3">
      <c r="A772" t="s">
        <v>1802</v>
      </c>
      <c r="B772" t="s">
        <v>1803</v>
      </c>
      <c r="C772" s="9" t="s">
        <v>3905</v>
      </c>
      <c r="D772" s="9" t="s">
        <v>3906</v>
      </c>
      <c r="E772" s="14">
        <v>2198</v>
      </c>
      <c r="F772" s="3">
        <v>1349</v>
      </c>
      <c r="G772" s="3">
        <f t="shared" si="61"/>
        <v>4396</v>
      </c>
      <c r="H772" s="3">
        <f t="shared" si="60"/>
        <v>2698</v>
      </c>
      <c r="I772" s="14">
        <f t="shared" si="62"/>
        <v>1714.44</v>
      </c>
      <c r="J772" s="14">
        <f t="shared" si="63"/>
        <v>-1698</v>
      </c>
      <c r="K772" s="1">
        <v>0.39</v>
      </c>
      <c r="L772">
        <v>4</v>
      </c>
      <c r="M772" s="2">
        <v>7113</v>
      </c>
      <c r="N772" t="s">
        <v>1804</v>
      </c>
      <c r="O772">
        <f t="shared" si="64"/>
        <v>2</v>
      </c>
      <c r="P772" s="12" t="e">
        <f>HYPERLINK(#REF!,"Link")</f>
        <v>#REF!</v>
      </c>
      <c r="Q772" s="12" t="e">
        <f>HYPERLINK(#REF!,"Link")</f>
        <v>#REF!</v>
      </c>
    </row>
    <row r="773" spans="1:17" x14ac:dyDescent="0.3">
      <c r="A773" t="s">
        <v>90</v>
      </c>
      <c r="B773" t="s">
        <v>91</v>
      </c>
      <c r="C773" s="10" t="s">
        <v>3877</v>
      </c>
      <c r="D773" s="10" t="s">
        <v>3907</v>
      </c>
      <c r="E773" s="14">
        <v>999</v>
      </c>
      <c r="F773" s="3">
        <v>299</v>
      </c>
      <c r="G773" s="3">
        <f t="shared" si="61"/>
        <v>2997</v>
      </c>
      <c r="H773" s="3">
        <f t="shared" si="60"/>
        <v>897</v>
      </c>
      <c r="I773" s="14">
        <f t="shared" si="62"/>
        <v>2097.8999999999996</v>
      </c>
      <c r="J773" s="14">
        <f t="shared" si="63"/>
        <v>-2100</v>
      </c>
      <c r="K773" s="1">
        <v>0.7</v>
      </c>
      <c r="L773">
        <v>4.3</v>
      </c>
      <c r="M773" s="2">
        <v>20850</v>
      </c>
      <c r="N773" t="s">
        <v>92</v>
      </c>
      <c r="O773">
        <f t="shared" si="64"/>
        <v>3</v>
      </c>
      <c r="P773" s="12" t="e">
        <f>HYPERLINK(#REF!,"Link")</f>
        <v>#REF!</v>
      </c>
      <c r="Q773" s="12" t="e">
        <f>HYPERLINK(#REF!,"Link")</f>
        <v>#REF!</v>
      </c>
    </row>
    <row r="774" spans="1:17" x14ac:dyDescent="0.3">
      <c r="A774" t="s">
        <v>1805</v>
      </c>
      <c r="B774" t="s">
        <v>1806</v>
      </c>
      <c r="C774" s="9" t="s">
        <v>3859</v>
      </c>
      <c r="D774" s="9" t="s">
        <v>3908</v>
      </c>
      <c r="E774" s="14">
        <v>499</v>
      </c>
      <c r="F774" s="3">
        <v>199</v>
      </c>
      <c r="G774" s="3">
        <f t="shared" si="61"/>
        <v>1497</v>
      </c>
      <c r="H774" s="3">
        <f t="shared" si="60"/>
        <v>597</v>
      </c>
      <c r="I774" s="14">
        <f t="shared" si="62"/>
        <v>898.19999999999993</v>
      </c>
      <c r="J774" s="14">
        <f t="shared" si="63"/>
        <v>-900</v>
      </c>
      <c r="K774" s="1">
        <v>0.6</v>
      </c>
      <c r="L774">
        <v>3.3</v>
      </c>
      <c r="M774" s="2">
        <v>2804</v>
      </c>
      <c r="N774" t="s">
        <v>1807</v>
      </c>
      <c r="O774">
        <f t="shared" si="64"/>
        <v>3</v>
      </c>
      <c r="P774" s="12" t="e">
        <f>HYPERLINK(#REF!,"Link")</f>
        <v>#REF!</v>
      </c>
      <c r="Q774" s="12" t="e">
        <f>HYPERLINK(#REF!,"Link")</f>
        <v>#REF!</v>
      </c>
    </row>
    <row r="775" spans="1:17" x14ac:dyDescent="0.3">
      <c r="A775" t="s">
        <v>1808</v>
      </c>
      <c r="B775" t="s">
        <v>1809</v>
      </c>
      <c r="C775" s="10" t="s">
        <v>3859</v>
      </c>
      <c r="D775" s="10" t="s">
        <v>3909</v>
      </c>
      <c r="E775" s="14">
        <v>9999</v>
      </c>
      <c r="F775" s="3">
        <v>1999</v>
      </c>
      <c r="G775" s="3">
        <f t="shared" si="61"/>
        <v>19998</v>
      </c>
      <c r="H775" s="3">
        <f t="shared" si="60"/>
        <v>3998</v>
      </c>
      <c r="I775" s="14">
        <f t="shared" si="62"/>
        <v>15998.400000000001</v>
      </c>
      <c r="J775" s="14">
        <f t="shared" si="63"/>
        <v>-16000</v>
      </c>
      <c r="K775" s="1">
        <v>0.8</v>
      </c>
      <c r="L775">
        <v>3.7</v>
      </c>
      <c r="M775" s="2">
        <v>1986</v>
      </c>
      <c r="N775" t="s">
        <v>1810</v>
      </c>
      <c r="O775">
        <f t="shared" si="64"/>
        <v>2</v>
      </c>
      <c r="P775" s="12" t="e">
        <f>HYPERLINK(#REF!,"Link")</f>
        <v>#REF!</v>
      </c>
      <c r="Q775" s="12" t="e">
        <f>HYPERLINK(#REF!,"Link")</f>
        <v>#REF!</v>
      </c>
    </row>
    <row r="776" spans="1:17" x14ac:dyDescent="0.3">
      <c r="A776" t="s">
        <v>1811</v>
      </c>
      <c r="B776" t="s">
        <v>1812</v>
      </c>
      <c r="C776" s="9" t="s">
        <v>3859</v>
      </c>
      <c r="D776" s="9" t="s">
        <v>3910</v>
      </c>
      <c r="E776" s="14">
        <v>499</v>
      </c>
      <c r="F776" s="3">
        <v>99</v>
      </c>
      <c r="G776" s="3">
        <f t="shared" si="61"/>
        <v>998</v>
      </c>
      <c r="H776" s="3">
        <f t="shared" si="60"/>
        <v>198</v>
      </c>
      <c r="I776" s="14">
        <f t="shared" si="62"/>
        <v>798.40000000000009</v>
      </c>
      <c r="J776" s="14">
        <f t="shared" si="63"/>
        <v>-800</v>
      </c>
      <c r="K776" s="1">
        <v>0.8</v>
      </c>
      <c r="L776">
        <v>4.0999999999999996</v>
      </c>
      <c r="M776" s="2">
        <v>2451</v>
      </c>
      <c r="N776" t="s">
        <v>1248</v>
      </c>
      <c r="O776">
        <f t="shared" si="64"/>
        <v>2</v>
      </c>
      <c r="P776" s="12" t="e">
        <f>HYPERLINK(#REF!,"Link")</f>
        <v>#REF!</v>
      </c>
      <c r="Q776" s="12" t="e">
        <f>HYPERLINK(#REF!,"Link")</f>
        <v>#REF!</v>
      </c>
    </row>
    <row r="777" spans="1:17" x14ac:dyDescent="0.3">
      <c r="A777" t="s">
        <v>1813</v>
      </c>
      <c r="B777" t="s">
        <v>1814</v>
      </c>
      <c r="C777" s="10" t="s">
        <v>3859</v>
      </c>
      <c r="D777" s="10" t="s">
        <v>3911</v>
      </c>
      <c r="E777" s="14">
        <v>1000</v>
      </c>
      <c r="F777" s="3">
        <v>499</v>
      </c>
      <c r="G777" s="3">
        <f t="shared" si="61"/>
        <v>3000</v>
      </c>
      <c r="H777" s="3">
        <f t="shared" si="60"/>
        <v>1497</v>
      </c>
      <c r="I777" s="14">
        <f t="shared" si="62"/>
        <v>1500</v>
      </c>
      <c r="J777" s="14">
        <f t="shared" si="63"/>
        <v>-1503</v>
      </c>
      <c r="K777" s="1">
        <v>0.5</v>
      </c>
      <c r="L777">
        <v>5</v>
      </c>
      <c r="M777">
        <v>23</v>
      </c>
      <c r="N777" t="s">
        <v>1815</v>
      </c>
      <c r="O777">
        <f t="shared" si="64"/>
        <v>3</v>
      </c>
      <c r="P777" s="12" t="e">
        <f>HYPERLINK(#REF!,"Link")</f>
        <v>#REF!</v>
      </c>
      <c r="Q777" s="12" t="e">
        <f>HYPERLINK(#REF!,"Link")</f>
        <v>#REF!</v>
      </c>
    </row>
    <row r="778" spans="1:17" x14ac:dyDescent="0.3">
      <c r="A778" t="s">
        <v>1816</v>
      </c>
      <c r="B778" t="s">
        <v>1817</v>
      </c>
      <c r="C778" s="9" t="s">
        <v>3859</v>
      </c>
      <c r="D778" s="9"/>
      <c r="E778" s="14">
        <v>3500</v>
      </c>
      <c r="F778" s="3">
        <v>1792</v>
      </c>
      <c r="G778" s="3">
        <f t="shared" si="61"/>
        <v>10500</v>
      </c>
      <c r="H778" s="3">
        <f t="shared" si="60"/>
        <v>5376</v>
      </c>
      <c r="I778" s="14">
        <f t="shared" si="62"/>
        <v>5145</v>
      </c>
      <c r="J778" s="14">
        <f t="shared" si="63"/>
        <v>-5124</v>
      </c>
      <c r="K778" s="1">
        <v>0.49</v>
      </c>
      <c r="L778">
        <v>4.5</v>
      </c>
      <c r="M778" s="2">
        <v>26194</v>
      </c>
      <c r="N778" t="s">
        <v>1818</v>
      </c>
      <c r="O778">
        <f t="shared" si="64"/>
        <v>3</v>
      </c>
      <c r="P778" s="12" t="e">
        <f>HYPERLINK(#REF!,"Link")</f>
        <v>#REF!</v>
      </c>
      <c r="Q778" s="12" t="e">
        <f>HYPERLINK(#REF!,"Link")</f>
        <v>#REF!</v>
      </c>
    </row>
    <row r="779" spans="1:17" x14ac:dyDescent="0.3">
      <c r="A779" t="s">
        <v>1819</v>
      </c>
      <c r="B779" t="s">
        <v>1820</v>
      </c>
      <c r="C779" s="10" t="s">
        <v>3912</v>
      </c>
      <c r="D779" s="10" t="s">
        <v>3913</v>
      </c>
      <c r="E779" s="14">
        <v>4100</v>
      </c>
      <c r="F779" s="3">
        <v>3299</v>
      </c>
      <c r="G779" s="3">
        <f t="shared" si="61"/>
        <v>16400</v>
      </c>
      <c r="H779" s="3">
        <f t="shared" si="60"/>
        <v>13196</v>
      </c>
      <c r="I779" s="14">
        <f t="shared" si="62"/>
        <v>3280</v>
      </c>
      <c r="J779" s="14">
        <f t="shared" si="63"/>
        <v>-3204</v>
      </c>
      <c r="K779" s="1">
        <v>0.2</v>
      </c>
      <c r="L779">
        <v>3.9</v>
      </c>
      <c r="M779" s="2">
        <v>15783</v>
      </c>
      <c r="N779" t="s">
        <v>1821</v>
      </c>
      <c r="O779">
        <f t="shared" si="64"/>
        <v>4</v>
      </c>
      <c r="P779" s="12" t="e">
        <f>HYPERLINK(#REF!,"Link")</f>
        <v>#REF!</v>
      </c>
      <c r="Q779" s="12" t="e">
        <f>HYPERLINK(#REF!,"Link")</f>
        <v>#REF!</v>
      </c>
    </row>
    <row r="780" spans="1:17" x14ac:dyDescent="0.3">
      <c r="A780" t="s">
        <v>1822</v>
      </c>
      <c r="B780" t="s">
        <v>1782</v>
      </c>
      <c r="C780" s="9" t="s">
        <v>3891</v>
      </c>
      <c r="D780" s="9" t="s">
        <v>3914</v>
      </c>
      <c r="E780" s="14">
        <v>180</v>
      </c>
      <c r="F780" s="3">
        <v>125</v>
      </c>
      <c r="G780" s="3">
        <f t="shared" si="61"/>
        <v>540</v>
      </c>
      <c r="H780" s="3">
        <f t="shared" si="60"/>
        <v>375</v>
      </c>
      <c r="I780" s="14">
        <f t="shared" si="62"/>
        <v>167.39999999999998</v>
      </c>
      <c r="J780" s="14">
        <f t="shared" si="63"/>
        <v>-165</v>
      </c>
      <c r="K780" s="1">
        <v>0.31</v>
      </c>
      <c r="L780">
        <v>4.4000000000000004</v>
      </c>
      <c r="M780" s="2">
        <v>8053</v>
      </c>
      <c r="N780" t="s">
        <v>1823</v>
      </c>
      <c r="O780">
        <f t="shared" si="64"/>
        <v>3</v>
      </c>
      <c r="P780" s="12" t="e">
        <f>HYPERLINK(#REF!,"Link")</f>
        <v>#REF!</v>
      </c>
      <c r="Q780" s="12" t="e">
        <f>HYPERLINK(#REF!,"Link")</f>
        <v>#REF!</v>
      </c>
    </row>
    <row r="781" spans="1:17" x14ac:dyDescent="0.3">
      <c r="A781" t="s">
        <v>1824</v>
      </c>
      <c r="B781" t="s">
        <v>1825</v>
      </c>
      <c r="C781" s="10" t="s">
        <v>3885</v>
      </c>
      <c r="D781" s="10" t="s">
        <v>3915</v>
      </c>
      <c r="E781" s="14">
        <v>1190</v>
      </c>
      <c r="F781" s="3">
        <v>399</v>
      </c>
      <c r="G781" s="3">
        <f t="shared" si="61"/>
        <v>3570</v>
      </c>
      <c r="H781" s="3">
        <f t="shared" si="60"/>
        <v>1197</v>
      </c>
      <c r="I781" s="14">
        <f t="shared" si="62"/>
        <v>2356.2000000000003</v>
      </c>
      <c r="J781" s="14">
        <f t="shared" si="63"/>
        <v>-2373</v>
      </c>
      <c r="K781" s="1">
        <v>0.66</v>
      </c>
      <c r="L781">
        <v>4.0999999999999996</v>
      </c>
      <c r="M781" s="2">
        <v>2809</v>
      </c>
      <c r="N781" t="s">
        <v>1826</v>
      </c>
      <c r="O781">
        <f t="shared" si="64"/>
        <v>3</v>
      </c>
      <c r="P781" s="12" t="e">
        <f>HYPERLINK(#REF!,"Link")</f>
        <v>#REF!</v>
      </c>
      <c r="Q781" s="12" t="e">
        <f>HYPERLINK(#REF!,"Link")</f>
        <v>#REF!</v>
      </c>
    </row>
    <row r="782" spans="1:17" x14ac:dyDescent="0.3">
      <c r="A782" t="s">
        <v>1827</v>
      </c>
      <c r="B782" t="s">
        <v>1828</v>
      </c>
      <c r="C782" s="9" t="s">
        <v>3891</v>
      </c>
      <c r="D782" s="9" t="s">
        <v>3916</v>
      </c>
      <c r="E782" s="14">
        <v>7999</v>
      </c>
      <c r="F782" s="3">
        <v>1199</v>
      </c>
      <c r="G782" s="3">
        <f t="shared" si="61"/>
        <v>15998</v>
      </c>
      <c r="H782" s="3">
        <f t="shared" si="60"/>
        <v>2398</v>
      </c>
      <c r="I782" s="14">
        <f t="shared" si="62"/>
        <v>13598.3</v>
      </c>
      <c r="J782" s="14">
        <f t="shared" si="63"/>
        <v>-13600</v>
      </c>
      <c r="K782" s="1">
        <v>0.85</v>
      </c>
      <c r="L782">
        <v>3.6</v>
      </c>
      <c r="M782" s="2">
        <v>25910</v>
      </c>
      <c r="N782" t="s">
        <v>1829</v>
      </c>
      <c r="O782">
        <f t="shared" si="64"/>
        <v>2</v>
      </c>
      <c r="P782" s="12" t="e">
        <f>HYPERLINK(#REF!,"Link")</f>
        <v>#REF!</v>
      </c>
      <c r="Q782" s="12" t="e">
        <f>HYPERLINK(#REF!,"Link")</f>
        <v>#REF!</v>
      </c>
    </row>
    <row r="783" spans="1:17" x14ac:dyDescent="0.3">
      <c r="A783" t="s">
        <v>1830</v>
      </c>
      <c r="B783" t="s">
        <v>1831</v>
      </c>
      <c r="C783" s="10" t="s">
        <v>3917</v>
      </c>
      <c r="D783" s="10"/>
      <c r="E783" s="14">
        <v>1599</v>
      </c>
      <c r="F783" s="3">
        <v>235</v>
      </c>
      <c r="G783" s="3">
        <f t="shared" si="61"/>
        <v>1599</v>
      </c>
      <c r="H783" s="3">
        <f t="shared" si="60"/>
        <v>235</v>
      </c>
      <c r="I783" s="14">
        <f t="shared" si="62"/>
        <v>1359.1499999999999</v>
      </c>
      <c r="J783" s="14">
        <f t="shared" si="63"/>
        <v>-1364</v>
      </c>
      <c r="K783" s="1">
        <v>0.85</v>
      </c>
      <c r="L783">
        <v>3.8</v>
      </c>
      <c r="M783" s="2">
        <v>1173</v>
      </c>
      <c r="N783" t="s">
        <v>1832</v>
      </c>
      <c r="O783">
        <f t="shared" si="64"/>
        <v>1</v>
      </c>
      <c r="P783" s="12" t="e">
        <f>HYPERLINK(#REF!,"Link")</f>
        <v>#REF!</v>
      </c>
      <c r="Q783" s="12" t="e">
        <f>HYPERLINK(#REF!,"Link")</f>
        <v>#REF!</v>
      </c>
    </row>
    <row r="784" spans="1:17" x14ac:dyDescent="0.3">
      <c r="A784" t="s">
        <v>1833</v>
      </c>
      <c r="B784" t="s">
        <v>1834</v>
      </c>
      <c r="C784" s="9" t="s">
        <v>3859</v>
      </c>
      <c r="D784" s="9" t="s">
        <v>3918</v>
      </c>
      <c r="E784" s="14">
        <v>1999</v>
      </c>
      <c r="F784" s="3">
        <v>549</v>
      </c>
      <c r="G784" s="3">
        <f t="shared" si="61"/>
        <v>7996</v>
      </c>
      <c r="H784" s="3">
        <f t="shared" si="60"/>
        <v>2196</v>
      </c>
      <c r="I784" s="14">
        <f t="shared" si="62"/>
        <v>5837.08</v>
      </c>
      <c r="J784" s="14">
        <f t="shared" si="63"/>
        <v>-5800</v>
      </c>
      <c r="K784" s="1">
        <v>0.73</v>
      </c>
      <c r="L784">
        <v>3.6</v>
      </c>
      <c r="M784" s="2">
        <v>6422</v>
      </c>
      <c r="N784" t="s">
        <v>1835</v>
      </c>
      <c r="O784">
        <f t="shared" si="64"/>
        <v>4</v>
      </c>
      <c r="P784" s="12" t="e">
        <f>HYPERLINK(#REF!,"Link")</f>
        <v>#REF!</v>
      </c>
      <c r="Q784" s="12" t="e">
        <f>HYPERLINK(#REF!,"Link")</f>
        <v>#REF!</v>
      </c>
    </row>
    <row r="785" spans="1:17" x14ac:dyDescent="0.3">
      <c r="A785" t="s">
        <v>1836</v>
      </c>
      <c r="B785" t="s">
        <v>1837</v>
      </c>
      <c r="C785" s="10" t="s">
        <v>3859</v>
      </c>
      <c r="D785" s="10" t="s">
        <v>3919</v>
      </c>
      <c r="E785" s="14">
        <v>99</v>
      </c>
      <c r="F785" s="3">
        <v>89</v>
      </c>
      <c r="G785" s="3">
        <f t="shared" si="61"/>
        <v>198</v>
      </c>
      <c r="H785" s="3">
        <f t="shared" si="60"/>
        <v>178</v>
      </c>
      <c r="I785" s="14">
        <f t="shared" si="62"/>
        <v>19.8</v>
      </c>
      <c r="J785" s="14">
        <f t="shared" si="63"/>
        <v>-20</v>
      </c>
      <c r="K785" s="1">
        <v>0.1</v>
      </c>
      <c r="L785">
        <v>4.2</v>
      </c>
      <c r="M785">
        <v>241</v>
      </c>
      <c r="N785" t="s">
        <v>1838</v>
      </c>
      <c r="O785">
        <f t="shared" si="64"/>
        <v>2</v>
      </c>
      <c r="P785" s="12" t="e">
        <f>HYPERLINK(#REF!,"Link")</f>
        <v>#REF!</v>
      </c>
      <c r="Q785" s="12" t="e">
        <f>HYPERLINK(#REF!,"Link")</f>
        <v>#REF!</v>
      </c>
    </row>
    <row r="786" spans="1:17" x14ac:dyDescent="0.3">
      <c r="A786" t="s">
        <v>87</v>
      </c>
      <c r="B786" t="s">
        <v>88</v>
      </c>
      <c r="C786" s="9" t="s">
        <v>3859</v>
      </c>
      <c r="D786" s="9" t="s">
        <v>3911</v>
      </c>
      <c r="E786" s="14">
        <v>1999</v>
      </c>
      <c r="F786" s="3">
        <v>970</v>
      </c>
      <c r="G786" s="3">
        <f t="shared" si="61"/>
        <v>3998</v>
      </c>
      <c r="H786" s="3">
        <f t="shared" si="60"/>
        <v>1940</v>
      </c>
      <c r="I786" s="14">
        <f t="shared" si="62"/>
        <v>2038.98</v>
      </c>
      <c r="J786" s="14">
        <f t="shared" si="63"/>
        <v>-2058</v>
      </c>
      <c r="K786" s="1">
        <v>0.51</v>
      </c>
      <c r="L786">
        <v>4.4000000000000004</v>
      </c>
      <c r="M786">
        <v>184</v>
      </c>
      <c r="N786" t="s">
        <v>89</v>
      </c>
      <c r="O786">
        <f t="shared" si="64"/>
        <v>2</v>
      </c>
      <c r="P786" s="12" t="e">
        <f>HYPERLINK(#REF!,"Link")</f>
        <v>#REF!</v>
      </c>
      <c r="Q786" s="12" t="e">
        <f>HYPERLINK(#REF!,"Link")</f>
        <v>#REF!</v>
      </c>
    </row>
    <row r="787" spans="1:17" x14ac:dyDescent="0.3">
      <c r="A787" t="s">
        <v>1839</v>
      </c>
      <c r="B787" t="s">
        <v>1840</v>
      </c>
      <c r="C787" s="10" t="s">
        <v>3920</v>
      </c>
      <c r="D787" s="10" t="s">
        <v>3921</v>
      </c>
      <c r="E787" s="14">
        <v>2999</v>
      </c>
      <c r="F787" s="3">
        <v>1299</v>
      </c>
      <c r="G787" s="3">
        <f t="shared" si="61"/>
        <v>11996</v>
      </c>
      <c r="H787" s="3">
        <f t="shared" si="60"/>
        <v>5196</v>
      </c>
      <c r="I787" s="14">
        <f t="shared" si="62"/>
        <v>6837.7199999999993</v>
      </c>
      <c r="J787" s="14">
        <f t="shared" si="63"/>
        <v>-6800</v>
      </c>
      <c r="K787" s="1">
        <v>0.56999999999999995</v>
      </c>
      <c r="L787">
        <v>3.8</v>
      </c>
      <c r="M787" s="2">
        <v>14629</v>
      </c>
      <c r="N787" t="s">
        <v>1841</v>
      </c>
      <c r="O787">
        <f t="shared" si="64"/>
        <v>4</v>
      </c>
      <c r="P787" s="12" t="e">
        <f>HYPERLINK(#REF!,"Link")</f>
        <v>#REF!</v>
      </c>
      <c r="Q787" s="12" t="e">
        <f>HYPERLINK(#REF!,"Link")</f>
        <v>#REF!</v>
      </c>
    </row>
    <row r="788" spans="1:17" x14ac:dyDescent="0.3">
      <c r="A788" t="s">
        <v>1842</v>
      </c>
      <c r="B788" t="s">
        <v>1843</v>
      </c>
      <c r="C788" s="9" t="s">
        <v>3859</v>
      </c>
      <c r="D788" s="9" t="s">
        <v>3918</v>
      </c>
      <c r="E788" s="14">
        <v>999</v>
      </c>
      <c r="F788" s="3">
        <v>230</v>
      </c>
      <c r="G788" s="3">
        <f t="shared" si="61"/>
        <v>3996</v>
      </c>
      <c r="H788" s="3">
        <f t="shared" si="60"/>
        <v>920</v>
      </c>
      <c r="I788" s="14">
        <f t="shared" si="62"/>
        <v>3076.92</v>
      </c>
      <c r="J788" s="14">
        <f t="shared" si="63"/>
        <v>-3076</v>
      </c>
      <c r="K788" s="1">
        <v>0.77</v>
      </c>
      <c r="L788">
        <v>4.2</v>
      </c>
      <c r="M788" s="2">
        <v>1528</v>
      </c>
      <c r="N788" t="s">
        <v>1844</v>
      </c>
      <c r="O788">
        <f t="shared" si="64"/>
        <v>4</v>
      </c>
      <c r="P788" s="12" t="e">
        <f>HYPERLINK(#REF!,"Link")</f>
        <v>#REF!</v>
      </c>
      <c r="Q788" s="12" t="e">
        <f>HYPERLINK(#REF!,"Link")</f>
        <v>#REF!</v>
      </c>
    </row>
    <row r="789" spans="1:17" x14ac:dyDescent="0.3">
      <c r="A789" t="s">
        <v>1845</v>
      </c>
      <c r="B789" t="s">
        <v>1846</v>
      </c>
      <c r="C789" s="10" t="s">
        <v>3859</v>
      </c>
      <c r="D789" s="10" t="s">
        <v>3922</v>
      </c>
      <c r="E789" s="14">
        <v>499</v>
      </c>
      <c r="F789" s="3">
        <v>119</v>
      </c>
      <c r="G789" s="3">
        <f t="shared" si="61"/>
        <v>499</v>
      </c>
      <c r="H789" s="3">
        <f t="shared" si="60"/>
        <v>119</v>
      </c>
      <c r="I789" s="14">
        <f t="shared" si="62"/>
        <v>379.24</v>
      </c>
      <c r="J789" s="14">
        <f t="shared" si="63"/>
        <v>-380</v>
      </c>
      <c r="K789" s="1">
        <v>0.76</v>
      </c>
      <c r="L789">
        <v>4.3</v>
      </c>
      <c r="M789" s="2">
        <v>15032</v>
      </c>
      <c r="N789" t="s">
        <v>1847</v>
      </c>
      <c r="O789">
        <f t="shared" si="64"/>
        <v>1</v>
      </c>
      <c r="P789" s="12" t="e">
        <f>HYPERLINK(#REF!,"Link")</f>
        <v>#REF!</v>
      </c>
      <c r="Q789" s="12" t="e">
        <f>HYPERLINK(#REF!,"Link")</f>
        <v>#REF!</v>
      </c>
    </row>
    <row r="790" spans="1:17" x14ac:dyDescent="0.3">
      <c r="A790" t="s">
        <v>1848</v>
      </c>
      <c r="B790" t="s">
        <v>1849</v>
      </c>
      <c r="C790" s="9" t="s">
        <v>3891</v>
      </c>
      <c r="D790" s="9" t="s">
        <v>3923</v>
      </c>
      <c r="E790" s="14">
        <v>800</v>
      </c>
      <c r="F790" s="3">
        <v>449</v>
      </c>
      <c r="G790" s="3">
        <f t="shared" si="61"/>
        <v>1600</v>
      </c>
      <c r="H790" s="3">
        <f t="shared" si="60"/>
        <v>898</v>
      </c>
      <c r="I790" s="14">
        <f t="shared" si="62"/>
        <v>704</v>
      </c>
      <c r="J790" s="14">
        <f t="shared" si="63"/>
        <v>-702</v>
      </c>
      <c r="K790" s="1">
        <v>0.44</v>
      </c>
      <c r="L790">
        <v>4.4000000000000004</v>
      </c>
      <c r="M790" s="2">
        <v>69585</v>
      </c>
      <c r="N790" t="s">
        <v>1850</v>
      </c>
      <c r="O790">
        <f t="shared" si="64"/>
        <v>2</v>
      </c>
      <c r="P790" s="12" t="e">
        <f>HYPERLINK(#REF!,"Link")</f>
        <v>#REF!</v>
      </c>
      <c r="Q790" s="12" t="e">
        <f>HYPERLINK(#REF!,"Link")</f>
        <v>#REF!</v>
      </c>
    </row>
    <row r="791" spans="1:17" x14ac:dyDescent="0.3">
      <c r="A791" t="s">
        <v>1851</v>
      </c>
      <c r="B791" t="s">
        <v>1499</v>
      </c>
      <c r="C791" s="10" t="s">
        <v>3891</v>
      </c>
      <c r="D791" s="10" t="s">
        <v>3924</v>
      </c>
      <c r="E791" s="14">
        <v>3495</v>
      </c>
      <c r="F791" s="3">
        <v>1699</v>
      </c>
      <c r="G791" s="3">
        <f t="shared" si="61"/>
        <v>17475</v>
      </c>
      <c r="H791" s="3">
        <f t="shared" si="60"/>
        <v>8495</v>
      </c>
      <c r="I791" s="14">
        <f t="shared" si="62"/>
        <v>8912.25</v>
      </c>
      <c r="J791" s="14">
        <f t="shared" si="63"/>
        <v>-8980</v>
      </c>
      <c r="K791" s="1">
        <v>0.51</v>
      </c>
      <c r="L791">
        <v>4.0999999999999996</v>
      </c>
      <c r="M791" s="2">
        <v>14371</v>
      </c>
      <c r="N791" t="s">
        <v>1852</v>
      </c>
      <c r="O791">
        <f t="shared" si="64"/>
        <v>5</v>
      </c>
      <c r="P791" s="12" t="e">
        <f>HYPERLINK(#REF!,"Link")</f>
        <v>#REF!</v>
      </c>
      <c r="Q791" s="12" t="e">
        <f>HYPERLINK(#REF!,"Link")</f>
        <v>#REF!</v>
      </c>
    </row>
    <row r="792" spans="1:17" x14ac:dyDescent="0.3">
      <c r="A792" t="s">
        <v>1853</v>
      </c>
      <c r="B792" t="s">
        <v>1854</v>
      </c>
      <c r="C792" s="9" t="s">
        <v>3891</v>
      </c>
      <c r="D792" s="9" t="s">
        <v>3925</v>
      </c>
      <c r="E792" s="14">
        <v>720</v>
      </c>
      <c r="F792" s="3">
        <v>561</v>
      </c>
      <c r="G792" s="3">
        <f t="shared" si="61"/>
        <v>2160</v>
      </c>
      <c r="H792" s="3">
        <f t="shared" si="60"/>
        <v>1683</v>
      </c>
      <c r="I792" s="14">
        <f t="shared" si="62"/>
        <v>475.20000000000005</v>
      </c>
      <c r="J792" s="14">
        <f t="shared" si="63"/>
        <v>-477</v>
      </c>
      <c r="K792" s="1">
        <v>0.22</v>
      </c>
      <c r="L792">
        <v>4.4000000000000004</v>
      </c>
      <c r="M792" s="2">
        <v>3182</v>
      </c>
      <c r="N792" t="s">
        <v>1855</v>
      </c>
      <c r="O792">
        <f t="shared" si="64"/>
        <v>3</v>
      </c>
      <c r="P792" s="12" t="e">
        <f>HYPERLINK(#REF!,"Link")</f>
        <v>#REF!</v>
      </c>
      <c r="Q792" s="12" t="e">
        <f>HYPERLINK(#REF!,"Link")</f>
        <v>#REF!</v>
      </c>
    </row>
    <row r="793" spans="1:17" x14ac:dyDescent="0.3">
      <c r="A793" t="s">
        <v>1856</v>
      </c>
      <c r="B793" t="s">
        <v>1857</v>
      </c>
      <c r="C793" s="10" t="s">
        <v>3859</v>
      </c>
      <c r="D793" s="10" t="s">
        <v>3926</v>
      </c>
      <c r="E793" s="14">
        <v>590</v>
      </c>
      <c r="F793" s="3">
        <v>289</v>
      </c>
      <c r="G793" s="3">
        <f t="shared" si="61"/>
        <v>1770</v>
      </c>
      <c r="H793" s="3">
        <f t="shared" si="60"/>
        <v>867</v>
      </c>
      <c r="I793" s="14">
        <f t="shared" si="62"/>
        <v>902.69999999999993</v>
      </c>
      <c r="J793" s="14">
        <f t="shared" si="63"/>
        <v>-903</v>
      </c>
      <c r="K793" s="1">
        <v>0.51</v>
      </c>
      <c r="L793">
        <v>4.4000000000000004</v>
      </c>
      <c r="M793" s="2">
        <v>25886</v>
      </c>
      <c r="N793" t="s">
        <v>1858</v>
      </c>
      <c r="O793">
        <f t="shared" si="64"/>
        <v>3</v>
      </c>
      <c r="P793" s="12" t="e">
        <f>HYPERLINK(#REF!,"Link")</f>
        <v>#REF!</v>
      </c>
      <c r="Q793" s="12" t="e">
        <f>HYPERLINK(#REF!,"Link")</f>
        <v>#REF!</v>
      </c>
    </row>
    <row r="794" spans="1:17" x14ac:dyDescent="0.3">
      <c r="A794" t="s">
        <v>1859</v>
      </c>
      <c r="B794" t="s">
        <v>1860</v>
      </c>
      <c r="C794" s="9" t="s">
        <v>3927</v>
      </c>
      <c r="D794" s="9" t="s">
        <v>3928</v>
      </c>
      <c r="E794" s="14">
        <v>1999</v>
      </c>
      <c r="F794" s="3">
        <v>599</v>
      </c>
      <c r="G794" s="3">
        <f t="shared" si="61"/>
        <v>3998</v>
      </c>
      <c r="H794" s="3">
        <f t="shared" si="60"/>
        <v>1198</v>
      </c>
      <c r="I794" s="14">
        <f t="shared" si="62"/>
        <v>2798.6</v>
      </c>
      <c r="J794" s="14">
        <f t="shared" si="63"/>
        <v>-2800</v>
      </c>
      <c r="K794" s="1">
        <v>0.7</v>
      </c>
      <c r="L794">
        <v>4.4000000000000004</v>
      </c>
      <c r="M794" s="2">
        <v>4736</v>
      </c>
      <c r="N794" t="s">
        <v>1861</v>
      </c>
      <c r="O794">
        <f t="shared" si="64"/>
        <v>2</v>
      </c>
      <c r="P794" s="12" t="e">
        <f>HYPERLINK(#REF!,"Link")</f>
        <v>#REF!</v>
      </c>
      <c r="Q794" s="12" t="e">
        <f>HYPERLINK(#REF!,"Link")</f>
        <v>#REF!</v>
      </c>
    </row>
    <row r="795" spans="1:17" x14ac:dyDescent="0.3">
      <c r="A795" t="s">
        <v>1862</v>
      </c>
      <c r="B795" t="s">
        <v>1863</v>
      </c>
      <c r="C795" s="10" t="s">
        <v>3859</v>
      </c>
      <c r="D795" s="10" t="s">
        <v>3929</v>
      </c>
      <c r="E795" s="14">
        <v>7350</v>
      </c>
      <c r="F795" s="3">
        <v>5599</v>
      </c>
      <c r="G795" s="3">
        <f t="shared" si="61"/>
        <v>7350</v>
      </c>
      <c r="H795" s="3">
        <f t="shared" si="60"/>
        <v>5599</v>
      </c>
      <c r="I795" s="14">
        <f t="shared" si="62"/>
        <v>1764</v>
      </c>
      <c r="J795" s="14">
        <f t="shared" si="63"/>
        <v>-1751</v>
      </c>
      <c r="K795" s="1">
        <v>0.24</v>
      </c>
      <c r="L795">
        <v>4.4000000000000004</v>
      </c>
      <c r="M795" s="2">
        <v>73005</v>
      </c>
      <c r="N795" t="s">
        <v>1864</v>
      </c>
      <c r="O795">
        <f t="shared" si="64"/>
        <v>1</v>
      </c>
      <c r="P795" s="12" t="e">
        <f>HYPERLINK(#REF!,"Link")</f>
        <v>#REF!</v>
      </c>
      <c r="Q795" s="12" t="e">
        <f>HYPERLINK(#REF!,"Link")</f>
        <v>#REF!</v>
      </c>
    </row>
    <row r="796" spans="1:17" x14ac:dyDescent="0.3">
      <c r="A796" t="s">
        <v>1865</v>
      </c>
      <c r="B796" t="s">
        <v>1866</v>
      </c>
      <c r="C796" s="9" t="s">
        <v>3885</v>
      </c>
      <c r="D796" s="9" t="s">
        <v>3930</v>
      </c>
      <c r="E796" s="14">
        <v>2595</v>
      </c>
      <c r="F796" s="3">
        <v>1990</v>
      </c>
      <c r="G796" s="3">
        <f t="shared" si="61"/>
        <v>5190</v>
      </c>
      <c r="H796" s="3">
        <f t="shared" si="60"/>
        <v>3980</v>
      </c>
      <c r="I796" s="14">
        <f t="shared" si="62"/>
        <v>1193.7</v>
      </c>
      <c r="J796" s="14">
        <f t="shared" si="63"/>
        <v>-1210</v>
      </c>
      <c r="K796" s="1">
        <v>0.23</v>
      </c>
      <c r="L796">
        <v>4.3</v>
      </c>
      <c r="M796" s="2">
        <v>20398</v>
      </c>
      <c r="N796" t="s">
        <v>1867</v>
      </c>
      <c r="O796">
        <f t="shared" si="64"/>
        <v>2</v>
      </c>
      <c r="P796" s="12" t="e">
        <f>HYPERLINK(#REF!,"Link")</f>
        <v>#REF!</v>
      </c>
      <c r="Q796" s="12" t="e">
        <f>HYPERLINK(#REF!,"Link")</f>
        <v>#REF!</v>
      </c>
    </row>
    <row r="797" spans="1:17" x14ac:dyDescent="0.3">
      <c r="A797" t="s">
        <v>1868</v>
      </c>
      <c r="B797" t="s">
        <v>1869</v>
      </c>
      <c r="C797" s="10" t="s">
        <v>3864</v>
      </c>
      <c r="D797" s="10" t="s">
        <v>3880</v>
      </c>
      <c r="E797" s="14">
        <v>799</v>
      </c>
      <c r="F797" s="3">
        <v>499</v>
      </c>
      <c r="G797" s="3">
        <f t="shared" si="61"/>
        <v>3995</v>
      </c>
      <c r="H797" s="3">
        <f t="shared" si="60"/>
        <v>2495</v>
      </c>
      <c r="I797" s="14">
        <f t="shared" si="62"/>
        <v>1518.1</v>
      </c>
      <c r="J797" s="14">
        <f t="shared" si="63"/>
        <v>-1500</v>
      </c>
      <c r="K797" s="1">
        <v>0.38</v>
      </c>
      <c r="L797">
        <v>4.3</v>
      </c>
      <c r="M797" s="2">
        <v>2125</v>
      </c>
      <c r="N797" t="s">
        <v>1870</v>
      </c>
      <c r="O797">
        <f t="shared" si="64"/>
        <v>5</v>
      </c>
      <c r="P797" s="12" t="e">
        <f>HYPERLINK(#REF!,"Link")</f>
        <v>#REF!</v>
      </c>
      <c r="Q797" s="12" t="e">
        <f>HYPERLINK(#REF!,"Link")</f>
        <v>#REF!</v>
      </c>
    </row>
    <row r="798" spans="1:17" x14ac:dyDescent="0.3">
      <c r="A798" t="s">
        <v>1871</v>
      </c>
      <c r="B798" t="s">
        <v>1761</v>
      </c>
      <c r="C798" s="10" t="s">
        <v>3725</v>
      </c>
      <c r="D798" s="10" t="s">
        <v>3726</v>
      </c>
      <c r="E798" s="14">
        <v>999</v>
      </c>
      <c r="F798" s="3">
        <v>449</v>
      </c>
      <c r="G798" s="3">
        <f t="shared" si="61"/>
        <v>1998</v>
      </c>
      <c r="H798" s="3">
        <f t="shared" si="60"/>
        <v>898</v>
      </c>
      <c r="I798" s="14">
        <f t="shared" si="62"/>
        <v>1098.9000000000001</v>
      </c>
      <c r="J798" s="14">
        <f t="shared" si="63"/>
        <v>-1100</v>
      </c>
      <c r="K798" s="1">
        <v>0.55000000000000004</v>
      </c>
      <c r="L798">
        <v>4.3</v>
      </c>
      <c r="M798" s="2">
        <v>11330</v>
      </c>
      <c r="N798" t="s">
        <v>1872</v>
      </c>
      <c r="O798">
        <f t="shared" si="64"/>
        <v>2</v>
      </c>
      <c r="P798" s="12" t="e">
        <f>HYPERLINK(#REF!,"Link")</f>
        <v>#REF!</v>
      </c>
      <c r="Q798" s="12" t="e">
        <f>HYPERLINK(#REF!,"Link")</f>
        <v>#REF!</v>
      </c>
    </row>
    <row r="799" spans="1:17" x14ac:dyDescent="0.3">
      <c r="A799" t="s">
        <v>1873</v>
      </c>
      <c r="B799" t="s">
        <v>1874</v>
      </c>
      <c r="C799" s="9" t="s">
        <v>3727</v>
      </c>
      <c r="D799" s="9" t="s">
        <v>3728</v>
      </c>
      <c r="E799" s="14">
        <v>1999</v>
      </c>
      <c r="F799" s="3">
        <v>999</v>
      </c>
      <c r="G799" s="3">
        <f t="shared" si="61"/>
        <v>5997</v>
      </c>
      <c r="H799" s="3">
        <f t="shared" si="60"/>
        <v>2997</v>
      </c>
      <c r="I799" s="14">
        <f t="shared" si="62"/>
        <v>2998.5</v>
      </c>
      <c r="J799" s="14">
        <f t="shared" si="63"/>
        <v>-3000</v>
      </c>
      <c r="K799" s="1">
        <v>0.5</v>
      </c>
      <c r="L799">
        <v>4.2</v>
      </c>
      <c r="M799" s="2">
        <v>27441</v>
      </c>
      <c r="N799" t="s">
        <v>1875</v>
      </c>
      <c r="O799">
        <f t="shared" si="64"/>
        <v>3</v>
      </c>
      <c r="P799" s="12" t="e">
        <f>HYPERLINK(#REF!,"Link")</f>
        <v>#REF!</v>
      </c>
      <c r="Q799" s="12" t="e">
        <f>HYPERLINK(#REF!,"Link")</f>
        <v>#REF!</v>
      </c>
    </row>
    <row r="800" spans="1:17" x14ac:dyDescent="0.3">
      <c r="A800" t="s">
        <v>1876</v>
      </c>
      <c r="B800" t="s">
        <v>1877</v>
      </c>
      <c r="C800" s="10" t="s">
        <v>3729</v>
      </c>
      <c r="D800" s="10" t="s">
        <v>3726</v>
      </c>
      <c r="E800" s="14">
        <v>299</v>
      </c>
      <c r="F800" s="3">
        <v>69</v>
      </c>
      <c r="G800" s="3">
        <f t="shared" si="61"/>
        <v>1794</v>
      </c>
      <c r="H800" s="3">
        <f t="shared" si="60"/>
        <v>414</v>
      </c>
      <c r="I800" s="14">
        <f t="shared" si="62"/>
        <v>1381.38</v>
      </c>
      <c r="J800" s="14">
        <f t="shared" si="63"/>
        <v>-1380</v>
      </c>
      <c r="K800" s="1">
        <v>0.77</v>
      </c>
      <c r="L800">
        <v>4.3</v>
      </c>
      <c r="M800">
        <v>255</v>
      </c>
      <c r="N800" t="s">
        <v>1878</v>
      </c>
      <c r="O800">
        <f t="shared" si="64"/>
        <v>6</v>
      </c>
      <c r="P800" s="12" t="e">
        <f>HYPERLINK(#REF!,"Link")</f>
        <v>#REF!</v>
      </c>
      <c r="Q800" s="12" t="e">
        <f>HYPERLINK(#REF!,"Link")</f>
        <v>#REF!</v>
      </c>
    </row>
    <row r="801" spans="1:17" x14ac:dyDescent="0.3">
      <c r="A801" t="s">
        <v>1879</v>
      </c>
      <c r="B801" t="s">
        <v>1880</v>
      </c>
      <c r="C801" s="9" t="s">
        <v>3730</v>
      </c>
      <c r="D801" s="9" t="s">
        <v>3731</v>
      </c>
      <c r="E801" s="14">
        <v>1499</v>
      </c>
      <c r="F801" s="3">
        <v>899</v>
      </c>
      <c r="G801" s="3">
        <f t="shared" si="61"/>
        <v>2998</v>
      </c>
      <c r="H801" s="3">
        <f t="shared" si="60"/>
        <v>1798</v>
      </c>
      <c r="I801" s="14">
        <f t="shared" si="62"/>
        <v>1199.2</v>
      </c>
      <c r="J801" s="14">
        <f t="shared" si="63"/>
        <v>-1200</v>
      </c>
      <c r="K801" s="1">
        <v>0.4</v>
      </c>
      <c r="L801">
        <v>4.2</v>
      </c>
      <c r="M801" s="2">
        <v>23174</v>
      </c>
      <c r="N801" t="s">
        <v>1881</v>
      </c>
      <c r="O801">
        <f t="shared" si="64"/>
        <v>2</v>
      </c>
      <c r="P801" s="12" t="e">
        <f>HYPERLINK(#REF!,"Link")</f>
        <v>#REF!</v>
      </c>
      <c r="Q801" s="12" t="e">
        <f>HYPERLINK(#REF!,"Link")</f>
        <v>#REF!</v>
      </c>
    </row>
    <row r="802" spans="1:17" x14ac:dyDescent="0.3">
      <c r="A802" t="s">
        <v>1882</v>
      </c>
      <c r="B802" t="s">
        <v>1883</v>
      </c>
      <c r="C802" s="10" t="s">
        <v>3729</v>
      </c>
      <c r="D802" s="10" t="s">
        <v>3732</v>
      </c>
      <c r="E802" s="14">
        <v>699</v>
      </c>
      <c r="F802" s="3">
        <v>478</v>
      </c>
      <c r="G802" s="3">
        <f t="shared" si="61"/>
        <v>1398</v>
      </c>
      <c r="H802" s="3">
        <f t="shared" si="60"/>
        <v>956</v>
      </c>
      <c r="I802" s="14">
        <f t="shared" si="62"/>
        <v>447.36</v>
      </c>
      <c r="J802" s="14">
        <f t="shared" si="63"/>
        <v>-442</v>
      </c>
      <c r="K802" s="1">
        <v>0.32</v>
      </c>
      <c r="L802">
        <v>3.8</v>
      </c>
      <c r="M802" s="2">
        <v>20218</v>
      </c>
      <c r="N802" t="s">
        <v>1884</v>
      </c>
      <c r="O802">
        <f t="shared" si="64"/>
        <v>2</v>
      </c>
      <c r="P802" s="12" t="e">
        <f>HYPERLINK(#REF!,"Link")</f>
        <v>#REF!</v>
      </c>
      <c r="Q802" s="12" t="e">
        <f>HYPERLINK(#REF!,"Link")</f>
        <v>#REF!</v>
      </c>
    </row>
    <row r="803" spans="1:17" x14ac:dyDescent="0.3">
      <c r="A803" t="s">
        <v>1885</v>
      </c>
      <c r="B803" t="s">
        <v>1886</v>
      </c>
      <c r="C803" s="9" t="s">
        <v>3730</v>
      </c>
      <c r="D803" s="9" t="s">
        <v>3733</v>
      </c>
      <c r="E803" s="14">
        <v>2490</v>
      </c>
      <c r="F803" s="3">
        <v>1399</v>
      </c>
      <c r="G803" s="3">
        <f t="shared" si="61"/>
        <v>19920</v>
      </c>
      <c r="H803" s="3">
        <f t="shared" si="60"/>
        <v>11192</v>
      </c>
      <c r="I803" s="14">
        <f t="shared" si="62"/>
        <v>8764.7999999999993</v>
      </c>
      <c r="J803" s="14">
        <f t="shared" si="63"/>
        <v>-8728</v>
      </c>
      <c r="K803" s="1">
        <v>0.44</v>
      </c>
      <c r="L803">
        <v>4.3</v>
      </c>
      <c r="M803" s="2">
        <v>11074</v>
      </c>
      <c r="N803" t="s">
        <v>1887</v>
      </c>
      <c r="O803">
        <f t="shared" si="64"/>
        <v>8</v>
      </c>
      <c r="P803" s="12" t="e">
        <f>HYPERLINK(#REF!,"Link")</f>
        <v>#REF!</v>
      </c>
      <c r="Q803" s="12" t="e">
        <f>HYPERLINK(#REF!,"Link")</f>
        <v>#REF!</v>
      </c>
    </row>
    <row r="804" spans="1:17" x14ac:dyDescent="0.3">
      <c r="A804" t="s">
        <v>93</v>
      </c>
      <c r="B804" t="s">
        <v>94</v>
      </c>
      <c r="C804" s="10" t="s">
        <v>3729</v>
      </c>
      <c r="D804" s="10" t="s">
        <v>3734</v>
      </c>
      <c r="E804" s="14">
        <v>750</v>
      </c>
      <c r="F804" s="3">
        <v>199</v>
      </c>
      <c r="G804" s="3">
        <f t="shared" si="61"/>
        <v>6000</v>
      </c>
      <c r="H804" s="3">
        <f t="shared" si="60"/>
        <v>1592</v>
      </c>
      <c r="I804" s="14">
        <f t="shared" si="62"/>
        <v>4380</v>
      </c>
      <c r="J804" s="14">
        <f t="shared" si="63"/>
        <v>-4408</v>
      </c>
      <c r="K804" s="1">
        <v>0.73</v>
      </c>
      <c r="L804">
        <v>4.5</v>
      </c>
      <c r="M804" s="2">
        <v>74976</v>
      </c>
      <c r="N804" t="s">
        <v>95</v>
      </c>
      <c r="O804">
        <f t="shared" si="64"/>
        <v>8</v>
      </c>
      <c r="P804" s="12" t="e">
        <f>HYPERLINK(#REF!,"Link")</f>
        <v>#REF!</v>
      </c>
      <c r="Q804" s="12" t="e">
        <f>HYPERLINK(#REF!,"Link")</f>
        <v>#REF!</v>
      </c>
    </row>
    <row r="805" spans="1:17" x14ac:dyDescent="0.3">
      <c r="A805" t="s">
        <v>1888</v>
      </c>
      <c r="B805" t="s">
        <v>1889</v>
      </c>
      <c r="C805" s="9" t="s">
        <v>3729</v>
      </c>
      <c r="D805" s="9" t="s">
        <v>3726</v>
      </c>
      <c r="E805" s="14">
        <v>499</v>
      </c>
      <c r="F805" s="3">
        <v>149</v>
      </c>
      <c r="G805" s="3">
        <f t="shared" si="61"/>
        <v>998</v>
      </c>
      <c r="H805" s="3">
        <f t="shared" si="60"/>
        <v>298</v>
      </c>
      <c r="I805" s="14">
        <f t="shared" si="62"/>
        <v>698.59999999999991</v>
      </c>
      <c r="J805" s="14">
        <f t="shared" si="63"/>
        <v>-700</v>
      </c>
      <c r="K805" s="1">
        <v>0.7</v>
      </c>
      <c r="L805">
        <v>4.0999999999999996</v>
      </c>
      <c r="M805" s="2">
        <v>25607</v>
      </c>
      <c r="N805" t="s">
        <v>1890</v>
      </c>
      <c r="O805">
        <f t="shared" si="64"/>
        <v>2</v>
      </c>
      <c r="P805" s="12" t="e">
        <f>HYPERLINK(#REF!,"Link")</f>
        <v>#REF!</v>
      </c>
      <c r="Q805" s="12" t="e">
        <f>HYPERLINK(#REF!,"Link")</f>
        <v>#REF!</v>
      </c>
    </row>
    <row r="806" spans="1:17" x14ac:dyDescent="0.3">
      <c r="A806" t="s">
        <v>1891</v>
      </c>
      <c r="B806" t="s">
        <v>1892</v>
      </c>
      <c r="C806" s="10" t="s">
        <v>3729</v>
      </c>
      <c r="D806" s="10" t="s">
        <v>3735</v>
      </c>
      <c r="E806" s="14">
        <v>4990</v>
      </c>
      <c r="F806" s="3">
        <v>1799</v>
      </c>
      <c r="G806" s="3">
        <f t="shared" si="61"/>
        <v>19960</v>
      </c>
      <c r="H806" s="3">
        <f t="shared" si="60"/>
        <v>7196</v>
      </c>
      <c r="I806" s="14">
        <f t="shared" si="62"/>
        <v>12774.4</v>
      </c>
      <c r="J806" s="14">
        <f t="shared" si="63"/>
        <v>-12764</v>
      </c>
      <c r="K806" s="1">
        <v>0.64</v>
      </c>
      <c r="L806">
        <v>4.2</v>
      </c>
      <c r="M806" s="2">
        <v>41226</v>
      </c>
      <c r="N806" t="s">
        <v>1893</v>
      </c>
      <c r="O806">
        <f t="shared" si="64"/>
        <v>4</v>
      </c>
      <c r="P806" s="12" t="e">
        <f>HYPERLINK(#REF!,"Link")</f>
        <v>#REF!</v>
      </c>
      <c r="Q806" s="12" t="e">
        <f>HYPERLINK(#REF!,"Link")</f>
        <v>#REF!</v>
      </c>
    </row>
    <row r="807" spans="1:17" x14ac:dyDescent="0.3">
      <c r="A807" t="s">
        <v>1894</v>
      </c>
      <c r="B807" t="s">
        <v>1895</v>
      </c>
      <c r="C807" s="9" t="s">
        <v>3729</v>
      </c>
      <c r="D807" s="9" t="s">
        <v>3726</v>
      </c>
      <c r="E807" s="14">
        <v>999</v>
      </c>
      <c r="F807" s="3">
        <v>425</v>
      </c>
      <c r="G807" s="3">
        <f t="shared" si="61"/>
        <v>999</v>
      </c>
      <c r="H807" s="3">
        <f t="shared" si="60"/>
        <v>425</v>
      </c>
      <c r="I807" s="14">
        <f t="shared" si="62"/>
        <v>569.42999999999995</v>
      </c>
      <c r="J807" s="14">
        <f t="shared" si="63"/>
        <v>-574</v>
      </c>
      <c r="K807" s="1">
        <v>0.56999999999999995</v>
      </c>
      <c r="L807">
        <v>4</v>
      </c>
      <c r="M807" s="2">
        <v>2581</v>
      </c>
      <c r="N807" t="s">
        <v>1896</v>
      </c>
      <c r="O807">
        <f t="shared" si="64"/>
        <v>1</v>
      </c>
      <c r="P807" s="12" t="e">
        <f>HYPERLINK(#REF!,"Link")</f>
        <v>#REF!</v>
      </c>
      <c r="Q807" s="12" t="e">
        <f>HYPERLINK(#REF!,"Link")</f>
        <v>#REF!</v>
      </c>
    </row>
    <row r="808" spans="1:17" x14ac:dyDescent="0.3">
      <c r="A808" t="s">
        <v>1897</v>
      </c>
      <c r="B808" t="s">
        <v>1898</v>
      </c>
      <c r="C808" s="10" t="s">
        <v>3737</v>
      </c>
      <c r="D808" s="10"/>
      <c r="E808" s="14">
        <v>2490</v>
      </c>
      <c r="F808" s="3">
        <v>999</v>
      </c>
      <c r="G808" s="3">
        <f t="shared" si="61"/>
        <v>4980</v>
      </c>
      <c r="H808" s="3">
        <f t="shared" si="60"/>
        <v>1998</v>
      </c>
      <c r="I808" s="14">
        <f t="shared" si="62"/>
        <v>2988</v>
      </c>
      <c r="J808" s="14">
        <f t="shared" si="63"/>
        <v>-2982</v>
      </c>
      <c r="K808" s="1">
        <v>0.6</v>
      </c>
      <c r="L808">
        <v>4.0999999999999996</v>
      </c>
      <c r="M808" s="2">
        <v>18331</v>
      </c>
      <c r="N808" t="s">
        <v>1899</v>
      </c>
      <c r="O808">
        <f t="shared" si="64"/>
        <v>2</v>
      </c>
      <c r="P808" s="12" t="e">
        <f>HYPERLINK(#REF!,"Link")</f>
        <v>#REF!</v>
      </c>
      <c r="Q808" s="12" t="e">
        <f>HYPERLINK(#REF!,"Link")</f>
        <v>#REF!</v>
      </c>
    </row>
    <row r="809" spans="1:17" x14ac:dyDescent="0.3">
      <c r="A809" t="s">
        <v>1900</v>
      </c>
      <c r="B809" t="s">
        <v>1901</v>
      </c>
      <c r="C809" s="9" t="s">
        <v>3729</v>
      </c>
      <c r="D809" s="9" t="s">
        <v>3738</v>
      </c>
      <c r="E809" s="14">
        <v>999</v>
      </c>
      <c r="F809" s="3">
        <v>378</v>
      </c>
      <c r="G809" s="3">
        <f t="shared" si="61"/>
        <v>1998</v>
      </c>
      <c r="H809" s="3">
        <f t="shared" si="60"/>
        <v>756</v>
      </c>
      <c r="I809" s="14">
        <f t="shared" si="62"/>
        <v>1238.76</v>
      </c>
      <c r="J809" s="14">
        <f t="shared" si="63"/>
        <v>-1242</v>
      </c>
      <c r="K809" s="1">
        <v>0.62</v>
      </c>
      <c r="L809">
        <v>4.0999999999999996</v>
      </c>
      <c r="M809" s="2">
        <v>1779</v>
      </c>
      <c r="N809" t="s">
        <v>1902</v>
      </c>
      <c r="O809">
        <f t="shared" si="64"/>
        <v>2</v>
      </c>
      <c r="P809" s="12" t="e">
        <f>HYPERLINK(#REF!,"Link")</f>
        <v>#REF!</v>
      </c>
      <c r="Q809" s="12" t="e">
        <f>HYPERLINK(#REF!,"Link")</f>
        <v>#REF!</v>
      </c>
    </row>
    <row r="810" spans="1:17" x14ac:dyDescent="0.3">
      <c r="A810" t="s">
        <v>1903</v>
      </c>
      <c r="B810" t="s">
        <v>1904</v>
      </c>
      <c r="C810" s="10" t="s">
        <v>3739</v>
      </c>
      <c r="D810" s="10" t="s">
        <v>3740</v>
      </c>
      <c r="E810" s="14">
        <v>99</v>
      </c>
      <c r="F810" s="3">
        <v>99</v>
      </c>
      <c r="G810" s="3">
        <f t="shared" si="61"/>
        <v>792</v>
      </c>
      <c r="H810" s="3">
        <f t="shared" si="60"/>
        <v>792</v>
      </c>
      <c r="I810" s="14">
        <f t="shared" si="62"/>
        <v>0</v>
      </c>
      <c r="J810" s="14">
        <f t="shared" si="63"/>
        <v>0</v>
      </c>
      <c r="K810" s="1">
        <v>0</v>
      </c>
      <c r="L810">
        <v>4.3</v>
      </c>
      <c r="M810">
        <v>388</v>
      </c>
      <c r="N810" t="s">
        <v>1905</v>
      </c>
      <c r="O810">
        <f t="shared" si="64"/>
        <v>8</v>
      </c>
      <c r="P810" s="12" t="e">
        <f>HYPERLINK(#REF!,"Link")</f>
        <v>#REF!</v>
      </c>
      <c r="Q810" s="12" t="e">
        <f>HYPERLINK(#REF!,"Link")</f>
        <v>#REF!</v>
      </c>
    </row>
    <row r="811" spans="1:17" x14ac:dyDescent="0.3">
      <c r="A811" t="s">
        <v>1906</v>
      </c>
      <c r="B811" t="s">
        <v>1907</v>
      </c>
      <c r="C811" s="9" t="s">
        <v>3725</v>
      </c>
      <c r="D811" s="9" t="s">
        <v>3726</v>
      </c>
      <c r="E811" s="14">
        <v>2999</v>
      </c>
      <c r="F811" s="3">
        <v>1499</v>
      </c>
      <c r="G811" s="3">
        <f t="shared" si="61"/>
        <v>8997</v>
      </c>
      <c r="H811" s="3">
        <f t="shared" si="60"/>
        <v>4497</v>
      </c>
      <c r="I811" s="14">
        <f t="shared" si="62"/>
        <v>4498.5</v>
      </c>
      <c r="J811" s="14">
        <f t="shared" si="63"/>
        <v>-4500</v>
      </c>
      <c r="K811" s="1">
        <v>0.5</v>
      </c>
      <c r="L811">
        <v>4.5</v>
      </c>
      <c r="M811" s="2">
        <v>8656</v>
      </c>
      <c r="N811" t="s">
        <v>1908</v>
      </c>
      <c r="O811">
        <f t="shared" si="64"/>
        <v>3</v>
      </c>
      <c r="P811" s="12" t="e">
        <f>HYPERLINK(#REF!,"Link")</f>
        <v>#REF!</v>
      </c>
      <c r="Q811" s="12" t="e">
        <f>HYPERLINK(#REF!,"Link")</f>
        <v>#REF!</v>
      </c>
    </row>
    <row r="812" spans="1:17" x14ac:dyDescent="0.3">
      <c r="A812" t="s">
        <v>1909</v>
      </c>
      <c r="B812" t="s">
        <v>1910</v>
      </c>
      <c r="C812" s="10" t="s">
        <v>3729</v>
      </c>
      <c r="D812" s="10" t="s">
        <v>3726</v>
      </c>
      <c r="E812" s="14">
        <v>3100</v>
      </c>
      <c r="F812" s="3">
        <v>1815</v>
      </c>
      <c r="G812" s="3">
        <f t="shared" si="61"/>
        <v>6200</v>
      </c>
      <c r="H812" s="3">
        <f t="shared" si="60"/>
        <v>3630</v>
      </c>
      <c r="I812" s="14">
        <f t="shared" si="62"/>
        <v>2542</v>
      </c>
      <c r="J812" s="14">
        <f t="shared" si="63"/>
        <v>-2570</v>
      </c>
      <c r="K812" s="1">
        <v>0.41</v>
      </c>
      <c r="L812">
        <v>4.5</v>
      </c>
      <c r="M812" s="2">
        <v>92925</v>
      </c>
      <c r="N812" t="s">
        <v>1911</v>
      </c>
      <c r="O812">
        <f t="shared" si="64"/>
        <v>2</v>
      </c>
      <c r="P812" s="12" t="e">
        <f>HYPERLINK(#REF!,"Link")</f>
        <v>#REF!</v>
      </c>
      <c r="Q812" s="12" t="e">
        <f>HYPERLINK(#REF!,"Link")</f>
        <v>#REF!</v>
      </c>
    </row>
    <row r="813" spans="1:17" x14ac:dyDescent="0.3">
      <c r="A813" t="s">
        <v>1912</v>
      </c>
      <c r="B813" t="s">
        <v>1913</v>
      </c>
      <c r="C813" s="9" t="s">
        <v>3741</v>
      </c>
      <c r="D813" s="9" t="s">
        <v>3742</v>
      </c>
      <c r="E813" s="14">
        <v>75</v>
      </c>
      <c r="F813" s="3">
        <v>67</v>
      </c>
      <c r="G813" s="3">
        <f t="shared" si="61"/>
        <v>150</v>
      </c>
      <c r="H813" s="3">
        <f t="shared" si="60"/>
        <v>134</v>
      </c>
      <c r="I813" s="14">
        <f t="shared" si="62"/>
        <v>16.5</v>
      </c>
      <c r="J813" s="14">
        <f t="shared" si="63"/>
        <v>-16</v>
      </c>
      <c r="K813" s="1">
        <v>0.11</v>
      </c>
      <c r="L813">
        <v>4.0999999999999996</v>
      </c>
      <c r="M813" s="2">
        <v>1269</v>
      </c>
      <c r="N813" t="s">
        <v>1914</v>
      </c>
      <c r="O813">
        <f t="shared" si="64"/>
        <v>2</v>
      </c>
      <c r="P813" s="12" t="e">
        <f>HYPERLINK(#REF!,"Link")</f>
        <v>#REF!</v>
      </c>
      <c r="Q813" s="12" t="e">
        <f>HYPERLINK(#REF!,"Link")</f>
        <v>#REF!</v>
      </c>
    </row>
    <row r="814" spans="1:17" x14ac:dyDescent="0.3">
      <c r="A814" t="s">
        <v>1915</v>
      </c>
      <c r="B814" t="s">
        <v>1916</v>
      </c>
      <c r="C814" s="10" t="s">
        <v>3743</v>
      </c>
      <c r="D814" s="10"/>
      <c r="E814" s="14">
        <v>2699</v>
      </c>
      <c r="F814" s="3">
        <v>1889</v>
      </c>
      <c r="G814" s="3">
        <f t="shared" si="61"/>
        <v>2699</v>
      </c>
      <c r="H814" s="3">
        <f t="shared" si="60"/>
        <v>1889</v>
      </c>
      <c r="I814" s="14">
        <f t="shared" si="62"/>
        <v>809.69999999999993</v>
      </c>
      <c r="J814" s="14">
        <f t="shared" si="63"/>
        <v>-810</v>
      </c>
      <c r="K814" s="1">
        <v>0.3</v>
      </c>
      <c r="L814">
        <v>4.3</v>
      </c>
      <c r="M814" s="2">
        <v>17394</v>
      </c>
      <c r="N814" t="s">
        <v>1917</v>
      </c>
      <c r="O814">
        <f t="shared" si="64"/>
        <v>1</v>
      </c>
      <c r="P814" s="12" t="e">
        <f>HYPERLINK(#REF!,"Link")</f>
        <v>#REF!</v>
      </c>
      <c r="Q814" s="12" t="e">
        <f>HYPERLINK(#REF!,"Link")</f>
        <v>#REF!</v>
      </c>
    </row>
    <row r="815" spans="1:17" x14ac:dyDescent="0.3">
      <c r="A815" t="s">
        <v>1918</v>
      </c>
      <c r="B815" t="s">
        <v>1919</v>
      </c>
      <c r="C815" s="9" t="s">
        <v>3744</v>
      </c>
      <c r="D815" s="9" t="s">
        <v>3745</v>
      </c>
      <c r="E815" s="14">
        <v>1499</v>
      </c>
      <c r="F815" s="3">
        <v>499</v>
      </c>
      <c r="G815" s="3">
        <f t="shared" si="61"/>
        <v>2998</v>
      </c>
      <c r="H815" s="3">
        <f t="shared" si="60"/>
        <v>998</v>
      </c>
      <c r="I815" s="14">
        <f t="shared" si="62"/>
        <v>2008.66</v>
      </c>
      <c r="J815" s="14">
        <f t="shared" si="63"/>
        <v>-2000</v>
      </c>
      <c r="K815" s="1">
        <v>0.67</v>
      </c>
      <c r="L815">
        <v>3.6</v>
      </c>
      <c r="M815" s="2">
        <v>9169</v>
      </c>
      <c r="N815" t="s">
        <v>1920</v>
      </c>
      <c r="O815">
        <f t="shared" si="64"/>
        <v>2</v>
      </c>
      <c r="P815" s="12" t="e">
        <f>HYPERLINK(#REF!,"Link")</f>
        <v>#REF!</v>
      </c>
      <c r="Q815" s="12" t="e">
        <f>HYPERLINK(#REF!,"Link")</f>
        <v>#REF!</v>
      </c>
    </row>
    <row r="816" spans="1:17" x14ac:dyDescent="0.3">
      <c r="A816" t="s">
        <v>1921</v>
      </c>
      <c r="B816" t="s">
        <v>1922</v>
      </c>
      <c r="C816" s="10" t="s">
        <v>3729</v>
      </c>
      <c r="D816" s="10" t="s">
        <v>3746</v>
      </c>
      <c r="E816" s="14">
        <v>999</v>
      </c>
      <c r="F816" s="3">
        <v>499</v>
      </c>
      <c r="G816" s="3">
        <f t="shared" si="61"/>
        <v>2997</v>
      </c>
      <c r="H816" s="3">
        <f t="shared" si="60"/>
        <v>1497</v>
      </c>
      <c r="I816" s="14">
        <f t="shared" si="62"/>
        <v>1498.5</v>
      </c>
      <c r="J816" s="14">
        <f t="shared" si="63"/>
        <v>-1500</v>
      </c>
      <c r="K816" s="1">
        <v>0.5</v>
      </c>
      <c r="L816">
        <v>4.4000000000000004</v>
      </c>
      <c r="M816" s="2">
        <v>1030</v>
      </c>
      <c r="N816" t="s">
        <v>1923</v>
      </c>
      <c r="O816">
        <f t="shared" si="64"/>
        <v>3</v>
      </c>
      <c r="P816" s="12" t="e">
        <f>HYPERLINK(#REF!,"Link")</f>
        <v>#REF!</v>
      </c>
      <c r="Q816" s="12" t="e">
        <f>HYPERLINK(#REF!,"Link")</f>
        <v>#REF!</v>
      </c>
    </row>
    <row r="817" spans="1:17" x14ac:dyDescent="0.3">
      <c r="A817" t="s">
        <v>1924</v>
      </c>
      <c r="B817" t="s">
        <v>1925</v>
      </c>
      <c r="C817" s="9" t="s">
        <v>3747</v>
      </c>
      <c r="D817" s="9"/>
      <c r="E817" s="14">
        <v>7999</v>
      </c>
      <c r="F817" s="3">
        <v>5799</v>
      </c>
      <c r="G817" s="3">
        <f t="shared" si="61"/>
        <v>15998</v>
      </c>
      <c r="H817" s="3">
        <f t="shared" si="60"/>
        <v>11598</v>
      </c>
      <c r="I817" s="14">
        <f t="shared" si="62"/>
        <v>4479.4400000000005</v>
      </c>
      <c r="J817" s="14">
        <f t="shared" si="63"/>
        <v>-4400</v>
      </c>
      <c r="K817" s="1">
        <v>0.28000000000000003</v>
      </c>
      <c r="L817">
        <v>4.5</v>
      </c>
      <c r="M817" s="2">
        <v>50273</v>
      </c>
      <c r="N817" t="s">
        <v>1926</v>
      </c>
      <c r="O817">
        <f t="shared" si="64"/>
        <v>2</v>
      </c>
      <c r="P817" s="12" t="e">
        <f>HYPERLINK(#REF!,"Link")</f>
        <v>#REF!</v>
      </c>
      <c r="Q817" s="12" t="e">
        <f>HYPERLINK(#REF!,"Link")</f>
        <v>#REF!</v>
      </c>
    </row>
    <row r="818" spans="1:17" x14ac:dyDescent="0.3">
      <c r="A818" t="s">
        <v>1927</v>
      </c>
      <c r="B818" t="s">
        <v>1928</v>
      </c>
      <c r="C818" s="10" t="s">
        <v>3748</v>
      </c>
      <c r="D818" s="10" t="s">
        <v>3749</v>
      </c>
      <c r="E818" s="14">
        <v>799</v>
      </c>
      <c r="F818" s="3">
        <v>499</v>
      </c>
      <c r="G818" s="3">
        <f t="shared" si="61"/>
        <v>2397</v>
      </c>
      <c r="H818" s="3">
        <f t="shared" si="60"/>
        <v>1497</v>
      </c>
      <c r="I818" s="14">
        <f t="shared" si="62"/>
        <v>910.86</v>
      </c>
      <c r="J818" s="14">
        <f t="shared" si="63"/>
        <v>-900</v>
      </c>
      <c r="K818" s="1">
        <v>0.38</v>
      </c>
      <c r="L818">
        <v>3.9</v>
      </c>
      <c r="M818" s="2">
        <v>6742</v>
      </c>
      <c r="N818" t="s">
        <v>1929</v>
      </c>
      <c r="O818">
        <f t="shared" si="64"/>
        <v>3</v>
      </c>
      <c r="P818" s="12" t="e">
        <f>HYPERLINK(#REF!,"Link")</f>
        <v>#REF!</v>
      </c>
      <c r="Q818" s="12" t="e">
        <f>HYPERLINK(#REF!,"Link")</f>
        <v>#REF!</v>
      </c>
    </row>
    <row r="819" spans="1:17" x14ac:dyDescent="0.3">
      <c r="A819" t="s">
        <v>1930</v>
      </c>
      <c r="B819" t="s">
        <v>1931</v>
      </c>
      <c r="C819" s="9" t="s">
        <v>3750</v>
      </c>
      <c r="D819" s="9" t="s">
        <v>3751</v>
      </c>
      <c r="E819" s="14">
        <v>600</v>
      </c>
      <c r="F819" s="3">
        <v>249</v>
      </c>
      <c r="G819" s="3">
        <f t="shared" si="61"/>
        <v>3600</v>
      </c>
      <c r="H819" s="3">
        <f t="shared" si="60"/>
        <v>1494</v>
      </c>
      <c r="I819" s="14">
        <f t="shared" si="62"/>
        <v>2124</v>
      </c>
      <c r="J819" s="14">
        <f t="shared" si="63"/>
        <v>-2106</v>
      </c>
      <c r="K819" s="1">
        <v>0.59</v>
      </c>
      <c r="L819">
        <v>4</v>
      </c>
      <c r="M819" s="2">
        <v>1208</v>
      </c>
      <c r="N819" t="s">
        <v>1932</v>
      </c>
      <c r="O819">
        <f t="shared" si="64"/>
        <v>6</v>
      </c>
      <c r="P819" s="12" t="e">
        <f>HYPERLINK(#REF!,"Link")</f>
        <v>#REF!</v>
      </c>
      <c r="Q819" s="12" t="e">
        <f>HYPERLINK(#REF!,"Link")</f>
        <v>#REF!</v>
      </c>
    </row>
    <row r="820" spans="1:17" x14ac:dyDescent="0.3">
      <c r="A820" t="s">
        <v>96</v>
      </c>
      <c r="B820" t="s">
        <v>97</v>
      </c>
      <c r="C820" s="10" t="s">
        <v>3752</v>
      </c>
      <c r="D820" s="10" t="s">
        <v>3753</v>
      </c>
      <c r="E820" s="14">
        <v>499</v>
      </c>
      <c r="F820" s="3">
        <v>179</v>
      </c>
      <c r="G820" s="3">
        <f t="shared" si="61"/>
        <v>1497</v>
      </c>
      <c r="H820" s="3">
        <f t="shared" si="60"/>
        <v>537</v>
      </c>
      <c r="I820" s="14">
        <f t="shared" si="62"/>
        <v>958.08</v>
      </c>
      <c r="J820" s="14">
        <f t="shared" si="63"/>
        <v>-960</v>
      </c>
      <c r="K820" s="1">
        <v>0.64</v>
      </c>
      <c r="L820">
        <v>4</v>
      </c>
      <c r="M820" s="2">
        <v>1933</v>
      </c>
      <c r="N820" t="s">
        <v>98</v>
      </c>
      <c r="O820">
        <f t="shared" si="64"/>
        <v>3</v>
      </c>
      <c r="P820" s="12" t="e">
        <f>HYPERLINK(#REF!,"Link")</f>
        <v>#REF!</v>
      </c>
      <c r="Q820" s="12" t="e">
        <f>HYPERLINK(#REF!,"Link")</f>
        <v>#REF!</v>
      </c>
    </row>
    <row r="821" spans="1:17" x14ac:dyDescent="0.3">
      <c r="A821" t="s">
        <v>1933</v>
      </c>
      <c r="B821" t="s">
        <v>1934</v>
      </c>
      <c r="C821" s="9" t="s">
        <v>3750</v>
      </c>
      <c r="D821" s="9" t="s">
        <v>3754</v>
      </c>
      <c r="E821" s="14">
        <v>5734</v>
      </c>
      <c r="F821" s="3">
        <v>4449</v>
      </c>
      <c r="G821" s="3">
        <f t="shared" si="61"/>
        <v>28670</v>
      </c>
      <c r="H821" s="3">
        <f t="shared" si="60"/>
        <v>22245</v>
      </c>
      <c r="I821" s="14">
        <f t="shared" si="62"/>
        <v>6307.4</v>
      </c>
      <c r="J821" s="14">
        <f t="shared" si="63"/>
        <v>-6425</v>
      </c>
      <c r="K821" s="1">
        <v>0.22</v>
      </c>
      <c r="L821">
        <v>4.4000000000000004</v>
      </c>
      <c r="M821" s="2">
        <v>25006</v>
      </c>
      <c r="N821" t="s">
        <v>1935</v>
      </c>
      <c r="O821">
        <f t="shared" si="64"/>
        <v>5</v>
      </c>
      <c r="P821" s="12" t="e">
        <f>HYPERLINK(#REF!,"Link")</f>
        <v>#REF!</v>
      </c>
      <c r="Q821" s="12" t="e">
        <f>HYPERLINK(#REF!,"Link")</f>
        <v>#REF!</v>
      </c>
    </row>
    <row r="822" spans="1:17" x14ac:dyDescent="0.3">
      <c r="A822" t="s">
        <v>1936</v>
      </c>
      <c r="B822" t="s">
        <v>1937</v>
      </c>
      <c r="C822" s="10" t="s">
        <v>3755</v>
      </c>
      <c r="D822" s="10" t="s">
        <v>3756</v>
      </c>
      <c r="E822" s="14">
        <v>550</v>
      </c>
      <c r="F822" s="3">
        <v>299</v>
      </c>
      <c r="G822" s="3">
        <f t="shared" si="61"/>
        <v>1650</v>
      </c>
      <c r="H822" s="3">
        <f t="shared" si="60"/>
        <v>897</v>
      </c>
      <c r="I822" s="14">
        <f t="shared" si="62"/>
        <v>759</v>
      </c>
      <c r="J822" s="14">
        <f t="shared" si="63"/>
        <v>-753</v>
      </c>
      <c r="K822" s="1">
        <v>0.46</v>
      </c>
      <c r="L822">
        <v>4.5999999999999996</v>
      </c>
      <c r="M822" s="2">
        <v>33434</v>
      </c>
      <c r="N822" t="s">
        <v>1938</v>
      </c>
      <c r="O822">
        <f t="shared" si="64"/>
        <v>3</v>
      </c>
      <c r="P822" s="12" t="e">
        <f>HYPERLINK(#REF!,"Link")</f>
        <v>#REF!</v>
      </c>
      <c r="Q822" s="12" t="e">
        <f>HYPERLINK(#REF!,"Link")</f>
        <v>#REF!</v>
      </c>
    </row>
    <row r="823" spans="1:17" x14ac:dyDescent="0.3">
      <c r="A823" t="s">
        <v>1939</v>
      </c>
      <c r="B823" t="s">
        <v>1940</v>
      </c>
      <c r="C823" s="9" t="s">
        <v>3748</v>
      </c>
      <c r="D823" s="9" t="s">
        <v>3749</v>
      </c>
      <c r="E823" s="14">
        <v>1390</v>
      </c>
      <c r="F823" s="3">
        <v>629</v>
      </c>
      <c r="G823" s="3">
        <f t="shared" si="61"/>
        <v>6950</v>
      </c>
      <c r="H823" s="3">
        <f t="shared" si="60"/>
        <v>3145</v>
      </c>
      <c r="I823" s="14">
        <f t="shared" si="62"/>
        <v>3822.5000000000005</v>
      </c>
      <c r="J823" s="14">
        <f t="shared" si="63"/>
        <v>-3805</v>
      </c>
      <c r="K823" s="1">
        <v>0.55000000000000004</v>
      </c>
      <c r="L823">
        <v>4.4000000000000004</v>
      </c>
      <c r="M823" s="2">
        <v>6301</v>
      </c>
      <c r="N823" t="s">
        <v>1941</v>
      </c>
      <c r="O823">
        <f t="shared" si="64"/>
        <v>5</v>
      </c>
      <c r="P823" s="12" t="e">
        <f>HYPERLINK(#REF!,"Link")</f>
        <v>#REF!</v>
      </c>
      <c r="Q823" s="12" t="e">
        <f>HYPERLINK(#REF!,"Link")</f>
        <v>#REF!</v>
      </c>
    </row>
    <row r="824" spans="1:17" x14ac:dyDescent="0.3">
      <c r="A824" t="s">
        <v>1942</v>
      </c>
      <c r="B824" t="s">
        <v>1943</v>
      </c>
      <c r="C824" s="10" t="s">
        <v>3748</v>
      </c>
      <c r="D824" s="10" t="s">
        <v>3757</v>
      </c>
      <c r="E824" s="14">
        <v>3295</v>
      </c>
      <c r="F824" s="3">
        <v>2595</v>
      </c>
      <c r="G824" s="3">
        <f t="shared" si="61"/>
        <v>9885</v>
      </c>
      <c r="H824" s="3">
        <f t="shared" si="60"/>
        <v>7785</v>
      </c>
      <c r="I824" s="14">
        <f t="shared" si="62"/>
        <v>2075.85</v>
      </c>
      <c r="J824" s="14">
        <f t="shared" si="63"/>
        <v>-2100</v>
      </c>
      <c r="K824" s="1">
        <v>0.21</v>
      </c>
      <c r="L824">
        <v>4.4000000000000004</v>
      </c>
      <c r="M824" s="2">
        <v>22618</v>
      </c>
      <c r="N824" t="s">
        <v>1944</v>
      </c>
      <c r="O824">
        <f t="shared" si="64"/>
        <v>3</v>
      </c>
      <c r="P824" s="12" t="e">
        <f>HYPERLINK(#REF!,"Link")</f>
        <v>#REF!</v>
      </c>
      <c r="Q824" s="12" t="e">
        <f>HYPERLINK(#REF!,"Link")</f>
        <v>#REF!</v>
      </c>
    </row>
    <row r="825" spans="1:17" x14ac:dyDescent="0.3">
      <c r="A825" t="s">
        <v>99</v>
      </c>
      <c r="B825" t="s">
        <v>100</v>
      </c>
      <c r="C825" s="9" t="s">
        <v>3748</v>
      </c>
      <c r="D825" s="9" t="s">
        <v>3749</v>
      </c>
      <c r="E825" s="14">
        <v>1099</v>
      </c>
      <c r="F825" s="3">
        <v>389</v>
      </c>
      <c r="G825" s="3">
        <f t="shared" si="61"/>
        <v>4396</v>
      </c>
      <c r="H825" s="3">
        <f t="shared" si="60"/>
        <v>1556</v>
      </c>
      <c r="I825" s="14">
        <f t="shared" si="62"/>
        <v>2857.4</v>
      </c>
      <c r="J825" s="14">
        <f t="shared" si="63"/>
        <v>-2840</v>
      </c>
      <c r="K825" s="1">
        <v>0.65</v>
      </c>
      <c r="L825">
        <v>4.3</v>
      </c>
      <c r="M825">
        <v>974</v>
      </c>
      <c r="N825" t="s">
        <v>101</v>
      </c>
      <c r="O825">
        <f t="shared" si="64"/>
        <v>4</v>
      </c>
      <c r="P825" s="12" t="e">
        <f>HYPERLINK(#REF!,"Link")</f>
        <v>#REF!</v>
      </c>
      <c r="Q825" s="12" t="e">
        <f>HYPERLINK(#REF!,"Link")</f>
        <v>#REF!</v>
      </c>
    </row>
    <row r="826" spans="1:17" x14ac:dyDescent="0.3">
      <c r="A826" t="s">
        <v>1945</v>
      </c>
      <c r="B826" t="s">
        <v>1946</v>
      </c>
      <c r="C826" s="10" t="s">
        <v>3748</v>
      </c>
      <c r="D826" s="10" t="s">
        <v>3758</v>
      </c>
      <c r="E826" s="14">
        <v>2911</v>
      </c>
      <c r="F826" s="3">
        <v>1799</v>
      </c>
      <c r="G826" s="3">
        <f t="shared" si="61"/>
        <v>5822</v>
      </c>
      <c r="H826" s="3">
        <f t="shared" si="60"/>
        <v>3598</v>
      </c>
      <c r="I826" s="14">
        <f t="shared" si="62"/>
        <v>2212.36</v>
      </c>
      <c r="J826" s="14">
        <f t="shared" si="63"/>
        <v>-2224</v>
      </c>
      <c r="K826" s="1">
        <v>0.38</v>
      </c>
      <c r="L826">
        <v>4.3</v>
      </c>
      <c r="M826" s="2">
        <v>20342</v>
      </c>
      <c r="N826" t="s">
        <v>1947</v>
      </c>
      <c r="O826">
        <f t="shared" si="64"/>
        <v>2</v>
      </c>
      <c r="P826" s="12" t="e">
        <f>HYPERLINK(#REF!,"Link")</f>
        <v>#REF!</v>
      </c>
      <c r="Q826" s="12" t="e">
        <f>HYPERLINK(#REF!,"Link")</f>
        <v>#REF!</v>
      </c>
    </row>
    <row r="827" spans="1:17" x14ac:dyDescent="0.3">
      <c r="A827" t="s">
        <v>1948</v>
      </c>
      <c r="B827" t="s">
        <v>1949</v>
      </c>
      <c r="C827" s="9" t="s">
        <v>3748</v>
      </c>
      <c r="D827" s="9" t="s">
        <v>3759</v>
      </c>
      <c r="E827" s="14">
        <v>175</v>
      </c>
      <c r="F827" s="3">
        <v>90</v>
      </c>
      <c r="G827" s="3">
        <f t="shared" si="61"/>
        <v>350</v>
      </c>
      <c r="H827" s="3">
        <f t="shared" si="60"/>
        <v>180</v>
      </c>
      <c r="I827" s="14">
        <f t="shared" si="62"/>
        <v>171.5</v>
      </c>
      <c r="J827" s="14">
        <f t="shared" si="63"/>
        <v>-170</v>
      </c>
      <c r="K827" s="1">
        <v>0.49</v>
      </c>
      <c r="L827">
        <v>4.4000000000000004</v>
      </c>
      <c r="M827" s="2">
        <v>7429</v>
      </c>
      <c r="N827" t="s">
        <v>1950</v>
      </c>
      <c r="O827">
        <f t="shared" si="64"/>
        <v>2</v>
      </c>
      <c r="P827" s="12" t="e">
        <f>HYPERLINK(#REF!,"Link")</f>
        <v>#REF!</v>
      </c>
      <c r="Q827" s="12" t="e">
        <f>HYPERLINK(#REF!,"Link")</f>
        <v>#REF!</v>
      </c>
    </row>
    <row r="828" spans="1:17" x14ac:dyDescent="0.3">
      <c r="A828" t="s">
        <v>1951</v>
      </c>
      <c r="B828" t="s">
        <v>1952</v>
      </c>
      <c r="C828" s="10" t="s">
        <v>3748</v>
      </c>
      <c r="D828" s="10" t="s">
        <v>3759</v>
      </c>
      <c r="E828" s="14">
        <v>599</v>
      </c>
      <c r="F828" s="3">
        <v>599</v>
      </c>
      <c r="G828" s="3">
        <f t="shared" si="61"/>
        <v>1797</v>
      </c>
      <c r="H828" s="3">
        <f t="shared" si="60"/>
        <v>1797</v>
      </c>
      <c r="I828" s="14">
        <f t="shared" si="62"/>
        <v>0</v>
      </c>
      <c r="J828" s="14">
        <f t="shared" si="63"/>
        <v>0</v>
      </c>
      <c r="K828" s="1">
        <v>0</v>
      </c>
      <c r="L828">
        <v>4</v>
      </c>
      <c r="M828" s="2">
        <v>26423</v>
      </c>
      <c r="N828" t="s">
        <v>1953</v>
      </c>
      <c r="O828">
        <f t="shared" si="64"/>
        <v>3</v>
      </c>
      <c r="P828" s="12" t="e">
        <f>HYPERLINK(#REF!,"Link")</f>
        <v>#REF!</v>
      </c>
      <c r="Q828" s="12" t="e">
        <f>HYPERLINK(#REF!,"Link")</f>
        <v>#REF!</v>
      </c>
    </row>
    <row r="829" spans="1:17" x14ac:dyDescent="0.3">
      <c r="A829" t="s">
        <v>1954</v>
      </c>
      <c r="B829" t="s">
        <v>1955</v>
      </c>
      <c r="C829" s="9" t="s">
        <v>3748</v>
      </c>
      <c r="D829" s="9" t="s">
        <v>3760</v>
      </c>
      <c r="E829" s="14">
        <v>7999</v>
      </c>
      <c r="F829" s="3">
        <v>1999</v>
      </c>
      <c r="G829" s="3">
        <f t="shared" si="61"/>
        <v>15998</v>
      </c>
      <c r="H829" s="3">
        <f t="shared" si="60"/>
        <v>3998</v>
      </c>
      <c r="I829" s="14">
        <f t="shared" si="62"/>
        <v>11998.5</v>
      </c>
      <c r="J829" s="14">
        <f t="shared" si="63"/>
        <v>-12000</v>
      </c>
      <c r="K829" s="1">
        <v>0.75</v>
      </c>
      <c r="L829">
        <v>4.2</v>
      </c>
      <c r="M829" s="2">
        <v>31305</v>
      </c>
      <c r="N829" t="s">
        <v>1956</v>
      </c>
      <c r="O829">
        <f t="shared" si="64"/>
        <v>2</v>
      </c>
      <c r="P829" s="12" t="e">
        <f>HYPERLINK(#REF!,"Link")</f>
        <v>#REF!</v>
      </c>
      <c r="Q829" s="12" t="e">
        <f>HYPERLINK(#REF!,"Link")</f>
        <v>#REF!</v>
      </c>
    </row>
    <row r="830" spans="1:17" x14ac:dyDescent="0.3">
      <c r="A830" t="s">
        <v>1957</v>
      </c>
      <c r="B830" t="s">
        <v>1958</v>
      </c>
      <c r="C830" s="10" t="s">
        <v>3725</v>
      </c>
      <c r="D830" s="10" t="s">
        <v>3761</v>
      </c>
      <c r="E830" s="14">
        <v>3250</v>
      </c>
      <c r="F830" s="3">
        <v>2099</v>
      </c>
      <c r="G830" s="3">
        <f t="shared" si="61"/>
        <v>3250</v>
      </c>
      <c r="H830" s="3">
        <f t="shared" si="60"/>
        <v>2099</v>
      </c>
      <c r="I830" s="14">
        <f t="shared" si="62"/>
        <v>1137.5</v>
      </c>
      <c r="J830" s="14">
        <f t="shared" si="63"/>
        <v>-1151</v>
      </c>
      <c r="K830" s="1">
        <v>0.35</v>
      </c>
      <c r="L830">
        <v>3.8</v>
      </c>
      <c r="M830" s="2">
        <v>11213</v>
      </c>
      <c r="N830" t="s">
        <v>1959</v>
      </c>
      <c r="O830">
        <f t="shared" si="64"/>
        <v>1</v>
      </c>
      <c r="P830" s="12" t="e">
        <f>HYPERLINK(#REF!,"Link")</f>
        <v>#REF!</v>
      </c>
      <c r="Q830" s="12" t="e">
        <f>HYPERLINK(#REF!,"Link")</f>
        <v>#REF!</v>
      </c>
    </row>
    <row r="831" spans="1:17" x14ac:dyDescent="0.3">
      <c r="A831" t="s">
        <v>1960</v>
      </c>
      <c r="B831" t="s">
        <v>1961</v>
      </c>
      <c r="C831" s="9" t="s">
        <v>3748</v>
      </c>
      <c r="D831" s="9" t="s">
        <v>3762</v>
      </c>
      <c r="E831" s="14">
        <v>499</v>
      </c>
      <c r="F831" s="3">
        <v>179</v>
      </c>
      <c r="G831" s="3">
        <f t="shared" si="61"/>
        <v>1497</v>
      </c>
      <c r="H831" s="3">
        <f t="shared" si="60"/>
        <v>537</v>
      </c>
      <c r="I831" s="14">
        <f t="shared" si="62"/>
        <v>958.08</v>
      </c>
      <c r="J831" s="14">
        <f t="shared" si="63"/>
        <v>-960</v>
      </c>
      <c r="K831" s="1">
        <v>0.64</v>
      </c>
      <c r="L831">
        <v>4.0999999999999996</v>
      </c>
      <c r="M831" s="2">
        <v>10174</v>
      </c>
      <c r="N831" t="s">
        <v>1962</v>
      </c>
      <c r="O831">
        <f t="shared" si="64"/>
        <v>3</v>
      </c>
      <c r="P831" s="12" t="e">
        <f>HYPERLINK(#REF!,"Link")</f>
        <v>#REF!</v>
      </c>
      <c r="Q831" s="12" t="e">
        <f>HYPERLINK(#REF!,"Link")</f>
        <v>#REF!</v>
      </c>
    </row>
    <row r="832" spans="1:17" x14ac:dyDescent="0.3">
      <c r="A832" t="s">
        <v>1963</v>
      </c>
      <c r="B832" t="s">
        <v>1964</v>
      </c>
      <c r="C832" s="10" t="s">
        <v>3748</v>
      </c>
      <c r="D832" s="10" t="s">
        <v>3763</v>
      </c>
      <c r="E832" s="14">
        <v>2295</v>
      </c>
      <c r="F832" s="3">
        <v>1345</v>
      </c>
      <c r="G832" s="3">
        <f t="shared" si="61"/>
        <v>9180</v>
      </c>
      <c r="H832" s="3">
        <f t="shared" si="60"/>
        <v>5380</v>
      </c>
      <c r="I832" s="14">
        <f t="shared" si="62"/>
        <v>3763.7999999999997</v>
      </c>
      <c r="J832" s="14">
        <f t="shared" si="63"/>
        <v>-3800</v>
      </c>
      <c r="K832" s="1">
        <v>0.41</v>
      </c>
      <c r="L832">
        <v>4.2</v>
      </c>
      <c r="M832" s="2">
        <v>17413</v>
      </c>
      <c r="N832" t="s">
        <v>1965</v>
      </c>
      <c r="O832">
        <f t="shared" si="64"/>
        <v>4</v>
      </c>
      <c r="P832" s="12" t="e">
        <f>HYPERLINK(#REF!,"Link")</f>
        <v>#REF!</v>
      </c>
      <c r="Q832" s="12" t="e">
        <f>HYPERLINK(#REF!,"Link")</f>
        <v>#REF!</v>
      </c>
    </row>
    <row r="833" spans="1:17" x14ac:dyDescent="0.3">
      <c r="A833" t="s">
        <v>1966</v>
      </c>
      <c r="B833" t="s">
        <v>1499</v>
      </c>
      <c r="C833" s="9" t="s">
        <v>3748</v>
      </c>
      <c r="D833" s="9" t="s">
        <v>3765</v>
      </c>
      <c r="E833" s="14">
        <v>995</v>
      </c>
      <c r="F833" s="3">
        <v>349</v>
      </c>
      <c r="G833" s="3">
        <f t="shared" si="61"/>
        <v>3980</v>
      </c>
      <c r="H833" s="3">
        <f t="shared" si="60"/>
        <v>1396</v>
      </c>
      <c r="I833" s="14">
        <f t="shared" si="62"/>
        <v>2587</v>
      </c>
      <c r="J833" s="14">
        <f t="shared" si="63"/>
        <v>-2584</v>
      </c>
      <c r="K833" s="1">
        <v>0.65</v>
      </c>
      <c r="L833">
        <v>4.2</v>
      </c>
      <c r="M833" s="2">
        <v>6676</v>
      </c>
      <c r="N833" t="s">
        <v>1967</v>
      </c>
      <c r="O833">
        <f t="shared" si="64"/>
        <v>4</v>
      </c>
      <c r="P833" s="12" t="e">
        <f>HYPERLINK(#REF!,"Link")</f>
        <v>#REF!</v>
      </c>
      <c r="Q833" s="12" t="e">
        <f>HYPERLINK(#REF!,"Link")</f>
        <v>#REF!</v>
      </c>
    </row>
    <row r="834" spans="1:17" x14ac:dyDescent="0.3">
      <c r="A834" t="s">
        <v>1968</v>
      </c>
      <c r="B834" t="s">
        <v>1969</v>
      </c>
      <c r="C834" s="10" t="s">
        <v>3748</v>
      </c>
      <c r="D834" s="10" t="s">
        <v>3736</v>
      </c>
      <c r="E834" s="14">
        <v>499</v>
      </c>
      <c r="F834" s="3">
        <v>287</v>
      </c>
      <c r="G834" s="3">
        <f t="shared" si="61"/>
        <v>499</v>
      </c>
      <c r="H834" s="3">
        <f t="shared" ref="H834:H897" si="65">F834*O834</f>
        <v>287</v>
      </c>
      <c r="I834" s="14">
        <f t="shared" si="62"/>
        <v>209.57999999999998</v>
      </c>
      <c r="J834" s="14">
        <f t="shared" si="63"/>
        <v>-212</v>
      </c>
      <c r="K834" s="1">
        <v>0.42</v>
      </c>
      <c r="L834">
        <v>4.4000000000000004</v>
      </c>
      <c r="M834" s="2">
        <v>8076</v>
      </c>
      <c r="N834" t="s">
        <v>1970</v>
      </c>
      <c r="O834">
        <f t="shared" si="64"/>
        <v>1</v>
      </c>
      <c r="P834" s="12" t="e">
        <f>HYPERLINK(#REF!,"Link")</f>
        <v>#REF!</v>
      </c>
      <c r="Q834" s="12" t="e">
        <f>HYPERLINK(#REF!,"Link")</f>
        <v>#REF!</v>
      </c>
    </row>
    <row r="835" spans="1:17" x14ac:dyDescent="0.3">
      <c r="A835" t="s">
        <v>102</v>
      </c>
      <c r="B835" t="s">
        <v>103</v>
      </c>
      <c r="C835" s="9" t="s">
        <v>3748</v>
      </c>
      <c r="D835" s="9" t="s">
        <v>3766</v>
      </c>
      <c r="E835" s="14">
        <v>599</v>
      </c>
      <c r="F835" s="3">
        <v>599</v>
      </c>
      <c r="G835" s="3">
        <f t="shared" ref="G835:G898" si="66">E835*O835</f>
        <v>1198</v>
      </c>
      <c r="H835" s="3">
        <f t="shared" si="65"/>
        <v>1198</v>
      </c>
      <c r="I835" s="14">
        <f t="shared" ref="I835:I898" si="67">(E835*K835)*O835</f>
        <v>0</v>
      </c>
      <c r="J835" s="14">
        <f t="shared" ref="J835:J898" si="68">H835-G835</f>
        <v>0</v>
      </c>
      <c r="K835" s="1">
        <v>0</v>
      </c>
      <c r="L835">
        <v>4.3</v>
      </c>
      <c r="M835">
        <v>355</v>
      </c>
      <c r="N835" t="s">
        <v>104</v>
      </c>
      <c r="O835">
        <f t="shared" ref="O835:O898" si="69">LEN(N835)-LEN(SUBSTITUTE(N835,",",""))+1</f>
        <v>2</v>
      </c>
      <c r="P835" s="12" t="e">
        <f>HYPERLINK(#REF!,"Link")</f>
        <v>#REF!</v>
      </c>
      <c r="Q835" s="12" t="e">
        <f>HYPERLINK(#REF!,"Link")</f>
        <v>#REF!</v>
      </c>
    </row>
    <row r="836" spans="1:17" x14ac:dyDescent="0.3">
      <c r="A836" t="s">
        <v>1971</v>
      </c>
      <c r="B836" t="s">
        <v>1972</v>
      </c>
      <c r="C836" s="10" t="s">
        <v>3748</v>
      </c>
      <c r="D836" s="10" t="s">
        <v>3736</v>
      </c>
      <c r="E836" s="14">
        <v>450</v>
      </c>
      <c r="F836" s="3">
        <v>349</v>
      </c>
      <c r="G836" s="3">
        <f t="shared" si="66"/>
        <v>450</v>
      </c>
      <c r="H836" s="3">
        <f t="shared" si="65"/>
        <v>349</v>
      </c>
      <c r="I836" s="14">
        <f t="shared" si="67"/>
        <v>99</v>
      </c>
      <c r="J836" s="14">
        <f t="shared" si="68"/>
        <v>-101</v>
      </c>
      <c r="K836" s="1">
        <v>0.22</v>
      </c>
      <c r="L836">
        <v>4.0999999999999996</v>
      </c>
      <c r="M836" s="2">
        <v>18656</v>
      </c>
      <c r="N836" t="s">
        <v>1973</v>
      </c>
      <c r="O836">
        <f t="shared" si="69"/>
        <v>1</v>
      </c>
      <c r="P836" s="12" t="e">
        <f>HYPERLINK(#REF!,"Link")</f>
        <v>#REF!</v>
      </c>
      <c r="Q836" s="12" t="e">
        <f>HYPERLINK(#REF!,"Link")</f>
        <v>#REF!</v>
      </c>
    </row>
    <row r="837" spans="1:17" x14ac:dyDescent="0.3">
      <c r="A837" t="s">
        <v>1974</v>
      </c>
      <c r="B837" t="s">
        <v>1975</v>
      </c>
      <c r="C837" s="9" t="s">
        <v>3755</v>
      </c>
      <c r="D837" s="9" t="s">
        <v>3767</v>
      </c>
      <c r="E837" s="14">
        <v>1109</v>
      </c>
      <c r="F837" s="3">
        <v>879</v>
      </c>
      <c r="G837" s="3">
        <f t="shared" si="66"/>
        <v>2218</v>
      </c>
      <c r="H837" s="3">
        <f t="shared" si="65"/>
        <v>1758</v>
      </c>
      <c r="I837" s="14">
        <f t="shared" si="67"/>
        <v>465.78</v>
      </c>
      <c r="J837" s="14">
        <f t="shared" si="68"/>
        <v>-460</v>
      </c>
      <c r="K837" s="1">
        <v>0.21</v>
      </c>
      <c r="L837">
        <v>4.4000000000000004</v>
      </c>
      <c r="M837" s="2">
        <v>31599</v>
      </c>
      <c r="N837" t="s">
        <v>1976</v>
      </c>
      <c r="O837">
        <f t="shared" si="69"/>
        <v>2</v>
      </c>
      <c r="P837" s="12" t="e">
        <f>HYPERLINK(#REF!,"Link")</f>
        <v>#REF!</v>
      </c>
      <c r="Q837" s="12" t="e">
        <f>HYPERLINK(#REF!,"Link")</f>
        <v>#REF!</v>
      </c>
    </row>
    <row r="838" spans="1:17" x14ac:dyDescent="0.3">
      <c r="A838" t="s">
        <v>105</v>
      </c>
      <c r="B838" t="s">
        <v>106</v>
      </c>
      <c r="C838" s="10" t="s">
        <v>3768</v>
      </c>
      <c r="D838" s="10" t="s">
        <v>3769</v>
      </c>
      <c r="E838" s="14">
        <v>999</v>
      </c>
      <c r="F838" s="3">
        <v>199</v>
      </c>
      <c r="G838" s="3">
        <f t="shared" si="66"/>
        <v>4995</v>
      </c>
      <c r="H838" s="3">
        <f t="shared" si="65"/>
        <v>995</v>
      </c>
      <c r="I838" s="14">
        <f t="shared" si="67"/>
        <v>3996</v>
      </c>
      <c r="J838" s="14">
        <f t="shared" si="68"/>
        <v>-4000</v>
      </c>
      <c r="K838" s="1">
        <v>0.8</v>
      </c>
      <c r="L838">
        <v>3.9</v>
      </c>
      <c r="M838" s="2">
        <v>1075</v>
      </c>
      <c r="N838" t="s">
        <v>107</v>
      </c>
      <c r="O838">
        <f t="shared" si="69"/>
        <v>5</v>
      </c>
      <c r="P838" s="12" t="e">
        <f>HYPERLINK(#REF!,"Link")</f>
        <v>#REF!</v>
      </c>
      <c r="Q838" s="12" t="e">
        <f>HYPERLINK(#REF!,"Link")</f>
        <v>#REF!</v>
      </c>
    </row>
    <row r="839" spans="1:17" x14ac:dyDescent="0.3">
      <c r="A839" t="s">
        <v>1977</v>
      </c>
      <c r="B839" t="s">
        <v>1978</v>
      </c>
      <c r="C839" s="9" t="s">
        <v>3738</v>
      </c>
      <c r="D839" s="9"/>
      <c r="E839" s="14">
        <v>250</v>
      </c>
      <c r="F839" s="3">
        <v>250</v>
      </c>
      <c r="G839" s="3">
        <f t="shared" si="66"/>
        <v>1500</v>
      </c>
      <c r="H839" s="3">
        <f t="shared" si="65"/>
        <v>1500</v>
      </c>
      <c r="I839" s="14">
        <f t="shared" si="67"/>
        <v>0</v>
      </c>
      <c r="J839" s="14">
        <f t="shared" si="68"/>
        <v>0</v>
      </c>
      <c r="K839" s="1">
        <v>0</v>
      </c>
      <c r="L839">
        <v>3.9</v>
      </c>
      <c r="M839" s="2">
        <v>13971</v>
      </c>
      <c r="N839" t="s">
        <v>1979</v>
      </c>
      <c r="O839">
        <f t="shared" si="69"/>
        <v>6</v>
      </c>
      <c r="P839" s="12" t="e">
        <f>HYPERLINK(#REF!,"Link")</f>
        <v>#REF!</v>
      </c>
      <c r="Q839" s="12" t="e">
        <f>HYPERLINK(#REF!,"Link")</f>
        <v>#REF!</v>
      </c>
    </row>
    <row r="840" spans="1:17" x14ac:dyDescent="0.3">
      <c r="A840" t="s">
        <v>1980</v>
      </c>
      <c r="B840" t="s">
        <v>1981</v>
      </c>
      <c r="C840" s="10" t="s">
        <v>3748</v>
      </c>
      <c r="D840" s="10" t="s">
        <v>3762</v>
      </c>
      <c r="E840" s="14">
        <v>499</v>
      </c>
      <c r="F840" s="3">
        <v>199</v>
      </c>
      <c r="G840" s="3">
        <f t="shared" si="66"/>
        <v>1996</v>
      </c>
      <c r="H840" s="3">
        <f t="shared" si="65"/>
        <v>796</v>
      </c>
      <c r="I840" s="14">
        <f t="shared" si="67"/>
        <v>1197.5999999999999</v>
      </c>
      <c r="J840" s="14">
        <f t="shared" si="68"/>
        <v>-1200</v>
      </c>
      <c r="K840" s="1">
        <v>0.6</v>
      </c>
      <c r="L840">
        <v>3.6</v>
      </c>
      <c r="M840" s="2">
        <v>2492</v>
      </c>
      <c r="N840" t="s">
        <v>1982</v>
      </c>
      <c r="O840">
        <f t="shared" si="69"/>
        <v>4</v>
      </c>
      <c r="P840" s="12" t="e">
        <f>HYPERLINK(#REF!,"Link")</f>
        <v>#REF!</v>
      </c>
      <c r="Q840" s="12" t="e">
        <f>HYPERLINK(#REF!,"Link")</f>
        <v>#REF!</v>
      </c>
    </row>
    <row r="841" spans="1:17" x14ac:dyDescent="0.3">
      <c r="A841" t="s">
        <v>110</v>
      </c>
      <c r="B841" t="s">
        <v>111</v>
      </c>
      <c r="C841" s="9" t="s">
        <v>3748</v>
      </c>
      <c r="D841" s="9" t="s">
        <v>3736</v>
      </c>
      <c r="E841" s="14">
        <v>1900</v>
      </c>
      <c r="F841" s="3">
        <v>899</v>
      </c>
      <c r="G841" s="3">
        <f t="shared" si="66"/>
        <v>5700</v>
      </c>
      <c r="H841" s="3">
        <f t="shared" si="65"/>
        <v>2697</v>
      </c>
      <c r="I841" s="14">
        <f t="shared" si="67"/>
        <v>3021</v>
      </c>
      <c r="J841" s="14">
        <f t="shared" si="68"/>
        <v>-3003</v>
      </c>
      <c r="K841" s="1">
        <v>0.53</v>
      </c>
      <c r="L841">
        <v>4.4000000000000004</v>
      </c>
      <c r="M841" s="2">
        <v>13552</v>
      </c>
      <c r="N841" t="s">
        <v>112</v>
      </c>
      <c r="O841">
        <f t="shared" si="69"/>
        <v>3</v>
      </c>
      <c r="P841" s="12" t="e">
        <f>HYPERLINK(#REF!,"Link")</f>
        <v>#REF!</v>
      </c>
      <c r="Q841" s="12" t="e">
        <f>HYPERLINK(#REF!,"Link")</f>
        <v>#REF!</v>
      </c>
    </row>
    <row r="842" spans="1:17" x14ac:dyDescent="0.3">
      <c r="A842" t="s">
        <v>113</v>
      </c>
      <c r="B842" t="s">
        <v>114</v>
      </c>
      <c r="C842" s="10" t="s">
        <v>3770</v>
      </c>
      <c r="D842" s="10"/>
      <c r="E842" s="14">
        <v>999</v>
      </c>
      <c r="F842" s="3">
        <v>199</v>
      </c>
      <c r="G842" s="3">
        <f t="shared" si="66"/>
        <v>3996</v>
      </c>
      <c r="H842" s="3">
        <f t="shared" si="65"/>
        <v>796</v>
      </c>
      <c r="I842" s="14">
        <f t="shared" si="67"/>
        <v>3196.8</v>
      </c>
      <c r="J842" s="14">
        <f t="shared" si="68"/>
        <v>-3200</v>
      </c>
      <c r="K842" s="1">
        <v>0.8</v>
      </c>
      <c r="L842">
        <v>4</v>
      </c>
      <c r="M842">
        <v>575</v>
      </c>
      <c r="N842" t="s">
        <v>115</v>
      </c>
      <c r="O842">
        <f t="shared" si="69"/>
        <v>4</v>
      </c>
      <c r="P842" s="12" t="e">
        <f>HYPERLINK(#REF!,"Link")</f>
        <v>#REF!</v>
      </c>
      <c r="Q842" s="12" t="e">
        <f>HYPERLINK(#REF!,"Link")</f>
        <v>#REF!</v>
      </c>
    </row>
    <row r="843" spans="1:17" x14ac:dyDescent="0.3">
      <c r="A843" t="s">
        <v>1983</v>
      </c>
      <c r="B843" t="s">
        <v>1984</v>
      </c>
      <c r="C843" s="9" t="s">
        <v>3771</v>
      </c>
      <c r="D843" s="9" t="s">
        <v>3772</v>
      </c>
      <c r="E843" s="14">
        <v>999</v>
      </c>
      <c r="F843" s="3">
        <v>149</v>
      </c>
      <c r="G843" s="3">
        <f t="shared" si="66"/>
        <v>2997</v>
      </c>
      <c r="H843" s="3">
        <f t="shared" si="65"/>
        <v>447</v>
      </c>
      <c r="I843" s="14">
        <f t="shared" si="67"/>
        <v>2547.4499999999998</v>
      </c>
      <c r="J843" s="14">
        <f t="shared" si="68"/>
        <v>-2550</v>
      </c>
      <c r="K843" s="1">
        <v>0.85</v>
      </c>
      <c r="L843">
        <v>3.5</v>
      </c>
      <c r="M843" s="2">
        <v>2523</v>
      </c>
      <c r="N843" t="s">
        <v>1985</v>
      </c>
      <c r="O843">
        <f t="shared" si="69"/>
        <v>3</v>
      </c>
      <c r="P843" s="12" t="e">
        <f>HYPERLINK(#REF!,"Link")</f>
        <v>#REF!</v>
      </c>
      <c r="Q843" s="12" t="e">
        <f>HYPERLINK(#REF!,"Link")</f>
        <v>#REF!</v>
      </c>
    </row>
    <row r="844" spans="1:17" x14ac:dyDescent="0.3">
      <c r="A844" t="s">
        <v>1986</v>
      </c>
      <c r="B844" t="s">
        <v>1987</v>
      </c>
      <c r="C844" s="10" t="s">
        <v>3771</v>
      </c>
      <c r="D844" s="10" t="s">
        <v>3773</v>
      </c>
      <c r="E844" s="14">
        <v>1499</v>
      </c>
      <c r="F844" s="3">
        <v>469</v>
      </c>
      <c r="G844" s="3">
        <f t="shared" si="66"/>
        <v>1499</v>
      </c>
      <c r="H844" s="3">
        <f t="shared" si="65"/>
        <v>469</v>
      </c>
      <c r="I844" s="14">
        <f t="shared" si="67"/>
        <v>1034.31</v>
      </c>
      <c r="J844" s="14">
        <f t="shared" si="68"/>
        <v>-1030</v>
      </c>
      <c r="K844" s="1">
        <v>0.69</v>
      </c>
      <c r="L844">
        <v>4.0999999999999996</v>
      </c>
      <c r="M844">
        <v>352</v>
      </c>
      <c r="N844" t="s">
        <v>1988</v>
      </c>
      <c r="O844">
        <f t="shared" si="69"/>
        <v>1</v>
      </c>
      <c r="P844" s="12" t="e">
        <f>HYPERLINK(#REF!,"Link")</f>
        <v>#REF!</v>
      </c>
      <c r="Q844" s="12" t="e">
        <f>HYPERLINK(#REF!,"Link")</f>
        <v>#REF!</v>
      </c>
    </row>
    <row r="845" spans="1:17" x14ac:dyDescent="0.3">
      <c r="A845" t="s">
        <v>1989</v>
      </c>
      <c r="B845" t="s">
        <v>1990</v>
      </c>
      <c r="C845" s="9" t="s">
        <v>3768</v>
      </c>
      <c r="D845" s="9" t="s">
        <v>3774</v>
      </c>
      <c r="E845" s="14">
        <v>1929</v>
      </c>
      <c r="F845" s="3">
        <v>1187</v>
      </c>
      <c r="G845" s="3">
        <f t="shared" si="66"/>
        <v>7716</v>
      </c>
      <c r="H845" s="3">
        <f t="shared" si="65"/>
        <v>4748</v>
      </c>
      <c r="I845" s="14">
        <f t="shared" si="67"/>
        <v>2932.08</v>
      </c>
      <c r="J845" s="14">
        <f t="shared" si="68"/>
        <v>-2968</v>
      </c>
      <c r="K845" s="1">
        <v>0.38</v>
      </c>
      <c r="L845">
        <v>4.0999999999999996</v>
      </c>
      <c r="M845" s="2">
        <v>1662</v>
      </c>
      <c r="N845" t="s">
        <v>1991</v>
      </c>
      <c r="O845">
        <f t="shared" si="69"/>
        <v>4</v>
      </c>
      <c r="P845" s="12" t="e">
        <f>HYPERLINK(#REF!,"Link")</f>
        <v>#REF!</v>
      </c>
      <c r="Q845" s="12" t="e">
        <f>HYPERLINK(#REF!,"Link")</f>
        <v>#REF!</v>
      </c>
    </row>
    <row r="846" spans="1:17" x14ac:dyDescent="0.3">
      <c r="A846" t="s">
        <v>1992</v>
      </c>
      <c r="B846" t="s">
        <v>1993</v>
      </c>
      <c r="C846" s="10" t="s">
        <v>3768</v>
      </c>
      <c r="D846" s="10" t="s">
        <v>3775</v>
      </c>
      <c r="E846" s="14">
        <v>1499</v>
      </c>
      <c r="F846" s="3">
        <v>849</v>
      </c>
      <c r="G846" s="3">
        <f t="shared" si="66"/>
        <v>2998</v>
      </c>
      <c r="H846" s="3">
        <f t="shared" si="65"/>
        <v>1698</v>
      </c>
      <c r="I846" s="14">
        <f t="shared" si="67"/>
        <v>1289.1399999999999</v>
      </c>
      <c r="J846" s="14">
        <f t="shared" si="68"/>
        <v>-1300</v>
      </c>
      <c r="K846" s="1">
        <v>0.43</v>
      </c>
      <c r="L846">
        <v>4</v>
      </c>
      <c r="M846" s="2">
        <v>7352</v>
      </c>
      <c r="N846" t="s">
        <v>1994</v>
      </c>
      <c r="O846">
        <f t="shared" si="69"/>
        <v>2</v>
      </c>
      <c r="P846" s="12" t="e">
        <f>HYPERLINK(#REF!,"Link")</f>
        <v>#REF!</v>
      </c>
      <c r="Q846" s="12" t="e">
        <f>HYPERLINK(#REF!,"Link")</f>
        <v>#REF!</v>
      </c>
    </row>
    <row r="847" spans="1:17" x14ac:dyDescent="0.3">
      <c r="A847" t="s">
        <v>1995</v>
      </c>
      <c r="B847" t="s">
        <v>1996</v>
      </c>
      <c r="C847" s="9" t="s">
        <v>3771</v>
      </c>
      <c r="D847" s="9" t="s">
        <v>3776</v>
      </c>
      <c r="E847" s="14">
        <v>399</v>
      </c>
      <c r="F847" s="3">
        <v>328</v>
      </c>
      <c r="G847" s="3">
        <f t="shared" si="66"/>
        <v>399</v>
      </c>
      <c r="H847" s="3">
        <f t="shared" si="65"/>
        <v>328</v>
      </c>
      <c r="I847" s="14">
        <f t="shared" si="67"/>
        <v>71.819999999999993</v>
      </c>
      <c r="J847" s="14">
        <f t="shared" si="68"/>
        <v>-71</v>
      </c>
      <c r="K847" s="1">
        <v>0.18</v>
      </c>
      <c r="L847">
        <v>4.0999999999999996</v>
      </c>
      <c r="M847" s="2">
        <v>3441</v>
      </c>
      <c r="N847" t="s">
        <v>661</v>
      </c>
      <c r="O847">
        <f t="shared" si="69"/>
        <v>1</v>
      </c>
      <c r="P847" s="12" t="e">
        <f>HYPERLINK(#REF!,"Link")</f>
        <v>#REF!</v>
      </c>
      <c r="Q847" s="12" t="e">
        <f>HYPERLINK(#REF!,"Link")</f>
        <v>#REF!</v>
      </c>
    </row>
    <row r="848" spans="1:17" x14ac:dyDescent="0.3">
      <c r="A848" t="s">
        <v>1997</v>
      </c>
      <c r="B848" t="s">
        <v>1998</v>
      </c>
      <c r="C848" s="10" t="s">
        <v>3777</v>
      </c>
      <c r="D848" s="10"/>
      <c r="E848" s="14">
        <v>699</v>
      </c>
      <c r="F848" s="3">
        <v>269</v>
      </c>
      <c r="G848" s="3">
        <f t="shared" si="66"/>
        <v>1398</v>
      </c>
      <c r="H848" s="3">
        <f t="shared" si="65"/>
        <v>538</v>
      </c>
      <c r="I848" s="14">
        <f t="shared" si="67"/>
        <v>866.76</v>
      </c>
      <c r="J848" s="14">
        <f t="shared" si="68"/>
        <v>-860</v>
      </c>
      <c r="K848" s="1">
        <v>0.62</v>
      </c>
      <c r="L848">
        <v>4</v>
      </c>
      <c r="M848">
        <v>93</v>
      </c>
      <c r="N848" t="s">
        <v>1999</v>
      </c>
      <c r="O848">
        <f t="shared" si="69"/>
        <v>2</v>
      </c>
      <c r="P848" s="12" t="e">
        <f>HYPERLINK(#REF!,"Link")</f>
        <v>#REF!</v>
      </c>
      <c r="Q848" s="12" t="e">
        <f>HYPERLINK(#REF!,"Link")</f>
        <v>#REF!</v>
      </c>
    </row>
    <row r="849" spans="1:17" x14ac:dyDescent="0.3">
      <c r="A849" t="s">
        <v>2000</v>
      </c>
      <c r="B849" t="s">
        <v>2001</v>
      </c>
      <c r="C849" s="9" t="s">
        <v>3778</v>
      </c>
      <c r="D849" s="9"/>
      <c r="E849" s="14">
        <v>400</v>
      </c>
      <c r="F849" s="3">
        <v>299</v>
      </c>
      <c r="G849" s="3">
        <f t="shared" si="66"/>
        <v>1200</v>
      </c>
      <c r="H849" s="3">
        <f t="shared" si="65"/>
        <v>897</v>
      </c>
      <c r="I849" s="14">
        <f t="shared" si="67"/>
        <v>300</v>
      </c>
      <c r="J849" s="14">
        <f t="shared" si="68"/>
        <v>-303</v>
      </c>
      <c r="K849" s="1">
        <v>0.25</v>
      </c>
      <c r="L849">
        <v>3.8</v>
      </c>
      <c r="M849" s="2">
        <v>40895</v>
      </c>
      <c r="N849" t="s">
        <v>2002</v>
      </c>
      <c r="O849">
        <f t="shared" si="69"/>
        <v>3</v>
      </c>
      <c r="P849" s="12" t="e">
        <f>HYPERLINK(#REF!,"Link")</f>
        <v>#REF!</v>
      </c>
      <c r="Q849" s="12" t="e">
        <f>HYPERLINK(#REF!,"Link")</f>
        <v>#REF!</v>
      </c>
    </row>
    <row r="850" spans="1:17" x14ac:dyDescent="0.3">
      <c r="A850" t="s">
        <v>2003</v>
      </c>
      <c r="B850" t="s">
        <v>2004</v>
      </c>
      <c r="C850" s="10" t="s">
        <v>3779</v>
      </c>
      <c r="D850" s="10" t="s">
        <v>3780</v>
      </c>
      <c r="E850" s="14">
        <v>1499</v>
      </c>
      <c r="F850" s="3">
        <v>549</v>
      </c>
      <c r="G850" s="3">
        <f t="shared" si="66"/>
        <v>4497</v>
      </c>
      <c r="H850" s="3">
        <f t="shared" si="65"/>
        <v>1647</v>
      </c>
      <c r="I850" s="14">
        <f t="shared" si="67"/>
        <v>2833.11</v>
      </c>
      <c r="J850" s="14">
        <f t="shared" si="68"/>
        <v>-2850</v>
      </c>
      <c r="K850" s="1">
        <v>0.63</v>
      </c>
      <c r="L850">
        <v>4.3</v>
      </c>
      <c r="M850" s="2">
        <v>11006</v>
      </c>
      <c r="N850" t="s">
        <v>2005</v>
      </c>
      <c r="O850">
        <f t="shared" si="69"/>
        <v>3</v>
      </c>
      <c r="P850" s="12" t="e">
        <f>HYPERLINK(#REF!,"Link")</f>
        <v>#REF!</v>
      </c>
      <c r="Q850" s="12" t="e">
        <f>HYPERLINK(#REF!,"Link")</f>
        <v>#REF!</v>
      </c>
    </row>
    <row r="851" spans="1:17" x14ac:dyDescent="0.3">
      <c r="A851" t="s">
        <v>2006</v>
      </c>
      <c r="B851" t="s">
        <v>2007</v>
      </c>
      <c r="C851" s="9" t="s">
        <v>3781</v>
      </c>
      <c r="D851" s="9" t="s">
        <v>3782</v>
      </c>
      <c r="E851" s="14">
        <v>120</v>
      </c>
      <c r="F851" s="3">
        <v>114</v>
      </c>
      <c r="G851" s="3">
        <f t="shared" si="66"/>
        <v>360</v>
      </c>
      <c r="H851" s="3">
        <f t="shared" si="65"/>
        <v>342</v>
      </c>
      <c r="I851" s="14">
        <f t="shared" si="67"/>
        <v>18</v>
      </c>
      <c r="J851" s="14">
        <f t="shared" si="68"/>
        <v>-18</v>
      </c>
      <c r="K851" s="1">
        <v>0.05</v>
      </c>
      <c r="L851">
        <v>4.2</v>
      </c>
      <c r="M851" s="2">
        <v>8938</v>
      </c>
      <c r="N851" t="s">
        <v>2008</v>
      </c>
      <c r="O851">
        <f t="shared" si="69"/>
        <v>3</v>
      </c>
      <c r="P851" s="12" t="e">
        <f>HYPERLINK(#REF!,"Link")</f>
        <v>#REF!</v>
      </c>
      <c r="Q851" s="12" t="e">
        <f>HYPERLINK(#REF!,"Link")</f>
        <v>#REF!</v>
      </c>
    </row>
    <row r="852" spans="1:17" x14ac:dyDescent="0.3">
      <c r="A852" t="s">
        <v>2009</v>
      </c>
      <c r="B852" t="s">
        <v>2010</v>
      </c>
      <c r="C852" s="10" t="s">
        <v>3771</v>
      </c>
      <c r="D852" s="10" t="s">
        <v>3783</v>
      </c>
      <c r="E852" s="14">
        <v>120</v>
      </c>
      <c r="F852" s="3">
        <v>120</v>
      </c>
      <c r="G852" s="3">
        <f t="shared" si="66"/>
        <v>240</v>
      </c>
      <c r="H852" s="3">
        <f t="shared" si="65"/>
        <v>240</v>
      </c>
      <c r="I852" s="14">
        <f t="shared" si="67"/>
        <v>0</v>
      </c>
      <c r="J852" s="14">
        <f t="shared" si="68"/>
        <v>0</v>
      </c>
      <c r="K852" s="1">
        <v>0</v>
      </c>
      <c r="L852">
        <v>4.0999999999999996</v>
      </c>
      <c r="M852" s="2">
        <v>4308</v>
      </c>
      <c r="N852" t="s">
        <v>2011</v>
      </c>
      <c r="O852">
        <f t="shared" si="69"/>
        <v>2</v>
      </c>
      <c r="P852" s="12" t="e">
        <f>HYPERLINK(#REF!,"Link")</f>
        <v>#REF!</v>
      </c>
      <c r="Q852" s="12" t="e">
        <f>HYPERLINK(#REF!,"Link")</f>
        <v>#REF!</v>
      </c>
    </row>
    <row r="853" spans="1:17" x14ac:dyDescent="0.3">
      <c r="A853" t="s">
        <v>119</v>
      </c>
      <c r="B853" t="s">
        <v>120</v>
      </c>
      <c r="C853" s="9" t="s">
        <v>3784</v>
      </c>
      <c r="D853" s="9"/>
      <c r="E853" s="14">
        <v>1999</v>
      </c>
      <c r="F853" s="3">
        <v>970</v>
      </c>
      <c r="G853" s="3">
        <f t="shared" si="66"/>
        <v>1999</v>
      </c>
      <c r="H853" s="3">
        <f t="shared" si="65"/>
        <v>970</v>
      </c>
      <c r="I853" s="14">
        <f t="shared" si="67"/>
        <v>1019.49</v>
      </c>
      <c r="J853" s="14">
        <f t="shared" si="68"/>
        <v>-1029</v>
      </c>
      <c r="K853" s="1">
        <v>0.51</v>
      </c>
      <c r="L853">
        <v>4.2</v>
      </c>
      <c r="M853">
        <v>462</v>
      </c>
      <c r="N853" t="s">
        <v>121</v>
      </c>
      <c r="O853">
        <f t="shared" si="69"/>
        <v>1</v>
      </c>
      <c r="P853" s="12" t="e">
        <f>HYPERLINK(#REF!,"Link")</f>
        <v>#REF!</v>
      </c>
      <c r="Q853" s="12" t="e">
        <f>HYPERLINK(#REF!,"Link")</f>
        <v>#REF!</v>
      </c>
    </row>
    <row r="854" spans="1:17" x14ac:dyDescent="0.3">
      <c r="A854" t="s">
        <v>122</v>
      </c>
      <c r="B854" t="s">
        <v>123</v>
      </c>
      <c r="C854" s="10" t="s">
        <v>3785</v>
      </c>
      <c r="D854" s="10"/>
      <c r="E854" s="14">
        <v>695</v>
      </c>
      <c r="F854" s="3">
        <v>209</v>
      </c>
      <c r="G854" s="3">
        <f t="shared" si="66"/>
        <v>4865</v>
      </c>
      <c r="H854" s="3">
        <f t="shared" si="65"/>
        <v>1463</v>
      </c>
      <c r="I854" s="14">
        <f t="shared" si="67"/>
        <v>3405.4999999999995</v>
      </c>
      <c r="J854" s="14">
        <f t="shared" si="68"/>
        <v>-3402</v>
      </c>
      <c r="K854" s="1">
        <v>0.7</v>
      </c>
      <c r="L854">
        <v>4.5</v>
      </c>
      <c r="M854" s="2">
        <v>107686</v>
      </c>
      <c r="N854" t="s">
        <v>124</v>
      </c>
      <c r="O854">
        <f t="shared" si="69"/>
        <v>7</v>
      </c>
      <c r="P854" s="12" t="e">
        <f>HYPERLINK(#REF!,"Link")</f>
        <v>#REF!</v>
      </c>
      <c r="Q854" s="12" t="e">
        <f>HYPERLINK(#REF!,"Link")</f>
        <v>#REF!</v>
      </c>
    </row>
    <row r="855" spans="1:17" x14ac:dyDescent="0.3">
      <c r="A855" t="s">
        <v>2012</v>
      </c>
      <c r="B855" t="s">
        <v>2013</v>
      </c>
      <c r="C855" s="9" t="s">
        <v>3729</v>
      </c>
      <c r="D855" s="9" t="s">
        <v>3786</v>
      </c>
      <c r="E855" s="14">
        <v>2295</v>
      </c>
      <c r="F855" s="3">
        <v>1490</v>
      </c>
      <c r="G855" s="3">
        <f t="shared" si="66"/>
        <v>13770</v>
      </c>
      <c r="H855" s="3">
        <f t="shared" si="65"/>
        <v>8940</v>
      </c>
      <c r="I855" s="14">
        <f t="shared" si="67"/>
        <v>4819.5</v>
      </c>
      <c r="J855" s="14">
        <f t="shared" si="68"/>
        <v>-4830</v>
      </c>
      <c r="K855" s="1">
        <v>0.35</v>
      </c>
      <c r="L855">
        <v>4.5999999999999996</v>
      </c>
      <c r="M855" s="2">
        <v>10652</v>
      </c>
      <c r="N855" t="s">
        <v>2014</v>
      </c>
      <c r="O855">
        <f t="shared" si="69"/>
        <v>6</v>
      </c>
      <c r="P855" s="12" t="e">
        <f>HYPERLINK(#REF!,"Link")</f>
        <v>#REF!</v>
      </c>
      <c r="Q855" s="12" t="e">
        <f>HYPERLINK(#REF!,"Link")</f>
        <v>#REF!</v>
      </c>
    </row>
    <row r="856" spans="1:17" x14ac:dyDescent="0.3">
      <c r="A856" t="s">
        <v>2015</v>
      </c>
      <c r="B856" t="s">
        <v>2016</v>
      </c>
      <c r="C856" s="10" t="s">
        <v>3787</v>
      </c>
      <c r="D856" s="10" t="s">
        <v>3788</v>
      </c>
      <c r="E856" s="14">
        <v>99</v>
      </c>
      <c r="F856" s="3">
        <v>99</v>
      </c>
      <c r="G856" s="3">
        <f t="shared" si="66"/>
        <v>99</v>
      </c>
      <c r="H856" s="3">
        <f t="shared" si="65"/>
        <v>99</v>
      </c>
      <c r="I856" s="14">
        <f t="shared" si="67"/>
        <v>0</v>
      </c>
      <c r="J856" s="14">
        <f t="shared" si="68"/>
        <v>0</v>
      </c>
      <c r="K856" s="1">
        <v>0</v>
      </c>
      <c r="L856">
        <v>4.3</v>
      </c>
      <c r="M856" s="2">
        <v>5036</v>
      </c>
      <c r="N856" t="s">
        <v>2017</v>
      </c>
      <c r="O856">
        <f t="shared" si="69"/>
        <v>1</v>
      </c>
      <c r="P856" s="12" t="e">
        <f>HYPERLINK(#REF!,"Link")</f>
        <v>#REF!</v>
      </c>
      <c r="Q856" s="12" t="e">
        <f>HYPERLINK(#REF!,"Link")</f>
        <v>#REF!</v>
      </c>
    </row>
    <row r="857" spans="1:17" x14ac:dyDescent="0.3">
      <c r="A857" t="s">
        <v>2018</v>
      </c>
      <c r="B857" t="s">
        <v>2019</v>
      </c>
      <c r="C857" s="9" t="s">
        <v>3789</v>
      </c>
      <c r="D857" s="9"/>
      <c r="E857" s="14">
        <v>249</v>
      </c>
      <c r="F857" s="3">
        <v>149</v>
      </c>
      <c r="G857" s="3">
        <f t="shared" si="66"/>
        <v>1245</v>
      </c>
      <c r="H857" s="3">
        <f t="shared" si="65"/>
        <v>745</v>
      </c>
      <c r="I857" s="14">
        <f t="shared" si="67"/>
        <v>498.00000000000006</v>
      </c>
      <c r="J857" s="14">
        <f t="shared" si="68"/>
        <v>-500</v>
      </c>
      <c r="K857" s="1">
        <v>0.4</v>
      </c>
      <c r="L857">
        <v>4</v>
      </c>
      <c r="M857" s="2">
        <v>5057</v>
      </c>
      <c r="N857" t="s">
        <v>2020</v>
      </c>
      <c r="O857">
        <f t="shared" si="69"/>
        <v>5</v>
      </c>
      <c r="P857" s="12" t="e">
        <f>HYPERLINK(#REF!,"Link")</f>
        <v>#REF!</v>
      </c>
      <c r="Q857" s="12" t="e">
        <f>HYPERLINK(#REF!,"Link")</f>
        <v>#REF!</v>
      </c>
    </row>
    <row r="858" spans="1:17" x14ac:dyDescent="0.3">
      <c r="A858" t="s">
        <v>2021</v>
      </c>
      <c r="B858" t="s">
        <v>2022</v>
      </c>
      <c r="C858" s="10" t="s">
        <v>3729</v>
      </c>
      <c r="D858" s="10" t="s">
        <v>3786</v>
      </c>
      <c r="E858" s="14">
        <v>2799</v>
      </c>
      <c r="F858" s="3">
        <v>575</v>
      </c>
      <c r="G858" s="3">
        <f t="shared" si="66"/>
        <v>11196</v>
      </c>
      <c r="H858" s="3">
        <f t="shared" si="65"/>
        <v>2300</v>
      </c>
      <c r="I858" s="14">
        <f t="shared" si="67"/>
        <v>8844.84</v>
      </c>
      <c r="J858" s="14">
        <f t="shared" si="68"/>
        <v>-8896</v>
      </c>
      <c r="K858" s="1">
        <v>0.79</v>
      </c>
      <c r="L858">
        <v>4.2</v>
      </c>
      <c r="M858" s="2">
        <v>8537</v>
      </c>
      <c r="N858" t="s">
        <v>2023</v>
      </c>
      <c r="O858">
        <f t="shared" si="69"/>
        <v>4</v>
      </c>
      <c r="P858" s="12" t="e">
        <f>HYPERLINK(#REF!,"Link")</f>
        <v>#REF!</v>
      </c>
      <c r="Q858" s="12" t="e">
        <f>HYPERLINK(#REF!,"Link")</f>
        <v>#REF!</v>
      </c>
    </row>
    <row r="859" spans="1:17" x14ac:dyDescent="0.3">
      <c r="A859" t="s">
        <v>135</v>
      </c>
      <c r="B859" t="s">
        <v>136</v>
      </c>
      <c r="C859" s="9" t="s">
        <v>3790</v>
      </c>
      <c r="D859" s="9" t="s">
        <v>3791</v>
      </c>
      <c r="E859" s="14">
        <v>999</v>
      </c>
      <c r="F859" s="3">
        <v>333</v>
      </c>
      <c r="G859" s="3">
        <f t="shared" si="66"/>
        <v>3996</v>
      </c>
      <c r="H859" s="3">
        <f t="shared" si="65"/>
        <v>1332</v>
      </c>
      <c r="I859" s="14">
        <f t="shared" si="67"/>
        <v>2677.32</v>
      </c>
      <c r="J859" s="14">
        <f t="shared" si="68"/>
        <v>-2664</v>
      </c>
      <c r="K859" s="1">
        <v>0.67</v>
      </c>
      <c r="L859">
        <v>3.3</v>
      </c>
      <c r="M859" s="2">
        <v>9792</v>
      </c>
      <c r="N859" t="s">
        <v>137</v>
      </c>
      <c r="O859">
        <f t="shared" si="69"/>
        <v>4</v>
      </c>
      <c r="P859" s="12" t="e">
        <f>HYPERLINK(#REF!,"Link")</f>
        <v>#REF!</v>
      </c>
      <c r="Q859" s="12" t="e">
        <f>HYPERLINK(#REF!,"Link")</f>
        <v>#REF!</v>
      </c>
    </row>
    <row r="860" spans="1:17" x14ac:dyDescent="0.3">
      <c r="A860" t="s">
        <v>2024</v>
      </c>
      <c r="B860" t="s">
        <v>2025</v>
      </c>
      <c r="C860" s="10" t="s">
        <v>3771</v>
      </c>
      <c r="D860" s="10" t="s">
        <v>3792</v>
      </c>
      <c r="E860" s="14">
        <v>210</v>
      </c>
      <c r="F860" s="3">
        <v>178</v>
      </c>
      <c r="G860" s="3">
        <f t="shared" si="66"/>
        <v>420</v>
      </c>
      <c r="H860" s="3">
        <f t="shared" si="65"/>
        <v>356</v>
      </c>
      <c r="I860" s="14">
        <f t="shared" si="67"/>
        <v>63</v>
      </c>
      <c r="J860" s="14">
        <f t="shared" si="68"/>
        <v>-64</v>
      </c>
      <c r="K860" s="1">
        <v>0.15</v>
      </c>
      <c r="L860">
        <v>4.3</v>
      </c>
      <c r="M860" s="2">
        <v>2450</v>
      </c>
      <c r="N860" t="s">
        <v>2026</v>
      </c>
      <c r="O860">
        <f t="shared" si="69"/>
        <v>2</v>
      </c>
      <c r="P860" s="12" t="e">
        <f>HYPERLINK(#REF!,"Link")</f>
        <v>#REF!</v>
      </c>
      <c r="Q860" s="12" t="e">
        <f>HYPERLINK(#REF!,"Link")</f>
        <v>#REF!</v>
      </c>
    </row>
    <row r="861" spans="1:17" x14ac:dyDescent="0.3">
      <c r="A861" t="s">
        <v>2027</v>
      </c>
      <c r="B861" t="s">
        <v>2028</v>
      </c>
      <c r="C861" s="9" t="s">
        <v>3793</v>
      </c>
      <c r="D861" s="9" t="s">
        <v>3794</v>
      </c>
      <c r="E861" s="14">
        <v>3490</v>
      </c>
      <c r="F861" s="3">
        <v>1599</v>
      </c>
      <c r="G861" s="3">
        <f t="shared" si="66"/>
        <v>13960</v>
      </c>
      <c r="H861" s="3">
        <f t="shared" si="65"/>
        <v>6396</v>
      </c>
      <c r="I861" s="14">
        <f t="shared" si="67"/>
        <v>7538.4000000000005</v>
      </c>
      <c r="J861" s="14">
        <f t="shared" si="68"/>
        <v>-7564</v>
      </c>
      <c r="K861" s="1">
        <v>0.54</v>
      </c>
      <c r="L861">
        <v>3.7</v>
      </c>
      <c r="M861">
        <v>676</v>
      </c>
      <c r="N861" t="s">
        <v>2029</v>
      </c>
      <c r="O861">
        <f t="shared" si="69"/>
        <v>4</v>
      </c>
      <c r="P861" s="12" t="e">
        <f>HYPERLINK(#REF!,"Link")</f>
        <v>#REF!</v>
      </c>
      <c r="Q861" s="12" t="e">
        <f>HYPERLINK(#REF!,"Link")</f>
        <v>#REF!</v>
      </c>
    </row>
    <row r="862" spans="1:17" x14ac:dyDescent="0.3">
      <c r="A862" t="s">
        <v>2030</v>
      </c>
      <c r="B862" t="s">
        <v>2031</v>
      </c>
      <c r="C862" s="10" t="s">
        <v>3795</v>
      </c>
      <c r="D862" s="10" t="s">
        <v>3796</v>
      </c>
      <c r="E862" s="14">
        <v>1299</v>
      </c>
      <c r="F862" s="3">
        <v>499</v>
      </c>
      <c r="G862" s="3">
        <f t="shared" si="66"/>
        <v>7794</v>
      </c>
      <c r="H862" s="3">
        <f t="shared" si="65"/>
        <v>2994</v>
      </c>
      <c r="I862" s="14">
        <f t="shared" si="67"/>
        <v>4832.28</v>
      </c>
      <c r="J862" s="14">
        <f t="shared" si="68"/>
        <v>-4800</v>
      </c>
      <c r="K862" s="1">
        <v>0.62</v>
      </c>
      <c r="L862">
        <v>3.9</v>
      </c>
      <c r="M862" s="2">
        <v>1173</v>
      </c>
      <c r="N862" t="s">
        <v>2032</v>
      </c>
      <c r="O862">
        <f t="shared" si="69"/>
        <v>6</v>
      </c>
      <c r="P862" s="12" t="e">
        <f>HYPERLINK(#REF!,"Link")</f>
        <v>#REF!</v>
      </c>
      <c r="Q862" s="12" t="e">
        <f>HYPERLINK(#REF!,"Link")</f>
        <v>#REF!</v>
      </c>
    </row>
    <row r="863" spans="1:17" x14ac:dyDescent="0.3">
      <c r="A863" t="s">
        <v>2033</v>
      </c>
      <c r="B863" t="s">
        <v>2034</v>
      </c>
      <c r="C863" s="9" t="s">
        <v>3771</v>
      </c>
      <c r="D863" s="9" t="s">
        <v>3792</v>
      </c>
      <c r="E863" s="14">
        <v>499</v>
      </c>
      <c r="F863" s="3">
        <v>199</v>
      </c>
      <c r="G863" s="3">
        <f t="shared" si="66"/>
        <v>998</v>
      </c>
      <c r="H863" s="3">
        <f t="shared" si="65"/>
        <v>398</v>
      </c>
      <c r="I863" s="14">
        <f t="shared" si="67"/>
        <v>598.79999999999995</v>
      </c>
      <c r="J863" s="14">
        <f t="shared" si="68"/>
        <v>-600</v>
      </c>
      <c r="K863" s="1">
        <v>0.6</v>
      </c>
      <c r="L863">
        <v>4.3</v>
      </c>
      <c r="M863" s="2">
        <v>9998</v>
      </c>
      <c r="N863" t="s">
        <v>2035</v>
      </c>
      <c r="O863">
        <f t="shared" si="69"/>
        <v>2</v>
      </c>
      <c r="P863" s="12" t="e">
        <f>HYPERLINK(#REF!,"Link")</f>
        <v>#REF!</v>
      </c>
      <c r="Q863" s="12" t="e">
        <f>HYPERLINK(#REF!,"Link")</f>
        <v>#REF!</v>
      </c>
    </row>
    <row r="864" spans="1:17" x14ac:dyDescent="0.3">
      <c r="A864" t="s">
        <v>2036</v>
      </c>
      <c r="B864" t="s">
        <v>2037</v>
      </c>
      <c r="C864" s="10" t="s">
        <v>3797</v>
      </c>
      <c r="D864" s="10"/>
      <c r="E864" s="14">
        <v>5999</v>
      </c>
      <c r="F864" s="3">
        <v>2499</v>
      </c>
      <c r="G864" s="3">
        <f t="shared" si="66"/>
        <v>11998</v>
      </c>
      <c r="H864" s="3">
        <f t="shared" si="65"/>
        <v>4998</v>
      </c>
      <c r="I864" s="14">
        <f t="shared" si="67"/>
        <v>6958.8399999999992</v>
      </c>
      <c r="J864" s="14">
        <f t="shared" si="68"/>
        <v>-7000</v>
      </c>
      <c r="K864" s="1">
        <v>0.57999999999999996</v>
      </c>
      <c r="L864">
        <v>4.0999999999999996</v>
      </c>
      <c r="M864" s="2">
        <v>5852</v>
      </c>
      <c r="N864" t="s">
        <v>2038</v>
      </c>
      <c r="O864">
        <f t="shared" si="69"/>
        <v>2</v>
      </c>
      <c r="P864" s="12" t="e">
        <f>HYPERLINK(#REF!,"Link")</f>
        <v>#REF!</v>
      </c>
      <c r="Q864" s="12" t="e">
        <f>HYPERLINK(#REF!,"Link")</f>
        <v>#REF!</v>
      </c>
    </row>
    <row r="865" spans="1:17" x14ac:dyDescent="0.3">
      <c r="A865" t="s">
        <v>2039</v>
      </c>
      <c r="B865" t="s">
        <v>2040</v>
      </c>
      <c r="C865" s="9" t="s">
        <v>3798</v>
      </c>
      <c r="D865" s="9" t="s">
        <v>3799</v>
      </c>
      <c r="E865" s="14">
        <v>999</v>
      </c>
      <c r="F865" s="3">
        <v>199</v>
      </c>
      <c r="G865" s="3">
        <f t="shared" si="66"/>
        <v>4995</v>
      </c>
      <c r="H865" s="3">
        <f t="shared" si="65"/>
        <v>995</v>
      </c>
      <c r="I865" s="14">
        <f t="shared" si="67"/>
        <v>3996</v>
      </c>
      <c r="J865" s="14">
        <f t="shared" si="68"/>
        <v>-4000</v>
      </c>
      <c r="K865" s="1">
        <v>0.8</v>
      </c>
      <c r="L865">
        <v>4.2</v>
      </c>
      <c r="M865">
        <v>362</v>
      </c>
      <c r="N865" t="s">
        <v>2041</v>
      </c>
      <c r="O865">
        <f t="shared" si="69"/>
        <v>5</v>
      </c>
      <c r="P865" s="12" t="e">
        <f>HYPERLINK(#REF!,"Link")</f>
        <v>#REF!</v>
      </c>
      <c r="Q865" s="12" t="e">
        <f>HYPERLINK(#REF!,"Link")</f>
        <v>#REF!</v>
      </c>
    </row>
    <row r="866" spans="1:17" x14ac:dyDescent="0.3">
      <c r="A866" t="s">
        <v>2042</v>
      </c>
      <c r="B866" t="s">
        <v>2043</v>
      </c>
      <c r="C866" s="10"/>
      <c r="D866" s="10"/>
      <c r="E866" s="14">
        <v>1800</v>
      </c>
      <c r="F866" s="3">
        <v>939</v>
      </c>
      <c r="G866" s="3">
        <f t="shared" si="66"/>
        <v>1800</v>
      </c>
      <c r="H866" s="3">
        <f t="shared" si="65"/>
        <v>939</v>
      </c>
      <c r="I866" s="14">
        <f t="shared" si="67"/>
        <v>864</v>
      </c>
      <c r="J866" s="14">
        <f t="shared" si="68"/>
        <v>-861</v>
      </c>
      <c r="K866" s="1">
        <v>0.48</v>
      </c>
      <c r="L866">
        <v>4.5</v>
      </c>
      <c r="M866" s="2">
        <v>205052</v>
      </c>
      <c r="N866" t="s">
        <v>2044</v>
      </c>
      <c r="O866">
        <f t="shared" si="69"/>
        <v>1</v>
      </c>
      <c r="P866" s="12" t="e">
        <f>HYPERLINK(#REF!,"Link")</f>
        <v>#REF!</v>
      </c>
      <c r="Q866" s="12" t="e">
        <f>HYPERLINK(#REF!,"Link")</f>
        <v>#REF!</v>
      </c>
    </row>
    <row r="867" spans="1:17" x14ac:dyDescent="0.3">
      <c r="A867" t="s">
        <v>2045</v>
      </c>
      <c r="B867" t="s">
        <v>2046</v>
      </c>
      <c r="C867" s="9" t="s">
        <v>3800</v>
      </c>
      <c r="D867" s="9"/>
      <c r="E867" s="14">
        <v>9999</v>
      </c>
      <c r="F867" s="3">
        <v>2499</v>
      </c>
      <c r="G867" s="3">
        <f t="shared" si="66"/>
        <v>19998</v>
      </c>
      <c r="H867" s="3">
        <f t="shared" si="65"/>
        <v>4998</v>
      </c>
      <c r="I867" s="14">
        <f t="shared" si="67"/>
        <v>14998.5</v>
      </c>
      <c r="J867" s="14">
        <f t="shared" si="68"/>
        <v>-15000</v>
      </c>
      <c r="K867" s="1">
        <v>0.75</v>
      </c>
      <c r="L867">
        <v>4</v>
      </c>
      <c r="M867" s="2">
        <v>9090</v>
      </c>
      <c r="N867" t="s">
        <v>2047</v>
      </c>
      <c r="O867">
        <f t="shared" si="69"/>
        <v>2</v>
      </c>
      <c r="P867" s="12" t="e">
        <f>HYPERLINK(#REF!,"Link")</f>
        <v>#REF!</v>
      </c>
      <c r="Q867" s="12" t="e">
        <f>HYPERLINK(#REF!,"Link")</f>
        <v>#REF!</v>
      </c>
    </row>
    <row r="868" spans="1:17" x14ac:dyDescent="0.3">
      <c r="A868" t="s">
        <v>2048</v>
      </c>
      <c r="B868" t="s">
        <v>2049</v>
      </c>
      <c r="C868" s="10" t="s">
        <v>3755</v>
      </c>
      <c r="D868" s="10" t="s">
        <v>3801</v>
      </c>
      <c r="E868" s="14">
        <v>2890</v>
      </c>
      <c r="F868" s="3">
        <v>1439</v>
      </c>
      <c r="G868" s="3">
        <f t="shared" si="66"/>
        <v>14450</v>
      </c>
      <c r="H868" s="3">
        <f t="shared" si="65"/>
        <v>7195</v>
      </c>
      <c r="I868" s="14">
        <f t="shared" si="67"/>
        <v>7225</v>
      </c>
      <c r="J868" s="14">
        <f t="shared" si="68"/>
        <v>-7255</v>
      </c>
      <c r="K868" s="1">
        <v>0.5</v>
      </c>
      <c r="L868">
        <v>4.5</v>
      </c>
      <c r="M868" s="2">
        <v>4099</v>
      </c>
      <c r="N868" t="s">
        <v>2050</v>
      </c>
      <c r="O868">
        <f t="shared" si="69"/>
        <v>5</v>
      </c>
      <c r="P868" s="12" t="e">
        <f>HYPERLINK(#REF!,"Link")</f>
        <v>#REF!</v>
      </c>
      <c r="Q868" s="12" t="e">
        <f>HYPERLINK(#REF!,"Link")</f>
        <v>#REF!</v>
      </c>
    </row>
    <row r="869" spans="1:17" x14ac:dyDescent="0.3">
      <c r="A869" t="s">
        <v>2051</v>
      </c>
      <c r="B869" t="s">
        <v>2052</v>
      </c>
      <c r="C869" s="9" t="s">
        <v>3744</v>
      </c>
      <c r="D869" s="9" t="s">
        <v>3802</v>
      </c>
      <c r="E869" s="14">
        <v>5999</v>
      </c>
      <c r="F869" s="3">
        <v>1099</v>
      </c>
      <c r="G869" s="3">
        <f t="shared" si="66"/>
        <v>29995</v>
      </c>
      <c r="H869" s="3">
        <f t="shared" si="65"/>
        <v>5495</v>
      </c>
      <c r="I869" s="14">
        <f t="shared" si="67"/>
        <v>24595.899999999998</v>
      </c>
      <c r="J869" s="14">
        <f t="shared" si="68"/>
        <v>-24500</v>
      </c>
      <c r="K869" s="1">
        <v>0.82</v>
      </c>
      <c r="L869">
        <v>3.5</v>
      </c>
      <c r="M869" s="2">
        <v>12966</v>
      </c>
      <c r="N869" t="s">
        <v>2053</v>
      </c>
      <c r="O869">
        <f t="shared" si="69"/>
        <v>5</v>
      </c>
      <c r="P869" s="12" t="e">
        <f>HYPERLINK(#REF!,"Link")</f>
        <v>#REF!</v>
      </c>
      <c r="Q869" s="12" t="e">
        <f>HYPERLINK(#REF!,"Link")</f>
        <v>#REF!</v>
      </c>
    </row>
    <row r="870" spans="1:17" x14ac:dyDescent="0.3">
      <c r="A870" t="s">
        <v>2054</v>
      </c>
      <c r="B870" t="s">
        <v>1605</v>
      </c>
      <c r="C870" s="10"/>
      <c r="D870" s="10"/>
      <c r="E870" s="14">
        <v>160</v>
      </c>
      <c r="F870" s="3">
        <v>157</v>
      </c>
      <c r="G870" s="3">
        <f t="shared" si="66"/>
        <v>320</v>
      </c>
      <c r="H870" s="3">
        <f t="shared" si="65"/>
        <v>314</v>
      </c>
      <c r="I870" s="14">
        <f t="shared" si="67"/>
        <v>6.4</v>
      </c>
      <c r="J870" s="14">
        <f t="shared" si="68"/>
        <v>-6</v>
      </c>
      <c r="K870" s="1">
        <v>0.02</v>
      </c>
      <c r="L870">
        <v>4.5</v>
      </c>
      <c r="M870" s="2">
        <v>4428</v>
      </c>
      <c r="N870" t="s">
        <v>2055</v>
      </c>
      <c r="O870">
        <f t="shared" si="69"/>
        <v>2</v>
      </c>
      <c r="P870" s="12" t="e">
        <f>HYPERLINK(#REF!,"Link")</f>
        <v>#REF!</v>
      </c>
      <c r="Q870" s="12" t="e">
        <f>HYPERLINK(#REF!,"Link")</f>
        <v>#REF!</v>
      </c>
    </row>
    <row r="871" spans="1:17" x14ac:dyDescent="0.3">
      <c r="A871" t="s">
        <v>130</v>
      </c>
      <c r="B871" t="s">
        <v>131</v>
      </c>
      <c r="C871" s="9" t="s">
        <v>3779</v>
      </c>
      <c r="D871" s="9" t="s">
        <v>3780</v>
      </c>
      <c r="E871" s="14">
        <v>1599</v>
      </c>
      <c r="F871" s="3">
        <v>999</v>
      </c>
      <c r="G871" s="3">
        <f t="shared" si="66"/>
        <v>3198</v>
      </c>
      <c r="H871" s="3">
        <f t="shared" si="65"/>
        <v>1998</v>
      </c>
      <c r="I871" s="14">
        <f t="shared" si="67"/>
        <v>1215.24</v>
      </c>
      <c r="J871" s="14">
        <f t="shared" si="68"/>
        <v>-1200</v>
      </c>
      <c r="K871" s="1">
        <v>0.38</v>
      </c>
      <c r="L871">
        <v>4.3</v>
      </c>
      <c r="M871" s="2">
        <v>12093</v>
      </c>
      <c r="N871" t="s">
        <v>132</v>
      </c>
      <c r="O871">
        <f t="shared" si="69"/>
        <v>2</v>
      </c>
      <c r="P871" s="12" t="e">
        <f>HYPERLINK(#REF!,"Link")</f>
        <v>#REF!</v>
      </c>
      <c r="Q871" s="12" t="e">
        <f>HYPERLINK(#REF!,"Link")</f>
        <v>#REF!</v>
      </c>
    </row>
    <row r="872" spans="1:17" x14ac:dyDescent="0.3">
      <c r="A872" t="s">
        <v>2056</v>
      </c>
      <c r="B872" t="s">
        <v>791</v>
      </c>
      <c r="C872" s="10" t="s">
        <v>3803</v>
      </c>
      <c r="D872" s="10"/>
      <c r="E872" s="14">
        <v>999</v>
      </c>
      <c r="F872" s="3">
        <v>115</v>
      </c>
      <c r="G872" s="3">
        <f t="shared" si="66"/>
        <v>1998</v>
      </c>
      <c r="H872" s="3">
        <f t="shared" si="65"/>
        <v>230</v>
      </c>
      <c r="I872" s="14">
        <f t="shared" si="67"/>
        <v>1758.24</v>
      </c>
      <c r="J872" s="14">
        <f t="shared" si="68"/>
        <v>-1768</v>
      </c>
      <c r="K872" s="1">
        <v>0.88</v>
      </c>
      <c r="L872">
        <v>3.3</v>
      </c>
      <c r="M872" s="2">
        <v>5692</v>
      </c>
      <c r="N872" t="s">
        <v>2057</v>
      </c>
      <c r="O872">
        <f t="shared" si="69"/>
        <v>2</v>
      </c>
      <c r="P872" s="12" t="e">
        <f>HYPERLINK(#REF!,"Link")</f>
        <v>#REF!</v>
      </c>
      <c r="Q872" s="12" t="e">
        <f>HYPERLINK(#REF!,"Link")</f>
        <v>#REF!</v>
      </c>
    </row>
    <row r="873" spans="1:17" x14ac:dyDescent="0.3">
      <c r="A873" t="s">
        <v>2058</v>
      </c>
      <c r="B873" t="s">
        <v>2059</v>
      </c>
      <c r="C873" s="9" t="s">
        <v>3727</v>
      </c>
      <c r="D873" s="9" t="s">
        <v>3804</v>
      </c>
      <c r="E873" s="14">
        <v>499</v>
      </c>
      <c r="F873" s="3">
        <v>175</v>
      </c>
      <c r="G873" s="3">
        <f t="shared" si="66"/>
        <v>1497</v>
      </c>
      <c r="H873" s="3">
        <f t="shared" si="65"/>
        <v>525</v>
      </c>
      <c r="I873" s="14">
        <f t="shared" si="67"/>
        <v>973.05000000000007</v>
      </c>
      <c r="J873" s="14">
        <f t="shared" si="68"/>
        <v>-972</v>
      </c>
      <c r="K873" s="1">
        <v>0.65</v>
      </c>
      <c r="L873">
        <v>4.0999999999999996</v>
      </c>
      <c r="M873">
        <v>21</v>
      </c>
      <c r="N873" t="s">
        <v>2060</v>
      </c>
      <c r="O873">
        <f t="shared" si="69"/>
        <v>3</v>
      </c>
      <c r="P873" s="12" t="e">
        <f>HYPERLINK(#REF!,"Link")</f>
        <v>#REF!</v>
      </c>
      <c r="Q873" s="12" t="e">
        <f>HYPERLINK(#REF!,"Link")</f>
        <v>#REF!</v>
      </c>
    </row>
    <row r="874" spans="1:17" x14ac:dyDescent="0.3">
      <c r="A874" t="s">
        <v>2061</v>
      </c>
      <c r="B874" t="s">
        <v>2062</v>
      </c>
      <c r="C874" s="10" t="s">
        <v>3738</v>
      </c>
      <c r="D874" s="10" t="s">
        <v>3805</v>
      </c>
      <c r="E874" s="14">
        <v>4700</v>
      </c>
      <c r="F874" s="3">
        <v>1999</v>
      </c>
      <c r="G874" s="3">
        <f t="shared" si="66"/>
        <v>9400</v>
      </c>
      <c r="H874" s="3">
        <f t="shared" si="65"/>
        <v>3998</v>
      </c>
      <c r="I874" s="14">
        <f t="shared" si="67"/>
        <v>5357.9999999999991</v>
      </c>
      <c r="J874" s="14">
        <f t="shared" si="68"/>
        <v>-5402</v>
      </c>
      <c r="K874" s="1">
        <v>0.56999999999999995</v>
      </c>
      <c r="L874">
        <v>3.8</v>
      </c>
      <c r="M874" s="2">
        <v>1880</v>
      </c>
      <c r="N874" t="s">
        <v>2063</v>
      </c>
      <c r="O874">
        <f t="shared" si="69"/>
        <v>2</v>
      </c>
      <c r="P874" s="12" t="e">
        <f>HYPERLINK(#REF!,"Link")</f>
        <v>#REF!</v>
      </c>
      <c r="Q874" s="12" t="e">
        <f>HYPERLINK(#REF!,"Link")</f>
        <v>#REF!</v>
      </c>
    </row>
    <row r="875" spans="1:17" x14ac:dyDescent="0.3">
      <c r="A875" t="s">
        <v>2064</v>
      </c>
      <c r="B875" t="s">
        <v>2065</v>
      </c>
      <c r="C875" s="9" t="s">
        <v>3729</v>
      </c>
      <c r="D875" s="9" t="s">
        <v>3786</v>
      </c>
      <c r="E875" s="14">
        <v>4332.96</v>
      </c>
      <c r="F875" s="3">
        <v>3999</v>
      </c>
      <c r="G875" s="3">
        <f t="shared" si="66"/>
        <v>12998.880000000001</v>
      </c>
      <c r="H875" s="3">
        <f t="shared" si="65"/>
        <v>11997</v>
      </c>
      <c r="I875" s="14">
        <f t="shared" si="67"/>
        <v>1039.9104</v>
      </c>
      <c r="J875" s="14">
        <f t="shared" si="68"/>
        <v>-1001.880000000001</v>
      </c>
      <c r="K875" s="1">
        <v>0.08</v>
      </c>
      <c r="L875">
        <v>3.5</v>
      </c>
      <c r="M875" s="2">
        <v>21762</v>
      </c>
      <c r="N875" t="s">
        <v>2066</v>
      </c>
      <c r="O875">
        <f t="shared" si="69"/>
        <v>3</v>
      </c>
      <c r="P875" s="12" t="e">
        <f>HYPERLINK(#REF!,"Link")</f>
        <v>#REF!</v>
      </c>
      <c r="Q875" s="12" t="e">
        <f>HYPERLINK(#REF!,"Link")</f>
        <v>#REF!</v>
      </c>
    </row>
    <row r="876" spans="1:17" x14ac:dyDescent="0.3">
      <c r="A876" t="s">
        <v>2067</v>
      </c>
      <c r="B876" t="s">
        <v>2068</v>
      </c>
      <c r="C876" s="10" t="s">
        <v>3729</v>
      </c>
      <c r="D876" s="10" t="s">
        <v>3806</v>
      </c>
      <c r="E876" s="14">
        <v>1800</v>
      </c>
      <c r="F876" s="3">
        <v>899</v>
      </c>
      <c r="G876" s="3">
        <f t="shared" si="66"/>
        <v>5400</v>
      </c>
      <c r="H876" s="3">
        <f t="shared" si="65"/>
        <v>2697</v>
      </c>
      <c r="I876" s="14">
        <f t="shared" si="67"/>
        <v>2700</v>
      </c>
      <c r="J876" s="14">
        <f t="shared" si="68"/>
        <v>-2703</v>
      </c>
      <c r="K876" s="1">
        <v>0.5</v>
      </c>
      <c r="L876">
        <v>4.0999999999999996</v>
      </c>
      <c r="M876" s="2">
        <v>22375</v>
      </c>
      <c r="N876" t="s">
        <v>2069</v>
      </c>
      <c r="O876">
        <f t="shared" si="69"/>
        <v>3</v>
      </c>
      <c r="P876" s="12" t="e">
        <f>HYPERLINK(#REF!,"Link")</f>
        <v>#REF!</v>
      </c>
      <c r="Q876" s="12" t="e">
        <f>HYPERLINK(#REF!,"Link")</f>
        <v>#REF!</v>
      </c>
    </row>
    <row r="877" spans="1:17" x14ac:dyDescent="0.3">
      <c r="A877" t="s">
        <v>2070</v>
      </c>
      <c r="B877" t="s">
        <v>2071</v>
      </c>
      <c r="C877" s="9"/>
      <c r="D877" s="9"/>
      <c r="E877" s="14">
        <v>990</v>
      </c>
      <c r="F877" s="3">
        <v>299</v>
      </c>
      <c r="G877" s="3">
        <f t="shared" si="66"/>
        <v>2970</v>
      </c>
      <c r="H877" s="3">
        <f t="shared" si="65"/>
        <v>897</v>
      </c>
      <c r="I877" s="14">
        <f t="shared" si="67"/>
        <v>2079</v>
      </c>
      <c r="J877" s="14">
        <f t="shared" si="68"/>
        <v>-2073</v>
      </c>
      <c r="K877" s="1">
        <v>0.7</v>
      </c>
      <c r="L877">
        <v>4.5</v>
      </c>
      <c r="M877" s="2">
        <v>2453</v>
      </c>
      <c r="N877" t="s">
        <v>2072</v>
      </c>
      <c r="O877">
        <f t="shared" si="69"/>
        <v>3</v>
      </c>
      <c r="P877" s="12" t="e">
        <f>HYPERLINK(#REF!,"Link")</f>
        <v>#REF!</v>
      </c>
      <c r="Q877" s="12" t="e">
        <f>HYPERLINK(#REF!,"Link")</f>
        <v>#REF!</v>
      </c>
    </row>
    <row r="878" spans="1:17" x14ac:dyDescent="0.3">
      <c r="A878" t="s">
        <v>2073</v>
      </c>
      <c r="B878" t="s">
        <v>2074</v>
      </c>
      <c r="C878" s="10" t="s">
        <v>3807</v>
      </c>
      <c r="D878" s="10" t="s">
        <v>3808</v>
      </c>
      <c r="E878" s="14">
        <v>4699</v>
      </c>
      <c r="F878" s="3">
        <v>3303</v>
      </c>
      <c r="G878" s="3">
        <f t="shared" si="66"/>
        <v>9398</v>
      </c>
      <c r="H878" s="3">
        <f t="shared" si="65"/>
        <v>6606</v>
      </c>
      <c r="I878" s="14">
        <f t="shared" si="67"/>
        <v>2819.4</v>
      </c>
      <c r="J878" s="14">
        <f t="shared" si="68"/>
        <v>-2792</v>
      </c>
      <c r="K878" s="1">
        <v>0.3</v>
      </c>
      <c r="L878">
        <v>4.4000000000000004</v>
      </c>
      <c r="M878" s="2">
        <v>13544</v>
      </c>
      <c r="N878" t="s">
        <v>2075</v>
      </c>
      <c r="O878">
        <f t="shared" si="69"/>
        <v>2</v>
      </c>
      <c r="P878" s="12" t="e">
        <f>HYPERLINK(#REF!,"Link")</f>
        <v>#REF!</v>
      </c>
      <c r="Q878" s="12" t="e">
        <f>HYPERLINK(#REF!,"Link")</f>
        <v>#REF!</v>
      </c>
    </row>
    <row r="879" spans="1:17" x14ac:dyDescent="0.3">
      <c r="A879" t="s">
        <v>2076</v>
      </c>
      <c r="B879" t="s">
        <v>2077</v>
      </c>
      <c r="C879" s="9" t="s">
        <v>3729</v>
      </c>
      <c r="D879" s="9" t="s">
        <v>3809</v>
      </c>
      <c r="E879" s="14">
        <v>5490</v>
      </c>
      <c r="F879" s="3">
        <v>1890</v>
      </c>
      <c r="G879" s="3">
        <f t="shared" si="66"/>
        <v>5490</v>
      </c>
      <c r="H879" s="3">
        <f t="shared" si="65"/>
        <v>1890</v>
      </c>
      <c r="I879" s="14">
        <f t="shared" si="67"/>
        <v>3623.4</v>
      </c>
      <c r="J879" s="14">
        <f t="shared" si="68"/>
        <v>-3600</v>
      </c>
      <c r="K879" s="1">
        <v>0.66</v>
      </c>
      <c r="L879">
        <v>4.0999999999999996</v>
      </c>
      <c r="M879" s="2">
        <v>10976</v>
      </c>
      <c r="N879" t="s">
        <v>2078</v>
      </c>
      <c r="O879">
        <f t="shared" si="69"/>
        <v>1</v>
      </c>
      <c r="P879" s="12" t="e">
        <f>HYPERLINK(#REF!,"Link")</f>
        <v>#REF!</v>
      </c>
      <c r="Q879" s="12" t="e">
        <f>HYPERLINK(#REF!,"Link")</f>
        <v>#REF!</v>
      </c>
    </row>
    <row r="880" spans="1:17" x14ac:dyDescent="0.3">
      <c r="A880" t="s">
        <v>2079</v>
      </c>
      <c r="B880" t="s">
        <v>2080</v>
      </c>
      <c r="C880" s="10" t="s">
        <v>3810</v>
      </c>
      <c r="D880" s="10" t="s">
        <v>3811</v>
      </c>
      <c r="E880" s="14">
        <v>100</v>
      </c>
      <c r="F880" s="3">
        <v>90</v>
      </c>
      <c r="G880" s="3">
        <f t="shared" si="66"/>
        <v>200</v>
      </c>
      <c r="H880" s="3">
        <f t="shared" si="65"/>
        <v>180</v>
      </c>
      <c r="I880" s="14">
        <f t="shared" si="67"/>
        <v>20</v>
      </c>
      <c r="J880" s="14">
        <f t="shared" si="68"/>
        <v>-20</v>
      </c>
      <c r="K880" s="1">
        <v>0.1</v>
      </c>
      <c r="L880">
        <v>4.3</v>
      </c>
      <c r="M880" s="2">
        <v>3061</v>
      </c>
      <c r="N880" t="s">
        <v>2081</v>
      </c>
      <c r="O880">
        <f t="shared" si="69"/>
        <v>2</v>
      </c>
      <c r="P880" s="12" t="e">
        <f>HYPERLINK(#REF!,"Link")</f>
        <v>#REF!</v>
      </c>
      <c r="Q880" s="12" t="e">
        <f>HYPERLINK(#REF!,"Link")</f>
        <v>#REF!</v>
      </c>
    </row>
    <row r="881" spans="1:17" x14ac:dyDescent="0.3">
      <c r="A881" t="s">
        <v>2082</v>
      </c>
      <c r="B881" t="s">
        <v>2083</v>
      </c>
      <c r="C881" s="9" t="s">
        <v>3812</v>
      </c>
      <c r="D881" s="9" t="s">
        <v>3764</v>
      </c>
      <c r="E881" s="14">
        <v>2790</v>
      </c>
      <c r="F881" s="3">
        <v>1599</v>
      </c>
      <c r="G881" s="3">
        <f t="shared" si="66"/>
        <v>5580</v>
      </c>
      <c r="H881" s="3">
        <f t="shared" si="65"/>
        <v>3198</v>
      </c>
      <c r="I881" s="14">
        <f t="shared" si="67"/>
        <v>2399.4</v>
      </c>
      <c r="J881" s="14">
        <f t="shared" si="68"/>
        <v>-2382</v>
      </c>
      <c r="K881" s="1">
        <v>0.43</v>
      </c>
      <c r="L881">
        <v>3.6</v>
      </c>
      <c r="M881" s="2">
        <v>2272</v>
      </c>
      <c r="N881" t="s">
        <v>2084</v>
      </c>
      <c r="O881">
        <f t="shared" si="69"/>
        <v>2</v>
      </c>
      <c r="P881" s="12" t="e">
        <f>HYPERLINK(#REF!,"Link")</f>
        <v>#REF!</v>
      </c>
      <c r="Q881" s="12" t="e">
        <f>HYPERLINK(#REF!,"Link")</f>
        <v>#REF!</v>
      </c>
    </row>
    <row r="882" spans="1:17" x14ac:dyDescent="0.3">
      <c r="A882" t="s">
        <v>2085</v>
      </c>
      <c r="B882" t="s">
        <v>2086</v>
      </c>
      <c r="C882" s="10" t="s">
        <v>3793</v>
      </c>
      <c r="D882" s="10" t="s">
        <v>3813</v>
      </c>
      <c r="E882" s="14">
        <v>999</v>
      </c>
      <c r="F882" s="3">
        <v>599</v>
      </c>
      <c r="G882" s="3">
        <f t="shared" si="66"/>
        <v>3996</v>
      </c>
      <c r="H882" s="3">
        <f t="shared" si="65"/>
        <v>2396</v>
      </c>
      <c r="I882" s="14">
        <f t="shared" si="67"/>
        <v>1598.4</v>
      </c>
      <c r="J882" s="14">
        <f t="shared" si="68"/>
        <v>-1600</v>
      </c>
      <c r="K882" s="1">
        <v>0.4</v>
      </c>
      <c r="L882">
        <v>4</v>
      </c>
      <c r="M882" s="2">
        <v>7601</v>
      </c>
      <c r="N882" t="s">
        <v>2087</v>
      </c>
      <c r="O882">
        <f t="shared" si="69"/>
        <v>4</v>
      </c>
      <c r="P882" s="12" t="e">
        <f>HYPERLINK(#REF!,"Link")</f>
        <v>#REF!</v>
      </c>
      <c r="Q882" s="12" t="e">
        <f>HYPERLINK(#REF!,"Link")</f>
        <v>#REF!</v>
      </c>
    </row>
    <row r="883" spans="1:17" x14ac:dyDescent="0.3">
      <c r="A883" t="s">
        <v>138</v>
      </c>
      <c r="B883" t="s">
        <v>139</v>
      </c>
      <c r="C883" s="9" t="s">
        <v>3787</v>
      </c>
      <c r="D883" s="9" t="s">
        <v>3814</v>
      </c>
      <c r="E883" s="14">
        <v>1208</v>
      </c>
      <c r="F883" s="3">
        <v>507</v>
      </c>
      <c r="G883" s="3">
        <f t="shared" si="66"/>
        <v>4832</v>
      </c>
      <c r="H883" s="3">
        <f t="shared" si="65"/>
        <v>2028</v>
      </c>
      <c r="I883" s="14">
        <f t="shared" si="67"/>
        <v>2802.56</v>
      </c>
      <c r="J883" s="14">
        <f t="shared" si="68"/>
        <v>-2804</v>
      </c>
      <c r="K883" s="1">
        <v>0.57999999999999996</v>
      </c>
      <c r="L883">
        <v>4.0999999999999996</v>
      </c>
      <c r="M883" s="2">
        <v>8131</v>
      </c>
      <c r="N883" t="s">
        <v>140</v>
      </c>
      <c r="O883">
        <f t="shared" si="69"/>
        <v>4</v>
      </c>
      <c r="P883" s="12" t="e">
        <f>HYPERLINK(#REF!,"Link")</f>
        <v>#REF!</v>
      </c>
      <c r="Q883" s="12" t="e">
        <f>HYPERLINK(#REF!,"Link")</f>
        <v>#REF!</v>
      </c>
    </row>
    <row r="884" spans="1:17" x14ac:dyDescent="0.3">
      <c r="A884" t="s">
        <v>2088</v>
      </c>
      <c r="B884" t="s">
        <v>2089</v>
      </c>
      <c r="C884" s="10" t="s">
        <v>3815</v>
      </c>
      <c r="D884" s="10"/>
      <c r="E884" s="14">
        <v>899</v>
      </c>
      <c r="F884" s="3">
        <v>425</v>
      </c>
      <c r="G884" s="3">
        <f t="shared" si="66"/>
        <v>3596</v>
      </c>
      <c r="H884" s="3">
        <f t="shared" si="65"/>
        <v>1700</v>
      </c>
      <c r="I884" s="14">
        <f t="shared" si="67"/>
        <v>1905.88</v>
      </c>
      <c r="J884" s="14">
        <f t="shared" si="68"/>
        <v>-1896</v>
      </c>
      <c r="K884" s="1">
        <v>0.53</v>
      </c>
      <c r="L884">
        <v>4.5</v>
      </c>
      <c r="M884" s="2">
        <v>4219</v>
      </c>
      <c r="N884" t="s">
        <v>2090</v>
      </c>
      <c r="O884">
        <f t="shared" si="69"/>
        <v>4</v>
      </c>
      <c r="P884" s="12" t="e">
        <f>HYPERLINK(#REF!,"Link")</f>
        <v>#REF!</v>
      </c>
      <c r="Q884" s="12" t="e">
        <f>HYPERLINK(#REF!,"Link")</f>
        <v>#REF!</v>
      </c>
    </row>
    <row r="885" spans="1:17" x14ac:dyDescent="0.3">
      <c r="A885" t="s">
        <v>2091</v>
      </c>
      <c r="B885" t="s">
        <v>1758</v>
      </c>
      <c r="C885" s="9" t="s">
        <v>3816</v>
      </c>
      <c r="D885" s="9" t="s">
        <v>3817</v>
      </c>
      <c r="E885" s="14">
        <v>3999</v>
      </c>
      <c r="F885" s="3">
        <v>1499</v>
      </c>
      <c r="G885" s="3">
        <f t="shared" si="66"/>
        <v>15996</v>
      </c>
      <c r="H885" s="3">
        <f t="shared" si="65"/>
        <v>5996</v>
      </c>
      <c r="I885" s="14">
        <f t="shared" si="67"/>
        <v>10077.48</v>
      </c>
      <c r="J885" s="14">
        <f t="shared" si="68"/>
        <v>-10000</v>
      </c>
      <c r="K885" s="1">
        <v>0.63</v>
      </c>
      <c r="L885">
        <v>4.2</v>
      </c>
      <c r="M885" s="2">
        <v>42775</v>
      </c>
      <c r="N885" t="s">
        <v>2092</v>
      </c>
      <c r="O885">
        <f t="shared" si="69"/>
        <v>4</v>
      </c>
      <c r="P885" s="12" t="e">
        <f>HYPERLINK(#REF!,"Link")</f>
        <v>#REF!</v>
      </c>
      <c r="Q885" s="12" t="e">
        <f>HYPERLINK(#REF!,"Link")</f>
        <v>#REF!</v>
      </c>
    </row>
    <row r="886" spans="1:17" x14ac:dyDescent="0.3">
      <c r="A886" t="s">
        <v>2093</v>
      </c>
      <c r="B886" t="s">
        <v>2094</v>
      </c>
      <c r="C886" s="10" t="s">
        <v>3744</v>
      </c>
      <c r="D886" s="10" t="s">
        <v>3818</v>
      </c>
      <c r="E886" s="14">
        <v>2499</v>
      </c>
      <c r="F886" s="3">
        <v>549</v>
      </c>
      <c r="G886" s="3">
        <f t="shared" si="66"/>
        <v>12495</v>
      </c>
      <c r="H886" s="3">
        <f t="shared" si="65"/>
        <v>2745</v>
      </c>
      <c r="I886" s="14">
        <f t="shared" si="67"/>
        <v>9746.1</v>
      </c>
      <c r="J886" s="14">
        <f t="shared" si="68"/>
        <v>-9750</v>
      </c>
      <c r="K886" s="1">
        <v>0.78</v>
      </c>
      <c r="L886">
        <v>4.3</v>
      </c>
      <c r="M886" s="2">
        <v>5556</v>
      </c>
      <c r="N886" t="s">
        <v>2095</v>
      </c>
      <c r="O886">
        <f t="shared" si="69"/>
        <v>5</v>
      </c>
      <c r="P886" s="12" t="e">
        <f>HYPERLINK(#REF!,"Link")</f>
        <v>#REF!</v>
      </c>
      <c r="Q886" s="12" t="e">
        <f>HYPERLINK(#REF!,"Link")</f>
        <v>#REF!</v>
      </c>
    </row>
    <row r="887" spans="1:17" x14ac:dyDescent="0.3">
      <c r="A887" t="s">
        <v>146</v>
      </c>
      <c r="B887" t="s">
        <v>147</v>
      </c>
      <c r="C887" s="9" t="s">
        <v>3768</v>
      </c>
      <c r="D887" s="9" t="s">
        <v>3819</v>
      </c>
      <c r="E887" s="14">
        <v>395</v>
      </c>
      <c r="F887" s="3">
        <v>199</v>
      </c>
      <c r="G887" s="3">
        <f t="shared" si="66"/>
        <v>1975</v>
      </c>
      <c r="H887" s="3">
        <f t="shared" si="65"/>
        <v>995</v>
      </c>
      <c r="I887" s="14">
        <f t="shared" si="67"/>
        <v>987.5</v>
      </c>
      <c r="J887" s="14">
        <f t="shared" si="68"/>
        <v>-980</v>
      </c>
      <c r="K887" s="1">
        <v>0.5</v>
      </c>
      <c r="L887">
        <v>4.2</v>
      </c>
      <c r="M887" s="2">
        <v>92595</v>
      </c>
      <c r="N887" t="s">
        <v>148</v>
      </c>
      <c r="O887">
        <f t="shared" si="69"/>
        <v>5</v>
      </c>
      <c r="P887" s="12" t="e">
        <f>HYPERLINK(#REF!,"Link")</f>
        <v>#REF!</v>
      </c>
      <c r="Q887" s="12" t="e">
        <f>HYPERLINK(#REF!,"Link")</f>
        <v>#REF!</v>
      </c>
    </row>
    <row r="888" spans="1:17" x14ac:dyDescent="0.3">
      <c r="A888" t="s">
        <v>2096</v>
      </c>
      <c r="B888" t="s">
        <v>2097</v>
      </c>
      <c r="C888" s="10" t="s">
        <v>3820</v>
      </c>
      <c r="D888" s="10"/>
      <c r="E888" s="14">
        <v>1645</v>
      </c>
      <c r="F888" s="3">
        <v>1295</v>
      </c>
      <c r="G888" s="3">
        <f t="shared" si="66"/>
        <v>3290</v>
      </c>
      <c r="H888" s="3">
        <f t="shared" si="65"/>
        <v>2590</v>
      </c>
      <c r="I888" s="14">
        <f t="shared" si="67"/>
        <v>690.9</v>
      </c>
      <c r="J888" s="14">
        <f t="shared" si="68"/>
        <v>-700</v>
      </c>
      <c r="K888" s="1">
        <v>0.21</v>
      </c>
      <c r="L888">
        <v>4.5999999999999996</v>
      </c>
      <c r="M888" s="2">
        <v>12375</v>
      </c>
      <c r="N888" t="s">
        <v>2098</v>
      </c>
      <c r="O888">
        <f t="shared" si="69"/>
        <v>2</v>
      </c>
      <c r="P888" s="12" t="e">
        <f>HYPERLINK(#REF!,"Link")</f>
        <v>#REF!</v>
      </c>
      <c r="Q888" s="12" t="e">
        <f>HYPERLINK(#REF!,"Link")</f>
        <v>#REF!</v>
      </c>
    </row>
    <row r="889" spans="1:17" x14ac:dyDescent="0.3">
      <c r="A889" t="s">
        <v>2099</v>
      </c>
      <c r="B889" t="s">
        <v>2100</v>
      </c>
      <c r="C889" s="9" t="s">
        <v>3725</v>
      </c>
      <c r="D889" s="9" t="s">
        <v>3726</v>
      </c>
      <c r="E889" s="14">
        <v>310</v>
      </c>
      <c r="F889" s="3">
        <v>310</v>
      </c>
      <c r="G889" s="3">
        <f t="shared" si="66"/>
        <v>620</v>
      </c>
      <c r="H889" s="3">
        <f t="shared" si="65"/>
        <v>620</v>
      </c>
      <c r="I889" s="14">
        <f t="shared" si="67"/>
        <v>0</v>
      </c>
      <c r="J889" s="14">
        <f t="shared" si="68"/>
        <v>0</v>
      </c>
      <c r="K889" s="1">
        <v>0</v>
      </c>
      <c r="L889">
        <v>4.5</v>
      </c>
      <c r="M889" s="2">
        <v>5882</v>
      </c>
      <c r="N889" t="s">
        <v>2101</v>
      </c>
      <c r="O889">
        <f t="shared" si="69"/>
        <v>2</v>
      </c>
      <c r="P889" s="12" t="e">
        <f>HYPERLINK(#REF!,"Link")</f>
        <v>#REF!</v>
      </c>
      <c r="Q889" s="12" t="e">
        <f>HYPERLINK(#REF!,"Link")</f>
        <v>#REF!</v>
      </c>
    </row>
    <row r="890" spans="1:17" x14ac:dyDescent="0.3">
      <c r="A890" t="s">
        <v>1285</v>
      </c>
      <c r="B890" t="s">
        <v>1286</v>
      </c>
      <c r="C890" s="10" t="s">
        <v>3821</v>
      </c>
      <c r="D890" s="10"/>
      <c r="E890" s="14">
        <v>149</v>
      </c>
      <c r="F890" s="3">
        <v>149</v>
      </c>
      <c r="G890" s="3">
        <f t="shared" si="66"/>
        <v>298</v>
      </c>
      <c r="H890" s="3">
        <f t="shared" si="65"/>
        <v>298</v>
      </c>
      <c r="I890" s="14">
        <f t="shared" si="67"/>
        <v>0</v>
      </c>
      <c r="J890" s="14">
        <f t="shared" si="68"/>
        <v>0</v>
      </c>
      <c r="K890" s="1">
        <v>0</v>
      </c>
      <c r="L890">
        <v>4.3</v>
      </c>
      <c r="M890" s="2">
        <v>10833</v>
      </c>
      <c r="N890" t="s">
        <v>1287</v>
      </c>
      <c r="O890">
        <f t="shared" si="69"/>
        <v>2</v>
      </c>
      <c r="P890" s="12" t="e">
        <f>HYPERLINK(#REF!,"Link")</f>
        <v>#REF!</v>
      </c>
      <c r="Q890" s="12" t="e">
        <f>HYPERLINK(#REF!,"Link")</f>
        <v>#REF!</v>
      </c>
    </row>
    <row r="891" spans="1:17" x14ac:dyDescent="0.3">
      <c r="A891" t="s">
        <v>2102</v>
      </c>
      <c r="B891" t="s">
        <v>2103</v>
      </c>
      <c r="C891" s="9" t="s">
        <v>3822</v>
      </c>
      <c r="D891" s="9"/>
      <c r="E891" s="14">
        <v>1499</v>
      </c>
      <c r="F891" s="3">
        <v>1149</v>
      </c>
      <c r="G891" s="3">
        <f t="shared" si="66"/>
        <v>7495</v>
      </c>
      <c r="H891" s="3">
        <f t="shared" si="65"/>
        <v>5745</v>
      </c>
      <c r="I891" s="14">
        <f t="shared" si="67"/>
        <v>1723.8500000000001</v>
      </c>
      <c r="J891" s="14">
        <f t="shared" si="68"/>
        <v>-1750</v>
      </c>
      <c r="K891" s="1">
        <v>0.23</v>
      </c>
      <c r="L891">
        <v>4.0999999999999996</v>
      </c>
      <c r="M891" s="2">
        <v>10443</v>
      </c>
      <c r="N891" t="s">
        <v>2104</v>
      </c>
      <c r="O891">
        <f t="shared" si="69"/>
        <v>5</v>
      </c>
      <c r="P891" s="12" t="e">
        <f>HYPERLINK(#REF!,"Link")</f>
        <v>#REF!</v>
      </c>
      <c r="Q891" s="12" t="e">
        <f>HYPERLINK(#REF!,"Link")</f>
        <v>#REF!</v>
      </c>
    </row>
    <row r="892" spans="1:17" x14ac:dyDescent="0.3">
      <c r="A892" t="s">
        <v>2105</v>
      </c>
      <c r="B892" t="s">
        <v>2106</v>
      </c>
      <c r="C892" s="10" t="s">
        <v>3823</v>
      </c>
      <c r="D892" s="10"/>
      <c r="E892" s="14">
        <v>1299</v>
      </c>
      <c r="F892" s="3">
        <v>499</v>
      </c>
      <c r="G892" s="3">
        <f t="shared" si="66"/>
        <v>5196</v>
      </c>
      <c r="H892" s="3">
        <f t="shared" si="65"/>
        <v>1996</v>
      </c>
      <c r="I892" s="14">
        <f t="shared" si="67"/>
        <v>3221.52</v>
      </c>
      <c r="J892" s="14">
        <f t="shared" si="68"/>
        <v>-3200</v>
      </c>
      <c r="K892" s="1">
        <v>0.62</v>
      </c>
      <c r="L892">
        <v>4.5</v>
      </c>
      <c r="M892">
        <v>434</v>
      </c>
      <c r="N892" t="s">
        <v>2107</v>
      </c>
      <c r="O892">
        <f t="shared" si="69"/>
        <v>4</v>
      </c>
      <c r="P892" s="12" t="e">
        <f>HYPERLINK(#REF!,"Link")</f>
        <v>#REF!</v>
      </c>
      <c r="Q892" s="12" t="e">
        <f>HYPERLINK(#REF!,"Link")</f>
        <v>#REF!</v>
      </c>
    </row>
    <row r="893" spans="1:17" x14ac:dyDescent="0.3">
      <c r="A893" t="s">
        <v>2108</v>
      </c>
      <c r="B893" t="s">
        <v>2109</v>
      </c>
      <c r="C893" s="9" t="s">
        <v>3752</v>
      </c>
      <c r="D893" s="9" t="s">
        <v>3824</v>
      </c>
      <c r="E893" s="14">
        <v>4199</v>
      </c>
      <c r="F893" s="3">
        <v>999</v>
      </c>
      <c r="G893" s="3">
        <f t="shared" si="66"/>
        <v>12597</v>
      </c>
      <c r="H893" s="3">
        <f t="shared" si="65"/>
        <v>2997</v>
      </c>
      <c r="I893" s="14">
        <f t="shared" si="67"/>
        <v>9573.7200000000012</v>
      </c>
      <c r="J893" s="14">
        <f t="shared" si="68"/>
        <v>-9600</v>
      </c>
      <c r="K893" s="1">
        <v>0.76</v>
      </c>
      <c r="L893">
        <v>3.5</v>
      </c>
      <c r="M893" s="2">
        <v>1913</v>
      </c>
      <c r="N893" t="s">
        <v>2110</v>
      </c>
      <c r="O893">
        <f t="shared" si="69"/>
        <v>3</v>
      </c>
      <c r="P893" s="12" t="e">
        <f>HYPERLINK(#REF!,"Link")</f>
        <v>#REF!</v>
      </c>
      <c r="Q893" s="12" t="e">
        <f>HYPERLINK(#REF!,"Link")</f>
        <v>#REF!</v>
      </c>
    </row>
    <row r="894" spans="1:17" x14ac:dyDescent="0.3">
      <c r="A894" t="s">
        <v>2111</v>
      </c>
      <c r="B894" t="s">
        <v>2112</v>
      </c>
      <c r="C894" s="10" t="s">
        <v>3748</v>
      </c>
      <c r="D894" s="10" t="s">
        <v>3759</v>
      </c>
      <c r="E894" s="14">
        <v>4000</v>
      </c>
      <c r="F894" s="3">
        <v>1709</v>
      </c>
      <c r="G894" s="3">
        <f t="shared" si="66"/>
        <v>8000</v>
      </c>
      <c r="H894" s="3">
        <f t="shared" si="65"/>
        <v>3418</v>
      </c>
      <c r="I894" s="14">
        <f t="shared" si="67"/>
        <v>4560</v>
      </c>
      <c r="J894" s="14">
        <f t="shared" si="68"/>
        <v>-4582</v>
      </c>
      <c r="K894" s="1">
        <v>0.56999999999999995</v>
      </c>
      <c r="L894">
        <v>4.4000000000000004</v>
      </c>
      <c r="M894" s="2">
        <v>3029</v>
      </c>
      <c r="N894" t="s">
        <v>2113</v>
      </c>
      <c r="O894">
        <f t="shared" si="69"/>
        <v>2</v>
      </c>
      <c r="P894" s="12" t="e">
        <f>HYPERLINK(#REF!,"Link")</f>
        <v>#REF!</v>
      </c>
      <c r="Q894" s="12" t="e">
        <f>HYPERLINK(#REF!,"Link")</f>
        <v>#REF!</v>
      </c>
    </row>
    <row r="895" spans="1:17" x14ac:dyDescent="0.3">
      <c r="A895" t="s">
        <v>2114</v>
      </c>
      <c r="B895" t="s">
        <v>2115</v>
      </c>
      <c r="C895" s="9" t="s">
        <v>3816</v>
      </c>
      <c r="D895" s="9" t="s">
        <v>3825</v>
      </c>
      <c r="E895" s="14">
        <v>250</v>
      </c>
      <c r="F895" s="3">
        <v>250</v>
      </c>
      <c r="G895" s="3">
        <f t="shared" si="66"/>
        <v>750</v>
      </c>
      <c r="H895" s="3">
        <f t="shared" si="65"/>
        <v>750</v>
      </c>
      <c r="I895" s="14">
        <f t="shared" si="67"/>
        <v>0</v>
      </c>
      <c r="J895" s="14">
        <f t="shared" si="68"/>
        <v>0</v>
      </c>
      <c r="K895" s="1">
        <v>0</v>
      </c>
      <c r="L895">
        <v>4.2</v>
      </c>
      <c r="M895" s="2">
        <v>2628</v>
      </c>
      <c r="N895" t="s">
        <v>2116</v>
      </c>
      <c r="O895">
        <f t="shared" si="69"/>
        <v>3</v>
      </c>
      <c r="P895" s="12" t="e">
        <f>HYPERLINK(#REF!,"Link")</f>
        <v>#REF!</v>
      </c>
      <c r="Q895" s="12" t="e">
        <f>HYPERLINK(#REF!,"Link")</f>
        <v>#REF!</v>
      </c>
    </row>
    <row r="896" spans="1:17" x14ac:dyDescent="0.3">
      <c r="A896" t="s">
        <v>149</v>
      </c>
      <c r="B896" t="s">
        <v>150</v>
      </c>
      <c r="C896" s="10" t="s">
        <v>3768</v>
      </c>
      <c r="D896" s="10" t="s">
        <v>3826</v>
      </c>
      <c r="E896" s="14">
        <v>2199</v>
      </c>
      <c r="F896" s="3">
        <v>1199</v>
      </c>
      <c r="G896" s="3">
        <f t="shared" si="66"/>
        <v>6597</v>
      </c>
      <c r="H896" s="3">
        <f t="shared" si="65"/>
        <v>3597</v>
      </c>
      <c r="I896" s="14">
        <f t="shared" si="67"/>
        <v>2968.65</v>
      </c>
      <c r="J896" s="14">
        <f t="shared" si="68"/>
        <v>-3000</v>
      </c>
      <c r="K896" s="1">
        <v>0.45</v>
      </c>
      <c r="L896">
        <v>4.4000000000000004</v>
      </c>
      <c r="M896" s="2">
        <v>24780</v>
      </c>
      <c r="N896" t="s">
        <v>151</v>
      </c>
      <c r="O896">
        <f t="shared" si="69"/>
        <v>3</v>
      </c>
      <c r="P896" s="12" t="e">
        <f>HYPERLINK(#REF!,"Link")</f>
        <v>#REF!</v>
      </c>
      <c r="Q896" s="12" t="e">
        <f>HYPERLINK(#REF!,"Link")</f>
        <v>#REF!</v>
      </c>
    </row>
    <row r="897" spans="1:17" x14ac:dyDescent="0.3">
      <c r="A897" t="s">
        <v>2117</v>
      </c>
      <c r="B897" t="s">
        <v>2118</v>
      </c>
      <c r="C897" s="9" t="s">
        <v>3768</v>
      </c>
      <c r="D897" s="9"/>
      <c r="E897" s="14">
        <v>100</v>
      </c>
      <c r="F897" s="3">
        <v>90</v>
      </c>
      <c r="G897" s="3">
        <f t="shared" si="66"/>
        <v>300</v>
      </c>
      <c r="H897" s="3">
        <f t="shared" si="65"/>
        <v>270</v>
      </c>
      <c r="I897" s="14">
        <f t="shared" si="67"/>
        <v>30</v>
      </c>
      <c r="J897" s="14">
        <f t="shared" si="68"/>
        <v>-30</v>
      </c>
      <c r="K897" s="1">
        <v>0.1</v>
      </c>
      <c r="L897">
        <v>4.4000000000000004</v>
      </c>
      <c r="M897" s="2">
        <v>10718</v>
      </c>
      <c r="N897" t="s">
        <v>2119</v>
      </c>
      <c r="O897">
        <f t="shared" si="69"/>
        <v>3</v>
      </c>
      <c r="P897" s="12" t="e">
        <f>HYPERLINK(#REF!,"Link")</f>
        <v>#REF!</v>
      </c>
      <c r="Q897" s="12" t="e">
        <f>HYPERLINK(#REF!,"Link")</f>
        <v>#REF!</v>
      </c>
    </row>
    <row r="898" spans="1:17" x14ac:dyDescent="0.3">
      <c r="A898" t="s">
        <v>2120</v>
      </c>
      <c r="B898" t="s">
        <v>2121</v>
      </c>
      <c r="C898" s="10" t="s">
        <v>3812</v>
      </c>
      <c r="D898" s="10" t="s">
        <v>3760</v>
      </c>
      <c r="E898" s="14">
        <v>5999</v>
      </c>
      <c r="F898" s="3">
        <v>2025</v>
      </c>
      <c r="G898" s="3">
        <f t="shared" si="66"/>
        <v>29995</v>
      </c>
      <c r="H898" s="3">
        <f t="shared" ref="H898:H961" si="70">F898*O898</f>
        <v>10125</v>
      </c>
      <c r="I898" s="14">
        <f t="shared" si="67"/>
        <v>19796.7</v>
      </c>
      <c r="J898" s="14">
        <f t="shared" si="68"/>
        <v>-19870</v>
      </c>
      <c r="K898" s="1">
        <v>0.66</v>
      </c>
      <c r="L898">
        <v>4.2</v>
      </c>
      <c r="M898" s="2">
        <v>6233</v>
      </c>
      <c r="N898" t="s">
        <v>2122</v>
      </c>
      <c r="O898">
        <f t="shared" si="69"/>
        <v>5</v>
      </c>
      <c r="P898" s="12" t="e">
        <f>HYPERLINK(#REF!,"Link")</f>
        <v>#REF!</v>
      </c>
      <c r="Q898" s="12" t="e">
        <f>HYPERLINK(#REF!,"Link")</f>
        <v>#REF!</v>
      </c>
    </row>
    <row r="899" spans="1:17" x14ac:dyDescent="0.3">
      <c r="A899" t="s">
        <v>2123</v>
      </c>
      <c r="B899" t="s">
        <v>2124</v>
      </c>
      <c r="C899" s="9" t="s">
        <v>3827</v>
      </c>
      <c r="D899" s="9"/>
      <c r="E899" s="14">
        <v>1995</v>
      </c>
      <c r="F899" s="3">
        <v>1495</v>
      </c>
      <c r="G899" s="3">
        <f t="shared" ref="G899:G962" si="71">E899*O899</f>
        <v>9975</v>
      </c>
      <c r="H899" s="3">
        <f t="shared" si="70"/>
        <v>7475</v>
      </c>
      <c r="I899" s="14">
        <f t="shared" ref="I899:I962" si="72">(E899*K899)*O899</f>
        <v>2493.75</v>
      </c>
      <c r="J899" s="14">
        <f t="shared" ref="J899:J962" si="73">H899-G899</f>
        <v>-2500</v>
      </c>
      <c r="K899" s="1">
        <v>0.25</v>
      </c>
      <c r="L899">
        <v>4.5</v>
      </c>
      <c r="M899" s="2">
        <v>10541</v>
      </c>
      <c r="N899" t="s">
        <v>2125</v>
      </c>
      <c r="O899">
        <f t="shared" ref="O899:O962" si="74">LEN(N899)-LEN(SUBSTITUTE(N899,",",""))+1</f>
        <v>5</v>
      </c>
      <c r="P899" s="12" t="e">
        <f>HYPERLINK(#REF!,"Link")</f>
        <v>#REF!</v>
      </c>
      <c r="Q899" s="12" t="e">
        <f>HYPERLINK(#REF!,"Link")</f>
        <v>#REF!</v>
      </c>
    </row>
    <row r="900" spans="1:17" x14ac:dyDescent="0.3">
      <c r="A900" t="s">
        <v>154</v>
      </c>
      <c r="B900" t="s">
        <v>155</v>
      </c>
      <c r="C900" s="10" t="s">
        <v>3779</v>
      </c>
      <c r="D900" s="10" t="s">
        <v>3828</v>
      </c>
      <c r="E900" s="14">
        <v>2100</v>
      </c>
      <c r="F900" s="3">
        <v>799</v>
      </c>
      <c r="G900" s="3">
        <f t="shared" si="71"/>
        <v>6300</v>
      </c>
      <c r="H900" s="3">
        <f t="shared" si="70"/>
        <v>2397</v>
      </c>
      <c r="I900" s="14">
        <f t="shared" si="72"/>
        <v>3906</v>
      </c>
      <c r="J900" s="14">
        <f t="shared" si="73"/>
        <v>-3903</v>
      </c>
      <c r="K900" s="1">
        <v>0.62</v>
      </c>
      <c r="L900">
        <v>4.3</v>
      </c>
      <c r="M900" s="2">
        <v>8188</v>
      </c>
      <c r="N900" t="s">
        <v>156</v>
      </c>
      <c r="O900">
        <f t="shared" si="74"/>
        <v>3</v>
      </c>
      <c r="P900" s="12" t="e">
        <f>HYPERLINK(#REF!,"Link")</f>
        <v>#REF!</v>
      </c>
      <c r="Q900" s="12" t="e">
        <f>HYPERLINK(#REF!,"Link")</f>
        <v>#REF!</v>
      </c>
    </row>
    <row r="901" spans="1:17" x14ac:dyDescent="0.3">
      <c r="A901" t="s">
        <v>2126</v>
      </c>
      <c r="B901" t="s">
        <v>2127</v>
      </c>
      <c r="C901" s="9" t="s">
        <v>3829</v>
      </c>
      <c r="D901" s="9"/>
      <c r="E901" s="14">
        <v>1199</v>
      </c>
      <c r="F901" s="3">
        <v>899</v>
      </c>
      <c r="G901" s="3">
        <f t="shared" si="71"/>
        <v>2398</v>
      </c>
      <c r="H901" s="3">
        <f t="shared" si="70"/>
        <v>1798</v>
      </c>
      <c r="I901" s="14">
        <f t="shared" si="72"/>
        <v>599.5</v>
      </c>
      <c r="J901" s="14">
        <f t="shared" si="73"/>
        <v>-600</v>
      </c>
      <c r="K901" s="1">
        <v>0.25</v>
      </c>
      <c r="L901">
        <v>3.8</v>
      </c>
      <c r="M901" s="2">
        <v>10751</v>
      </c>
      <c r="N901" t="s">
        <v>2128</v>
      </c>
      <c r="O901">
        <f t="shared" si="74"/>
        <v>2</v>
      </c>
      <c r="P901" s="12" t="e">
        <f>HYPERLINK(#REF!,"Link")</f>
        <v>#REF!</v>
      </c>
      <c r="Q901" s="12" t="e">
        <f>HYPERLINK(#REF!,"Link")</f>
        <v>#REF!</v>
      </c>
    </row>
    <row r="902" spans="1:17" x14ac:dyDescent="0.3">
      <c r="A902" t="s">
        <v>2129</v>
      </c>
      <c r="B902" t="s">
        <v>2130</v>
      </c>
      <c r="C902" s="10" t="s">
        <v>3744</v>
      </c>
      <c r="D902" s="10" t="s">
        <v>3830</v>
      </c>
      <c r="E902" s="14">
        <v>999</v>
      </c>
      <c r="F902" s="3">
        <v>349</v>
      </c>
      <c r="G902" s="3">
        <f t="shared" si="71"/>
        <v>999</v>
      </c>
      <c r="H902" s="3">
        <f t="shared" si="70"/>
        <v>349</v>
      </c>
      <c r="I902" s="14">
        <f t="shared" si="72"/>
        <v>649.35</v>
      </c>
      <c r="J902" s="14">
        <f t="shared" si="73"/>
        <v>-650</v>
      </c>
      <c r="K902" s="1">
        <v>0.65</v>
      </c>
      <c r="L902">
        <v>3.9</v>
      </c>
      <c r="M902">
        <v>817</v>
      </c>
      <c r="N902" t="s">
        <v>2131</v>
      </c>
      <c r="O902">
        <f t="shared" si="74"/>
        <v>1</v>
      </c>
      <c r="P902" s="12" t="e">
        <f>HYPERLINK(#REF!,"Link")</f>
        <v>#REF!</v>
      </c>
      <c r="Q902" s="12" t="e">
        <f>HYPERLINK(#REF!,"Link")</f>
        <v>#REF!</v>
      </c>
    </row>
    <row r="903" spans="1:17" x14ac:dyDescent="0.3">
      <c r="A903" t="s">
        <v>2132</v>
      </c>
      <c r="B903" t="s">
        <v>2133</v>
      </c>
      <c r="C903" s="9" t="s">
        <v>3831</v>
      </c>
      <c r="D903" s="9"/>
      <c r="E903" s="14">
        <v>2499</v>
      </c>
      <c r="F903" s="3">
        <v>900</v>
      </c>
      <c r="G903" s="3">
        <f t="shared" si="71"/>
        <v>4998</v>
      </c>
      <c r="H903" s="3">
        <f t="shared" si="70"/>
        <v>1800</v>
      </c>
      <c r="I903" s="14">
        <f t="shared" si="72"/>
        <v>3198.7200000000003</v>
      </c>
      <c r="J903" s="14">
        <f t="shared" si="73"/>
        <v>-3198</v>
      </c>
      <c r="K903" s="1">
        <v>0.64</v>
      </c>
      <c r="L903">
        <v>4</v>
      </c>
      <c r="M903" s="2">
        <v>36384</v>
      </c>
      <c r="N903" t="s">
        <v>1320</v>
      </c>
      <c r="O903">
        <f t="shared" si="74"/>
        <v>2</v>
      </c>
      <c r="P903" s="12" t="e">
        <f>HYPERLINK(#REF!,"Link")</f>
        <v>#REF!</v>
      </c>
      <c r="Q903" s="12" t="e">
        <f>HYPERLINK(#REF!,"Link")</f>
        <v>#REF!</v>
      </c>
    </row>
    <row r="904" spans="1:17" x14ac:dyDescent="0.3">
      <c r="A904" t="s">
        <v>2134</v>
      </c>
      <c r="B904" t="s">
        <v>2135</v>
      </c>
      <c r="C904" s="10" t="s">
        <v>3768</v>
      </c>
      <c r="D904" s="10" t="s">
        <v>3832</v>
      </c>
      <c r="E904" s="14">
        <v>3990</v>
      </c>
      <c r="F904" s="3">
        <v>2490</v>
      </c>
      <c r="G904" s="3">
        <f t="shared" si="71"/>
        <v>7980</v>
      </c>
      <c r="H904" s="3">
        <f t="shared" si="70"/>
        <v>4980</v>
      </c>
      <c r="I904" s="14">
        <f t="shared" si="72"/>
        <v>3032.4</v>
      </c>
      <c r="J904" s="14">
        <f t="shared" si="73"/>
        <v>-3000</v>
      </c>
      <c r="K904" s="1">
        <v>0.38</v>
      </c>
      <c r="L904">
        <v>4.0999999999999996</v>
      </c>
      <c r="M904" s="2">
        <v>3606</v>
      </c>
      <c r="N904" t="s">
        <v>2136</v>
      </c>
      <c r="O904">
        <f t="shared" si="74"/>
        <v>2</v>
      </c>
      <c r="P904" s="12" t="e">
        <f>HYPERLINK(#REF!,"Link")</f>
        <v>#REF!</v>
      </c>
      <c r="Q904" s="12" t="e">
        <f>HYPERLINK(#REF!,"Link")</f>
        <v>#REF!</v>
      </c>
    </row>
    <row r="905" spans="1:17" x14ac:dyDescent="0.3">
      <c r="A905" t="s">
        <v>2137</v>
      </c>
      <c r="B905" t="s">
        <v>2138</v>
      </c>
      <c r="C905" s="9" t="s">
        <v>3816</v>
      </c>
      <c r="D905" s="9" t="s">
        <v>3833</v>
      </c>
      <c r="E905" s="14">
        <v>200</v>
      </c>
      <c r="F905" s="3">
        <v>116</v>
      </c>
      <c r="G905" s="3">
        <f t="shared" si="71"/>
        <v>200</v>
      </c>
      <c r="H905" s="3">
        <f t="shared" si="70"/>
        <v>116</v>
      </c>
      <c r="I905" s="14">
        <f t="shared" si="72"/>
        <v>84</v>
      </c>
      <c r="J905" s="14">
        <f t="shared" si="73"/>
        <v>-84</v>
      </c>
      <c r="K905" s="1">
        <v>0.42</v>
      </c>
      <c r="L905">
        <v>4.4000000000000004</v>
      </c>
      <c r="M905">
        <v>357</v>
      </c>
      <c r="N905" t="s">
        <v>2139</v>
      </c>
      <c r="O905">
        <f t="shared" si="74"/>
        <v>1</v>
      </c>
      <c r="P905" s="12" t="e">
        <f>HYPERLINK(#REF!,"Link")</f>
        <v>#REF!</v>
      </c>
      <c r="Q905" s="12" t="e">
        <f>HYPERLINK(#REF!,"Link")</f>
        <v>#REF!</v>
      </c>
    </row>
    <row r="906" spans="1:17" x14ac:dyDescent="0.3">
      <c r="A906" t="s">
        <v>2140</v>
      </c>
      <c r="B906" t="s">
        <v>2141</v>
      </c>
      <c r="C906" s="10" t="s">
        <v>3729</v>
      </c>
      <c r="D906" s="10" t="s">
        <v>3834</v>
      </c>
      <c r="E906" s="14">
        <v>230</v>
      </c>
      <c r="F906" s="3">
        <v>200</v>
      </c>
      <c r="G906" s="3">
        <f t="shared" si="71"/>
        <v>690</v>
      </c>
      <c r="H906" s="3">
        <f t="shared" si="70"/>
        <v>600</v>
      </c>
      <c r="I906" s="14">
        <f t="shared" si="72"/>
        <v>89.7</v>
      </c>
      <c r="J906" s="14">
        <f t="shared" si="73"/>
        <v>-90</v>
      </c>
      <c r="K906" s="1">
        <v>0.13</v>
      </c>
      <c r="L906">
        <v>4.4000000000000004</v>
      </c>
      <c r="M906" s="2">
        <v>10170</v>
      </c>
      <c r="N906" t="s">
        <v>2142</v>
      </c>
      <c r="O906">
        <f t="shared" si="74"/>
        <v>3</v>
      </c>
      <c r="P906" s="12" t="e">
        <f>HYPERLINK(#REF!,"Link")</f>
        <v>#REF!</v>
      </c>
      <c r="Q906" s="12" t="e">
        <f>HYPERLINK(#REF!,"Link")</f>
        <v>#REF!</v>
      </c>
    </row>
    <row r="907" spans="1:17" x14ac:dyDescent="0.3">
      <c r="A907" t="s">
        <v>2143</v>
      </c>
      <c r="B907" t="s">
        <v>2144</v>
      </c>
      <c r="C907" s="9" t="s">
        <v>3812</v>
      </c>
      <c r="D907" s="9" t="s">
        <v>3835</v>
      </c>
      <c r="E907" s="14">
        <v>2796</v>
      </c>
      <c r="F907" s="3">
        <v>1249</v>
      </c>
      <c r="G907" s="3">
        <f t="shared" si="71"/>
        <v>5592</v>
      </c>
      <c r="H907" s="3">
        <f t="shared" si="70"/>
        <v>2498</v>
      </c>
      <c r="I907" s="14">
        <f t="shared" si="72"/>
        <v>3075.6000000000004</v>
      </c>
      <c r="J907" s="14">
        <f t="shared" si="73"/>
        <v>-3094</v>
      </c>
      <c r="K907" s="1">
        <v>0.55000000000000004</v>
      </c>
      <c r="L907">
        <v>4.4000000000000004</v>
      </c>
      <c r="M907" s="2">
        <v>4598</v>
      </c>
      <c r="N907" t="s">
        <v>2145</v>
      </c>
      <c r="O907">
        <f t="shared" si="74"/>
        <v>2</v>
      </c>
      <c r="P907" s="12" t="e">
        <f>HYPERLINK(#REF!,"Link")</f>
        <v>#REF!</v>
      </c>
      <c r="Q907" s="12" t="e">
        <f>HYPERLINK(#REF!,"Link")</f>
        <v>#REF!</v>
      </c>
    </row>
    <row r="908" spans="1:17" x14ac:dyDescent="0.3">
      <c r="A908" t="s">
        <v>2146</v>
      </c>
      <c r="B908" t="s">
        <v>2147</v>
      </c>
      <c r="C908" s="10" t="s">
        <v>3836</v>
      </c>
      <c r="D908" s="10" t="s">
        <v>3837</v>
      </c>
      <c r="E908" s="14">
        <v>999</v>
      </c>
      <c r="F908" s="3">
        <v>649</v>
      </c>
      <c r="G908" s="3">
        <f t="shared" si="71"/>
        <v>2997</v>
      </c>
      <c r="H908" s="3">
        <f t="shared" si="70"/>
        <v>1947</v>
      </c>
      <c r="I908" s="14">
        <f t="shared" si="72"/>
        <v>1048.9499999999998</v>
      </c>
      <c r="J908" s="14">
        <f t="shared" si="73"/>
        <v>-1050</v>
      </c>
      <c r="K908" s="1">
        <v>0.35</v>
      </c>
      <c r="L908">
        <v>3.5</v>
      </c>
      <c r="M908" s="2">
        <v>7222</v>
      </c>
      <c r="N908" t="s">
        <v>2148</v>
      </c>
      <c r="O908">
        <f t="shared" si="74"/>
        <v>3</v>
      </c>
      <c r="P908" s="12" t="e">
        <f>HYPERLINK(#REF!,"Link")</f>
        <v>#REF!</v>
      </c>
      <c r="Q908" s="12" t="e">
        <f>HYPERLINK(#REF!,"Link")</f>
        <v>#REF!</v>
      </c>
    </row>
    <row r="909" spans="1:17" x14ac:dyDescent="0.3">
      <c r="A909" t="s">
        <v>2149</v>
      </c>
      <c r="B909" t="s">
        <v>2150</v>
      </c>
      <c r="C909" s="9" t="s">
        <v>3838</v>
      </c>
      <c r="D909" s="9"/>
      <c r="E909" s="14">
        <v>3499</v>
      </c>
      <c r="F909" s="3">
        <v>2649</v>
      </c>
      <c r="G909" s="3">
        <f t="shared" si="71"/>
        <v>17495</v>
      </c>
      <c r="H909" s="3">
        <f t="shared" si="70"/>
        <v>13245</v>
      </c>
      <c r="I909" s="14">
        <f t="shared" si="72"/>
        <v>4198.8</v>
      </c>
      <c r="J909" s="14">
        <f t="shared" si="73"/>
        <v>-4250</v>
      </c>
      <c r="K909" s="1">
        <v>0.24</v>
      </c>
      <c r="L909">
        <v>4.5</v>
      </c>
      <c r="M909" s="2">
        <v>1271</v>
      </c>
      <c r="N909" t="s">
        <v>2151</v>
      </c>
      <c r="O909">
        <f t="shared" si="74"/>
        <v>5</v>
      </c>
      <c r="P909" s="12" t="e">
        <f>HYPERLINK(#REF!,"Link")</f>
        <v>#REF!</v>
      </c>
      <c r="Q909" s="12" t="e">
        <f>HYPERLINK(#REF!,"Link")</f>
        <v>#REF!</v>
      </c>
    </row>
    <row r="910" spans="1:17" x14ac:dyDescent="0.3">
      <c r="A910" t="s">
        <v>160</v>
      </c>
      <c r="B910" t="s">
        <v>161</v>
      </c>
      <c r="C910" s="10" t="s">
        <v>3839</v>
      </c>
      <c r="D910" s="10"/>
      <c r="E910" s="14">
        <v>349</v>
      </c>
      <c r="F910" s="3">
        <v>199</v>
      </c>
      <c r="G910" s="3">
        <f t="shared" si="71"/>
        <v>698</v>
      </c>
      <c r="H910" s="3">
        <f t="shared" si="70"/>
        <v>398</v>
      </c>
      <c r="I910" s="14">
        <f t="shared" si="72"/>
        <v>300.14</v>
      </c>
      <c r="J910" s="14">
        <f t="shared" si="73"/>
        <v>-300</v>
      </c>
      <c r="K910" s="1">
        <v>0.43</v>
      </c>
      <c r="L910">
        <v>4.0999999999999996</v>
      </c>
      <c r="M910">
        <v>314</v>
      </c>
      <c r="N910" t="s">
        <v>162</v>
      </c>
      <c r="O910">
        <f t="shared" si="74"/>
        <v>2</v>
      </c>
      <c r="P910" s="12" t="e">
        <f>HYPERLINK(#REF!,"Link")</f>
        <v>#REF!</v>
      </c>
      <c r="Q910" s="12" t="e">
        <f>HYPERLINK(#REF!,"Link")</f>
        <v>#REF!</v>
      </c>
    </row>
    <row r="911" spans="1:17" x14ac:dyDescent="0.3">
      <c r="A911" t="s">
        <v>2152</v>
      </c>
      <c r="B911" t="s">
        <v>2153</v>
      </c>
      <c r="C911" s="9" t="s">
        <v>3836</v>
      </c>
      <c r="D911" s="9" t="s">
        <v>3837</v>
      </c>
      <c r="E911" s="14">
        <v>723</v>
      </c>
      <c r="F911" s="3">
        <v>596</v>
      </c>
      <c r="G911" s="3">
        <f t="shared" si="71"/>
        <v>1446</v>
      </c>
      <c r="H911" s="3">
        <f t="shared" si="70"/>
        <v>1192</v>
      </c>
      <c r="I911" s="14">
        <f t="shared" si="72"/>
        <v>260.27999999999997</v>
      </c>
      <c r="J911" s="14">
        <f t="shared" si="73"/>
        <v>-254</v>
      </c>
      <c r="K911" s="1">
        <v>0.18</v>
      </c>
      <c r="L911">
        <v>4.4000000000000004</v>
      </c>
      <c r="M911" s="2">
        <v>3219</v>
      </c>
      <c r="N911" t="s">
        <v>2154</v>
      </c>
      <c r="O911">
        <f t="shared" si="74"/>
        <v>2</v>
      </c>
      <c r="P911" s="12" t="e">
        <f>HYPERLINK(#REF!,"Link")</f>
        <v>#REF!</v>
      </c>
      <c r="Q911" s="12" t="e">
        <f>HYPERLINK(#REF!,"Link")</f>
        <v>#REF!</v>
      </c>
    </row>
    <row r="912" spans="1:17" x14ac:dyDescent="0.3">
      <c r="A912" t="s">
        <v>2155</v>
      </c>
      <c r="B912" t="s">
        <v>2156</v>
      </c>
      <c r="C912" s="10" t="s">
        <v>3725</v>
      </c>
      <c r="D912" s="10" t="s">
        <v>3726</v>
      </c>
      <c r="E912" s="14">
        <v>5999</v>
      </c>
      <c r="F912" s="3">
        <v>2499</v>
      </c>
      <c r="G912" s="3">
        <f t="shared" si="71"/>
        <v>17997</v>
      </c>
      <c r="H912" s="3">
        <f t="shared" si="70"/>
        <v>7497</v>
      </c>
      <c r="I912" s="14">
        <f t="shared" si="72"/>
        <v>10438.259999999998</v>
      </c>
      <c r="J912" s="14">
        <f t="shared" si="73"/>
        <v>-10500</v>
      </c>
      <c r="K912" s="1">
        <v>0.57999999999999996</v>
      </c>
      <c r="L912">
        <v>4.0999999999999996</v>
      </c>
      <c r="M912" s="2">
        <v>38879</v>
      </c>
      <c r="N912" t="s">
        <v>1277</v>
      </c>
      <c r="O912">
        <f t="shared" si="74"/>
        <v>3</v>
      </c>
      <c r="P912" s="12" t="e">
        <f>HYPERLINK(#REF!,"Link")</f>
        <v>#REF!</v>
      </c>
      <c r="Q912" s="12" t="e">
        <f>HYPERLINK(#REF!,"Link")</f>
        <v>#REF!</v>
      </c>
    </row>
    <row r="913" spans="1:17" x14ac:dyDescent="0.3">
      <c r="A913" t="s">
        <v>2157</v>
      </c>
      <c r="B913" t="s">
        <v>2158</v>
      </c>
      <c r="C913" s="9" t="s">
        <v>3816</v>
      </c>
      <c r="D913" s="9" t="s">
        <v>3840</v>
      </c>
      <c r="E913" s="14">
        <v>12499</v>
      </c>
      <c r="F913" s="3">
        <v>4999</v>
      </c>
      <c r="G913" s="3">
        <f t="shared" si="71"/>
        <v>24998</v>
      </c>
      <c r="H913" s="3">
        <f t="shared" si="70"/>
        <v>9998</v>
      </c>
      <c r="I913" s="14">
        <f t="shared" si="72"/>
        <v>14998.8</v>
      </c>
      <c r="J913" s="14">
        <f t="shared" si="73"/>
        <v>-15000</v>
      </c>
      <c r="K913" s="1">
        <v>0.6</v>
      </c>
      <c r="L913">
        <v>4.2</v>
      </c>
      <c r="M913" s="2">
        <v>4541</v>
      </c>
      <c r="N913" t="s">
        <v>2159</v>
      </c>
      <c r="O913">
        <f t="shared" si="74"/>
        <v>2</v>
      </c>
      <c r="P913" s="12" t="e">
        <f>HYPERLINK(#REF!,"Link")</f>
        <v>#REF!</v>
      </c>
      <c r="Q913" s="12" t="e">
        <f>HYPERLINK(#REF!,"Link")</f>
        <v>#REF!</v>
      </c>
    </row>
    <row r="914" spans="1:17" x14ac:dyDescent="0.3">
      <c r="A914" t="s">
        <v>2160</v>
      </c>
      <c r="B914" t="s">
        <v>2161</v>
      </c>
      <c r="C914" s="10" t="s">
        <v>3793</v>
      </c>
      <c r="D914" s="10" t="s">
        <v>3841</v>
      </c>
      <c r="E914" s="14">
        <v>1290</v>
      </c>
      <c r="F914" s="3">
        <v>399</v>
      </c>
      <c r="G914" s="3">
        <f t="shared" si="71"/>
        <v>2580</v>
      </c>
      <c r="H914" s="3">
        <f t="shared" si="70"/>
        <v>798</v>
      </c>
      <c r="I914" s="14">
        <f t="shared" si="72"/>
        <v>1780.1999999999998</v>
      </c>
      <c r="J914" s="14">
        <f t="shared" si="73"/>
        <v>-1782</v>
      </c>
      <c r="K914" s="1">
        <v>0.69</v>
      </c>
      <c r="L914">
        <v>4.2</v>
      </c>
      <c r="M914" s="2">
        <v>76042</v>
      </c>
      <c r="N914" t="s">
        <v>2162</v>
      </c>
      <c r="O914">
        <f t="shared" si="74"/>
        <v>2</v>
      </c>
      <c r="P914" s="12" t="e">
        <f>HYPERLINK(#REF!,"Link")</f>
        <v>#REF!</v>
      </c>
      <c r="Q914" s="12" t="e">
        <f>HYPERLINK(#REF!,"Link")</f>
        <v>#REF!</v>
      </c>
    </row>
    <row r="915" spans="1:17" x14ac:dyDescent="0.3">
      <c r="A915" t="s">
        <v>2163</v>
      </c>
      <c r="B915" t="s">
        <v>2164</v>
      </c>
      <c r="C915" s="9" t="s">
        <v>3744</v>
      </c>
      <c r="D915" s="9" t="s">
        <v>3842</v>
      </c>
      <c r="E915" s="14">
        <v>200</v>
      </c>
      <c r="F915" s="3">
        <v>116</v>
      </c>
      <c r="G915" s="3">
        <f t="shared" si="71"/>
        <v>1000</v>
      </c>
      <c r="H915" s="3">
        <f t="shared" si="70"/>
        <v>580</v>
      </c>
      <c r="I915" s="14">
        <f t="shared" si="72"/>
        <v>420</v>
      </c>
      <c r="J915" s="14">
        <f t="shared" si="73"/>
        <v>-420</v>
      </c>
      <c r="K915" s="1">
        <v>0.42</v>
      </c>
      <c r="L915">
        <v>4.3</v>
      </c>
      <c r="M915">
        <v>485</v>
      </c>
      <c r="N915" t="s">
        <v>2165</v>
      </c>
      <c r="O915">
        <f t="shared" si="74"/>
        <v>5</v>
      </c>
      <c r="P915" s="12" t="e">
        <f>HYPERLINK(#REF!,"Link")</f>
        <v>#REF!</v>
      </c>
      <c r="Q915" s="12" t="e">
        <f>HYPERLINK(#REF!,"Link")</f>
        <v>#REF!</v>
      </c>
    </row>
    <row r="916" spans="1:17" x14ac:dyDescent="0.3">
      <c r="A916" t="s">
        <v>2166</v>
      </c>
      <c r="B916" t="s">
        <v>2167</v>
      </c>
      <c r="C916" s="10" t="s">
        <v>3843</v>
      </c>
      <c r="D916" s="10"/>
      <c r="E916" s="14">
        <v>5999</v>
      </c>
      <c r="F916" s="3">
        <v>4499</v>
      </c>
      <c r="G916" s="3">
        <f t="shared" si="71"/>
        <v>11998</v>
      </c>
      <c r="H916" s="3">
        <f t="shared" si="70"/>
        <v>8998</v>
      </c>
      <c r="I916" s="14">
        <f t="shared" si="72"/>
        <v>2999.5</v>
      </c>
      <c r="J916" s="14">
        <f t="shared" si="73"/>
        <v>-3000</v>
      </c>
      <c r="K916" s="1">
        <v>0.25</v>
      </c>
      <c r="L916">
        <v>4.3</v>
      </c>
      <c r="M916" s="2">
        <v>44696</v>
      </c>
      <c r="N916" t="s">
        <v>2168</v>
      </c>
      <c r="O916">
        <f t="shared" si="74"/>
        <v>2</v>
      </c>
      <c r="P916" s="12" t="e">
        <f>HYPERLINK(#REF!,"Link")</f>
        <v>#REF!</v>
      </c>
      <c r="Q916" s="12" t="e">
        <f>HYPERLINK(#REF!,"Link")</f>
        <v>#REF!</v>
      </c>
    </row>
    <row r="917" spans="1:17" x14ac:dyDescent="0.3">
      <c r="A917" t="s">
        <v>2169</v>
      </c>
      <c r="B917" t="s">
        <v>2170</v>
      </c>
      <c r="C917" s="9" t="s">
        <v>3839</v>
      </c>
      <c r="D917" s="9" t="s">
        <v>3844</v>
      </c>
      <c r="E917" s="14">
        <v>499</v>
      </c>
      <c r="F917" s="3">
        <v>330</v>
      </c>
      <c r="G917" s="3">
        <f t="shared" si="71"/>
        <v>998</v>
      </c>
      <c r="H917" s="3">
        <f t="shared" si="70"/>
        <v>660</v>
      </c>
      <c r="I917" s="14">
        <f t="shared" si="72"/>
        <v>339.32000000000005</v>
      </c>
      <c r="J917" s="14">
        <f t="shared" si="73"/>
        <v>-338</v>
      </c>
      <c r="K917" s="1">
        <v>0.34</v>
      </c>
      <c r="L917">
        <v>3.7</v>
      </c>
      <c r="M917" s="2">
        <v>8566</v>
      </c>
      <c r="N917" t="s">
        <v>2171</v>
      </c>
      <c r="O917">
        <f t="shared" si="74"/>
        <v>2</v>
      </c>
      <c r="P917" s="12" t="e">
        <f>HYPERLINK(#REF!,"Link")</f>
        <v>#REF!</v>
      </c>
      <c r="Q917" s="12" t="e">
        <f>HYPERLINK(#REF!,"Link")</f>
        <v>#REF!</v>
      </c>
    </row>
    <row r="918" spans="1:17" x14ac:dyDescent="0.3">
      <c r="A918" t="s">
        <v>2172</v>
      </c>
      <c r="B918" t="s">
        <v>2173</v>
      </c>
      <c r="C918" s="10" t="s">
        <v>3845</v>
      </c>
      <c r="D918" s="10" t="s">
        <v>3846</v>
      </c>
      <c r="E918" s="14">
        <v>2499</v>
      </c>
      <c r="F918" s="3">
        <v>649</v>
      </c>
      <c r="G918" s="3">
        <f t="shared" si="71"/>
        <v>14994</v>
      </c>
      <c r="H918" s="3">
        <f t="shared" si="70"/>
        <v>3894</v>
      </c>
      <c r="I918" s="14">
        <f t="shared" si="72"/>
        <v>11095.56</v>
      </c>
      <c r="J918" s="14">
        <f t="shared" si="73"/>
        <v>-11100</v>
      </c>
      <c r="K918" s="1">
        <v>0.74</v>
      </c>
      <c r="L918">
        <v>3.9</v>
      </c>
      <c r="M918" s="2">
        <v>13049</v>
      </c>
      <c r="N918" t="s">
        <v>2174</v>
      </c>
      <c r="O918">
        <f t="shared" si="74"/>
        <v>6</v>
      </c>
      <c r="P918" s="12" t="e">
        <f>HYPERLINK(#REF!,"Link")</f>
        <v>#REF!</v>
      </c>
      <c r="Q918" s="12" t="e">
        <f>HYPERLINK(#REF!,"Link")</f>
        <v>#REF!</v>
      </c>
    </row>
    <row r="919" spans="1:17" x14ac:dyDescent="0.3">
      <c r="A919" t="s">
        <v>2175</v>
      </c>
      <c r="B919" t="s">
        <v>2176</v>
      </c>
      <c r="C919" s="9" t="s">
        <v>3793</v>
      </c>
      <c r="D919" s="9" t="s">
        <v>3847</v>
      </c>
      <c r="E919" s="14">
        <v>1599</v>
      </c>
      <c r="F919" s="3">
        <v>1234</v>
      </c>
      <c r="G919" s="3">
        <f t="shared" si="71"/>
        <v>4797</v>
      </c>
      <c r="H919" s="3">
        <f t="shared" si="70"/>
        <v>3702</v>
      </c>
      <c r="I919" s="14">
        <f t="shared" si="72"/>
        <v>1103.3100000000002</v>
      </c>
      <c r="J919" s="14">
        <f t="shared" si="73"/>
        <v>-1095</v>
      </c>
      <c r="K919" s="1">
        <v>0.23</v>
      </c>
      <c r="L919">
        <v>4.5</v>
      </c>
      <c r="M919" s="2">
        <v>16680</v>
      </c>
      <c r="N919" t="s">
        <v>2177</v>
      </c>
      <c r="O919">
        <f t="shared" si="74"/>
        <v>3</v>
      </c>
      <c r="P919" s="12" t="e">
        <f>HYPERLINK(#REF!,"Link")</f>
        <v>#REF!</v>
      </c>
      <c r="Q919" s="12" t="e">
        <f>HYPERLINK(#REF!,"Link")</f>
        <v>#REF!</v>
      </c>
    </row>
    <row r="920" spans="1:17" x14ac:dyDescent="0.3">
      <c r="A920" t="s">
        <v>1278</v>
      </c>
      <c r="B920" t="s">
        <v>1279</v>
      </c>
      <c r="C920" s="10" t="s">
        <v>3848</v>
      </c>
      <c r="D920" s="10"/>
      <c r="E920" s="14">
        <v>2990</v>
      </c>
      <c r="F920" s="3">
        <v>1399</v>
      </c>
      <c r="G920" s="3">
        <f t="shared" si="71"/>
        <v>11960</v>
      </c>
      <c r="H920" s="3">
        <f t="shared" si="70"/>
        <v>5596</v>
      </c>
      <c r="I920" s="14">
        <f t="shared" si="72"/>
        <v>6338.8</v>
      </c>
      <c r="J920" s="14">
        <f t="shared" si="73"/>
        <v>-6364</v>
      </c>
      <c r="K920" s="1">
        <v>0.53</v>
      </c>
      <c r="L920">
        <v>4.0999999999999996</v>
      </c>
      <c r="M920" s="2">
        <v>97174</v>
      </c>
      <c r="N920" t="s">
        <v>1280</v>
      </c>
      <c r="O920">
        <f t="shared" si="74"/>
        <v>4</v>
      </c>
      <c r="P920" s="12" t="e">
        <f>HYPERLINK(#REF!,"Link")</f>
        <v>#REF!</v>
      </c>
      <c r="Q920" s="12" t="e">
        <f>HYPERLINK(#REF!,"Link")</f>
        <v>#REF!</v>
      </c>
    </row>
    <row r="921" spans="1:17" x14ac:dyDescent="0.3">
      <c r="A921" t="s">
        <v>2178</v>
      </c>
      <c r="B921" t="s">
        <v>2179</v>
      </c>
      <c r="C921" s="9" t="s">
        <v>3727</v>
      </c>
      <c r="D921" s="9" t="s">
        <v>3849</v>
      </c>
      <c r="E921" s="14">
        <v>320</v>
      </c>
      <c r="F921" s="3">
        <v>272</v>
      </c>
      <c r="G921" s="3">
        <f t="shared" si="71"/>
        <v>1280</v>
      </c>
      <c r="H921" s="3">
        <f t="shared" si="70"/>
        <v>1088</v>
      </c>
      <c r="I921" s="14">
        <f t="shared" si="72"/>
        <v>192</v>
      </c>
      <c r="J921" s="14">
        <f t="shared" si="73"/>
        <v>-192</v>
      </c>
      <c r="K921" s="1">
        <v>0.15</v>
      </c>
      <c r="L921">
        <v>4</v>
      </c>
      <c r="M921" s="2">
        <v>3686</v>
      </c>
      <c r="N921" t="s">
        <v>2180</v>
      </c>
      <c r="O921">
        <f t="shared" si="74"/>
        <v>4</v>
      </c>
      <c r="P921" s="12" t="e">
        <f>HYPERLINK(#REF!,"Link")</f>
        <v>#REF!</v>
      </c>
      <c r="Q921" s="12" t="e">
        <f>HYPERLINK(#REF!,"Link")</f>
        <v>#REF!</v>
      </c>
    </row>
    <row r="922" spans="1:17" x14ac:dyDescent="0.3">
      <c r="A922" t="s">
        <v>2181</v>
      </c>
      <c r="B922" t="s">
        <v>2182</v>
      </c>
      <c r="C922" s="10" t="s">
        <v>3790</v>
      </c>
      <c r="D922" s="10" t="s">
        <v>3850</v>
      </c>
      <c r="E922" s="14">
        <v>999</v>
      </c>
      <c r="F922" s="3">
        <v>99</v>
      </c>
      <c r="G922" s="3">
        <f t="shared" si="71"/>
        <v>2997</v>
      </c>
      <c r="H922" s="3">
        <f t="shared" si="70"/>
        <v>297</v>
      </c>
      <c r="I922" s="14">
        <f t="shared" si="72"/>
        <v>2697.3</v>
      </c>
      <c r="J922" s="14">
        <f t="shared" si="73"/>
        <v>-2700</v>
      </c>
      <c r="K922" s="1">
        <v>0.9</v>
      </c>
      <c r="L922">
        <v>3.8</v>
      </c>
      <c r="M922">
        <v>594</v>
      </c>
      <c r="N922" t="s">
        <v>2183</v>
      </c>
      <c r="O922">
        <f t="shared" si="74"/>
        <v>3</v>
      </c>
      <c r="P922" s="12" t="e">
        <f>HYPERLINK(#REF!,"Link")</f>
        <v>#REF!</v>
      </c>
      <c r="Q922" s="12" t="e">
        <f>HYPERLINK(#REF!,"Link")</f>
        <v>#REF!</v>
      </c>
    </row>
    <row r="923" spans="1:17" x14ac:dyDescent="0.3">
      <c r="A923" t="s">
        <v>2184</v>
      </c>
      <c r="B923" t="s">
        <v>2185</v>
      </c>
      <c r="C923" s="9" t="s">
        <v>3729</v>
      </c>
      <c r="D923" s="9" t="s">
        <v>3851</v>
      </c>
      <c r="E923" s="14">
        <v>3875</v>
      </c>
      <c r="F923" s="3">
        <v>3498</v>
      </c>
      <c r="G923" s="3">
        <f t="shared" si="71"/>
        <v>11625</v>
      </c>
      <c r="H923" s="3">
        <f t="shared" si="70"/>
        <v>10494</v>
      </c>
      <c r="I923" s="14">
        <f t="shared" si="72"/>
        <v>1162.5</v>
      </c>
      <c r="J923" s="14">
        <f t="shared" si="73"/>
        <v>-1131</v>
      </c>
      <c r="K923" s="1">
        <v>0.1</v>
      </c>
      <c r="L923">
        <v>3.4</v>
      </c>
      <c r="M923" s="2">
        <v>12185</v>
      </c>
      <c r="N923" t="s">
        <v>2186</v>
      </c>
      <c r="O923">
        <f t="shared" si="74"/>
        <v>3</v>
      </c>
      <c r="P923" s="12" t="e">
        <f>HYPERLINK(#REF!,"Link")</f>
        <v>#REF!</v>
      </c>
      <c r="Q923" s="12" t="e">
        <f>HYPERLINK(#REF!,"Link")</f>
        <v>#REF!</v>
      </c>
    </row>
    <row r="924" spans="1:17" x14ac:dyDescent="0.3">
      <c r="A924" t="s">
        <v>2187</v>
      </c>
      <c r="B924" t="s">
        <v>2188</v>
      </c>
      <c r="C924" s="10" t="s">
        <v>3787</v>
      </c>
      <c r="D924" s="10" t="s">
        <v>3852</v>
      </c>
      <c r="E924" s="14">
        <v>19110</v>
      </c>
      <c r="F924" s="3">
        <v>10099</v>
      </c>
      <c r="G924" s="3">
        <f t="shared" si="71"/>
        <v>95550</v>
      </c>
      <c r="H924" s="3">
        <f t="shared" si="70"/>
        <v>50495</v>
      </c>
      <c r="I924" s="14">
        <f t="shared" si="72"/>
        <v>44908.499999999993</v>
      </c>
      <c r="J924" s="14">
        <f t="shared" si="73"/>
        <v>-45055</v>
      </c>
      <c r="K924" s="1">
        <v>0.47</v>
      </c>
      <c r="L924">
        <v>4.3</v>
      </c>
      <c r="M924" s="2">
        <v>2623</v>
      </c>
      <c r="N924" t="s">
        <v>2189</v>
      </c>
      <c r="O924">
        <f t="shared" si="74"/>
        <v>5</v>
      </c>
      <c r="P924" s="12" t="e">
        <f>HYPERLINK(#REF!,"Link")</f>
        <v>#REF!</v>
      </c>
      <c r="Q924" s="12" t="e">
        <f>HYPERLINK(#REF!,"Link")</f>
        <v>#REF!</v>
      </c>
    </row>
    <row r="925" spans="1:17" x14ac:dyDescent="0.3">
      <c r="A925" t="s">
        <v>2190</v>
      </c>
      <c r="B925" t="s">
        <v>1761</v>
      </c>
      <c r="C925" s="9" t="s">
        <v>3853</v>
      </c>
      <c r="D925" s="9"/>
      <c r="E925" s="14">
        <v>999</v>
      </c>
      <c r="F925" s="3">
        <v>449</v>
      </c>
      <c r="G925" s="3">
        <f t="shared" si="71"/>
        <v>2997</v>
      </c>
      <c r="H925" s="3">
        <f t="shared" si="70"/>
        <v>1347</v>
      </c>
      <c r="I925" s="14">
        <f t="shared" si="72"/>
        <v>1648.3500000000001</v>
      </c>
      <c r="J925" s="14">
        <f t="shared" si="73"/>
        <v>-1650</v>
      </c>
      <c r="K925" s="1">
        <v>0.55000000000000004</v>
      </c>
      <c r="L925">
        <v>4.3</v>
      </c>
      <c r="M925" s="2">
        <v>9701</v>
      </c>
      <c r="N925" t="s">
        <v>2191</v>
      </c>
      <c r="O925">
        <f t="shared" si="74"/>
        <v>3</v>
      </c>
      <c r="P925" s="12" t="e">
        <f>HYPERLINK(#REF!,"Link")</f>
        <v>#REF!</v>
      </c>
      <c r="Q925" s="12" t="e">
        <f>HYPERLINK(#REF!,"Link")</f>
        <v>#REF!</v>
      </c>
    </row>
    <row r="926" spans="1:17" x14ac:dyDescent="0.3">
      <c r="A926" t="s">
        <v>2192</v>
      </c>
      <c r="B926" t="s">
        <v>2193</v>
      </c>
      <c r="C926" s="10"/>
      <c r="D926" s="10"/>
      <c r="E926" s="14">
        <v>150</v>
      </c>
      <c r="F926" s="3">
        <v>150</v>
      </c>
      <c r="G926" s="3">
        <f t="shared" si="71"/>
        <v>300</v>
      </c>
      <c r="H926" s="3">
        <f t="shared" si="70"/>
        <v>300</v>
      </c>
      <c r="I926" s="14">
        <f t="shared" si="72"/>
        <v>0</v>
      </c>
      <c r="J926" s="14">
        <f t="shared" si="73"/>
        <v>0</v>
      </c>
      <c r="K926" s="1">
        <v>0</v>
      </c>
      <c r="L926">
        <v>4.3</v>
      </c>
      <c r="M926" s="2">
        <v>15867</v>
      </c>
      <c r="N926" t="s">
        <v>2194</v>
      </c>
      <c r="O926">
        <f t="shared" si="74"/>
        <v>2</v>
      </c>
      <c r="P926" s="12" t="e">
        <f>HYPERLINK(#REF!,"Link")</f>
        <v>#REF!</v>
      </c>
      <c r="Q926" s="12" t="e">
        <f>HYPERLINK(#REF!,"Link")</f>
        <v>#REF!</v>
      </c>
    </row>
    <row r="927" spans="1:17" x14ac:dyDescent="0.3">
      <c r="A927" t="s">
        <v>169</v>
      </c>
      <c r="B927" t="s">
        <v>170</v>
      </c>
      <c r="C927" s="9" t="s">
        <v>3854</v>
      </c>
      <c r="D927" s="9"/>
      <c r="E927" s="14">
        <v>1499</v>
      </c>
      <c r="F927" s="3">
        <v>348</v>
      </c>
      <c r="G927" s="3">
        <f t="shared" si="71"/>
        <v>2998</v>
      </c>
      <c r="H927" s="3">
        <f t="shared" si="70"/>
        <v>696</v>
      </c>
      <c r="I927" s="14">
        <f t="shared" si="72"/>
        <v>2308.46</v>
      </c>
      <c r="J927" s="14">
        <f t="shared" si="73"/>
        <v>-2302</v>
      </c>
      <c r="K927" s="1">
        <v>0.77</v>
      </c>
      <c r="L927">
        <v>4.2</v>
      </c>
      <c r="M927">
        <v>656</v>
      </c>
      <c r="N927" t="s">
        <v>171</v>
      </c>
      <c r="O927">
        <f t="shared" si="74"/>
        <v>2</v>
      </c>
      <c r="P927" s="12" t="e">
        <f>HYPERLINK(#REF!,"Link")</f>
        <v>#REF!</v>
      </c>
      <c r="Q927" s="12" t="e">
        <f>HYPERLINK(#REF!,"Link")</f>
        <v>#REF!</v>
      </c>
    </row>
    <row r="928" spans="1:17" x14ac:dyDescent="0.3">
      <c r="A928" t="s">
        <v>2195</v>
      </c>
      <c r="B928" t="s">
        <v>2196</v>
      </c>
      <c r="C928" s="10" t="s">
        <v>3795</v>
      </c>
      <c r="D928" s="10"/>
      <c r="E928" s="14">
        <v>2999</v>
      </c>
      <c r="F928" s="3">
        <v>1199</v>
      </c>
      <c r="G928" s="3">
        <f t="shared" si="71"/>
        <v>2999</v>
      </c>
      <c r="H928" s="3">
        <f t="shared" si="70"/>
        <v>1199</v>
      </c>
      <c r="I928" s="14">
        <f t="shared" si="72"/>
        <v>1799.3999999999999</v>
      </c>
      <c r="J928" s="14">
        <f t="shared" si="73"/>
        <v>-1800</v>
      </c>
      <c r="K928" s="1">
        <v>0.6</v>
      </c>
      <c r="L928">
        <v>4.0999999999999996</v>
      </c>
      <c r="M928" s="2">
        <v>10725</v>
      </c>
      <c r="N928" t="s">
        <v>2197</v>
      </c>
      <c r="O928">
        <f t="shared" si="74"/>
        <v>1</v>
      </c>
      <c r="P928" s="12" t="e">
        <f>HYPERLINK(#REF!,"Link")</f>
        <v>#REF!</v>
      </c>
      <c r="Q928" s="12" t="e">
        <f>HYPERLINK(#REF!,"Link")</f>
        <v>#REF!</v>
      </c>
    </row>
    <row r="929" spans="1:17" x14ac:dyDescent="0.3">
      <c r="A929" t="s">
        <v>2198</v>
      </c>
      <c r="B929" t="s">
        <v>2199</v>
      </c>
      <c r="C929" s="9" t="s">
        <v>3790</v>
      </c>
      <c r="D929" s="9" t="s">
        <v>3855</v>
      </c>
      <c r="E929" s="14">
        <v>899</v>
      </c>
      <c r="F929" s="3">
        <v>397</v>
      </c>
      <c r="G929" s="3">
        <f t="shared" si="71"/>
        <v>4495</v>
      </c>
      <c r="H929" s="3">
        <f t="shared" si="70"/>
        <v>1985</v>
      </c>
      <c r="I929" s="14">
        <f t="shared" si="72"/>
        <v>2517.2000000000003</v>
      </c>
      <c r="J929" s="14">
        <f t="shared" si="73"/>
        <v>-2510</v>
      </c>
      <c r="K929" s="1">
        <v>0.56000000000000005</v>
      </c>
      <c r="L929">
        <v>4</v>
      </c>
      <c r="M929" s="2">
        <v>3025</v>
      </c>
      <c r="N929" t="s">
        <v>2200</v>
      </c>
      <c r="O929">
        <f t="shared" si="74"/>
        <v>5</v>
      </c>
      <c r="P929" s="12" t="e">
        <f>HYPERLINK(#REF!,"Link")</f>
        <v>#REF!</v>
      </c>
      <c r="Q929" s="12" t="e">
        <f>HYPERLINK(#REF!,"Link")</f>
        <v>#REF!</v>
      </c>
    </row>
    <row r="930" spans="1:17" x14ac:dyDescent="0.3">
      <c r="A930" t="s">
        <v>172</v>
      </c>
      <c r="B930" t="s">
        <v>173</v>
      </c>
      <c r="C930" s="10" t="s">
        <v>3856</v>
      </c>
      <c r="D930" s="10" t="s">
        <v>3857</v>
      </c>
      <c r="E930" s="14">
        <v>349</v>
      </c>
      <c r="F930" s="3">
        <v>154</v>
      </c>
      <c r="G930" s="3">
        <f t="shared" si="71"/>
        <v>698</v>
      </c>
      <c r="H930" s="3">
        <f t="shared" si="70"/>
        <v>308</v>
      </c>
      <c r="I930" s="14">
        <f t="shared" si="72"/>
        <v>390.88000000000005</v>
      </c>
      <c r="J930" s="14">
        <f t="shared" si="73"/>
        <v>-390</v>
      </c>
      <c r="K930" s="1">
        <v>0.56000000000000005</v>
      </c>
      <c r="L930">
        <v>4.3</v>
      </c>
      <c r="M930" s="2">
        <v>7064</v>
      </c>
      <c r="N930" t="s">
        <v>174</v>
      </c>
      <c r="O930">
        <f t="shared" si="74"/>
        <v>2</v>
      </c>
      <c r="P930" s="12" t="e">
        <f>HYPERLINK(#REF!,"Link")</f>
        <v>#REF!</v>
      </c>
      <c r="Q930" s="12" t="e">
        <f>HYPERLINK(#REF!,"Link")</f>
        <v>#REF!</v>
      </c>
    </row>
    <row r="931" spans="1:17" x14ac:dyDescent="0.3">
      <c r="A931" t="s">
        <v>2201</v>
      </c>
      <c r="B931" t="s">
        <v>2202</v>
      </c>
      <c r="C931" s="9" t="s">
        <v>3858</v>
      </c>
      <c r="D931" s="9"/>
      <c r="E931" s="14">
        <v>1490</v>
      </c>
      <c r="F931" s="3">
        <v>699</v>
      </c>
      <c r="G931" s="3">
        <f t="shared" si="71"/>
        <v>2980</v>
      </c>
      <c r="H931" s="3">
        <f t="shared" si="70"/>
        <v>1398</v>
      </c>
      <c r="I931" s="14">
        <f t="shared" si="72"/>
        <v>1579.4</v>
      </c>
      <c r="J931" s="14">
        <f t="shared" si="73"/>
        <v>-1582</v>
      </c>
      <c r="K931" s="1">
        <v>0.53</v>
      </c>
      <c r="L931">
        <v>4</v>
      </c>
      <c r="M931" s="2">
        <v>5736</v>
      </c>
      <c r="N931" t="s">
        <v>2203</v>
      </c>
      <c r="O931">
        <f t="shared" si="74"/>
        <v>2</v>
      </c>
      <c r="P931" s="12" t="e">
        <f>HYPERLINK(#REF!,"Link")</f>
        <v>#REF!</v>
      </c>
      <c r="Q931" s="12" t="e">
        <f>HYPERLINK(#REF!,"Link")</f>
        <v>#REF!</v>
      </c>
    </row>
    <row r="932" spans="1:17" x14ac:dyDescent="0.3">
      <c r="A932" t="s">
        <v>2204</v>
      </c>
      <c r="B932" t="s">
        <v>2205</v>
      </c>
      <c r="C932" s="10" t="s">
        <v>3859</v>
      </c>
      <c r="D932" s="10" t="s">
        <v>3860</v>
      </c>
      <c r="E932" s="14">
        <v>1999</v>
      </c>
      <c r="F932" s="3">
        <v>1679</v>
      </c>
      <c r="G932" s="3">
        <f t="shared" si="71"/>
        <v>7996</v>
      </c>
      <c r="H932" s="3">
        <f t="shared" si="70"/>
        <v>6716</v>
      </c>
      <c r="I932" s="14">
        <f t="shared" si="72"/>
        <v>1279.3600000000001</v>
      </c>
      <c r="J932" s="14">
        <f t="shared" si="73"/>
        <v>-1280</v>
      </c>
      <c r="K932" s="1">
        <v>0.16</v>
      </c>
      <c r="L932">
        <v>4.0999999999999996</v>
      </c>
      <c r="M932" s="2">
        <v>72563</v>
      </c>
      <c r="N932" t="s">
        <v>2206</v>
      </c>
      <c r="O932">
        <f t="shared" si="74"/>
        <v>4</v>
      </c>
      <c r="P932" s="12" t="e">
        <f>HYPERLINK(#REF!,"Link")</f>
        <v>#REF!</v>
      </c>
      <c r="Q932" s="12" t="e">
        <f>HYPERLINK(#REF!,"Link")</f>
        <v>#REF!</v>
      </c>
    </row>
    <row r="933" spans="1:17" x14ac:dyDescent="0.3">
      <c r="A933" t="s">
        <v>2207</v>
      </c>
      <c r="B933" t="s">
        <v>2208</v>
      </c>
      <c r="C933" s="9" t="s">
        <v>3861</v>
      </c>
      <c r="D933" s="9" t="s">
        <v>3862</v>
      </c>
      <c r="E933" s="14">
        <v>1500</v>
      </c>
      <c r="F933" s="3">
        <v>354</v>
      </c>
      <c r="G933" s="3">
        <f t="shared" si="71"/>
        <v>4500</v>
      </c>
      <c r="H933" s="3">
        <f t="shared" si="70"/>
        <v>1062</v>
      </c>
      <c r="I933" s="14">
        <f t="shared" si="72"/>
        <v>3420</v>
      </c>
      <c r="J933" s="14">
        <f t="shared" si="73"/>
        <v>-3438</v>
      </c>
      <c r="K933" s="1">
        <v>0.76</v>
      </c>
      <c r="L933">
        <v>4</v>
      </c>
      <c r="M933" s="2">
        <v>1026</v>
      </c>
      <c r="N933" t="s">
        <v>2209</v>
      </c>
      <c r="O933">
        <f t="shared" si="74"/>
        <v>3</v>
      </c>
      <c r="P933" s="12" t="e">
        <f>HYPERLINK(#REF!,"Link")</f>
        <v>#REF!</v>
      </c>
      <c r="Q933" s="12" t="e">
        <f>HYPERLINK(#REF!,"Link")</f>
        <v>#REF!</v>
      </c>
    </row>
    <row r="934" spans="1:17" x14ac:dyDescent="0.3">
      <c r="A934" t="s">
        <v>2210</v>
      </c>
      <c r="B934" t="s">
        <v>2211</v>
      </c>
      <c r="C934" s="10" t="s">
        <v>3861</v>
      </c>
      <c r="D934" s="10" t="s">
        <v>3863</v>
      </c>
      <c r="E934" s="14">
        <v>5499</v>
      </c>
      <c r="F934" s="3">
        <v>1199</v>
      </c>
      <c r="G934" s="3">
        <f t="shared" si="71"/>
        <v>10998</v>
      </c>
      <c r="H934" s="3">
        <f t="shared" si="70"/>
        <v>2398</v>
      </c>
      <c r="I934" s="14">
        <f t="shared" si="72"/>
        <v>8578.44</v>
      </c>
      <c r="J934" s="14">
        <f t="shared" si="73"/>
        <v>-8600</v>
      </c>
      <c r="K934" s="1">
        <v>0.78</v>
      </c>
      <c r="L934">
        <v>3.8</v>
      </c>
      <c r="M934" s="2">
        <v>2043</v>
      </c>
      <c r="N934" t="s">
        <v>2212</v>
      </c>
      <c r="O934">
        <f t="shared" si="74"/>
        <v>2</v>
      </c>
      <c r="P934" s="12" t="e">
        <f>HYPERLINK(#REF!,"Link")</f>
        <v>#REF!</v>
      </c>
      <c r="Q934" s="12" t="e">
        <f>HYPERLINK(#REF!,"Link")</f>
        <v>#REF!</v>
      </c>
    </row>
    <row r="935" spans="1:17" x14ac:dyDescent="0.3">
      <c r="A935" t="s">
        <v>2213</v>
      </c>
      <c r="B935" t="s">
        <v>2214</v>
      </c>
      <c r="C935" s="9" t="s">
        <v>3864</v>
      </c>
      <c r="D935" s="9" t="s">
        <v>3865</v>
      </c>
      <c r="E935" s="14">
        <v>1499</v>
      </c>
      <c r="F935" s="3">
        <v>379</v>
      </c>
      <c r="G935" s="3">
        <f t="shared" si="71"/>
        <v>4497</v>
      </c>
      <c r="H935" s="3">
        <f t="shared" si="70"/>
        <v>1137</v>
      </c>
      <c r="I935" s="14">
        <f t="shared" si="72"/>
        <v>3372.75</v>
      </c>
      <c r="J935" s="14">
        <f t="shared" si="73"/>
        <v>-3360</v>
      </c>
      <c r="K935" s="1">
        <v>0.75</v>
      </c>
      <c r="L935">
        <v>4.2</v>
      </c>
      <c r="M935" s="2">
        <v>4149</v>
      </c>
      <c r="N935" t="s">
        <v>2215</v>
      </c>
      <c r="O935">
        <f t="shared" si="74"/>
        <v>3</v>
      </c>
      <c r="P935" s="12" t="e">
        <f>HYPERLINK(#REF!,"Link")</f>
        <v>#REF!</v>
      </c>
      <c r="Q935" s="12" t="e">
        <f>HYPERLINK(#REF!,"Link")</f>
        <v>#REF!</v>
      </c>
    </row>
    <row r="936" spans="1:17" x14ac:dyDescent="0.3">
      <c r="A936" t="s">
        <v>2216</v>
      </c>
      <c r="B936" t="s">
        <v>2217</v>
      </c>
      <c r="C936" s="10" t="s">
        <v>3859</v>
      </c>
      <c r="D936" s="10" t="s">
        <v>3866</v>
      </c>
      <c r="E936" s="14">
        <v>775</v>
      </c>
      <c r="F936" s="3">
        <v>499</v>
      </c>
      <c r="G936" s="3">
        <f t="shared" si="71"/>
        <v>2325</v>
      </c>
      <c r="H936" s="3">
        <f t="shared" si="70"/>
        <v>1497</v>
      </c>
      <c r="I936" s="14">
        <f t="shared" si="72"/>
        <v>837</v>
      </c>
      <c r="J936" s="14">
        <f t="shared" si="73"/>
        <v>-828</v>
      </c>
      <c r="K936" s="1">
        <v>0.36</v>
      </c>
      <c r="L936">
        <v>4.3</v>
      </c>
      <c r="M936">
        <v>74</v>
      </c>
      <c r="N936" t="s">
        <v>2218</v>
      </c>
      <c r="O936">
        <f t="shared" si="74"/>
        <v>3</v>
      </c>
      <c r="P936" s="12" t="e">
        <f>HYPERLINK(#REF!,"Link")</f>
        <v>#REF!</v>
      </c>
      <c r="Q936" s="12" t="e">
        <f>HYPERLINK(#REF!,"Link")</f>
        <v>#REF!</v>
      </c>
    </row>
    <row r="937" spans="1:17" x14ac:dyDescent="0.3">
      <c r="A937" t="s">
        <v>2219</v>
      </c>
      <c r="B937" t="s">
        <v>2220</v>
      </c>
      <c r="C937" s="9" t="s">
        <v>3867</v>
      </c>
      <c r="D937" s="9" t="s">
        <v>3868</v>
      </c>
      <c r="E937" s="14">
        <v>32000</v>
      </c>
      <c r="F937" s="3">
        <v>10389</v>
      </c>
      <c r="G937" s="3">
        <f t="shared" si="71"/>
        <v>64000</v>
      </c>
      <c r="H937" s="3">
        <f t="shared" si="70"/>
        <v>20778</v>
      </c>
      <c r="I937" s="14">
        <f t="shared" si="72"/>
        <v>43520</v>
      </c>
      <c r="J937" s="14">
        <f t="shared" si="73"/>
        <v>-43222</v>
      </c>
      <c r="K937" s="1">
        <v>0.68</v>
      </c>
      <c r="L937">
        <v>4.4000000000000004</v>
      </c>
      <c r="M937" s="2">
        <v>41398</v>
      </c>
      <c r="N937" t="s">
        <v>2221</v>
      </c>
      <c r="O937">
        <f t="shared" si="74"/>
        <v>2</v>
      </c>
      <c r="P937" s="12" t="e">
        <f>HYPERLINK(#REF!,"Link")</f>
        <v>#REF!</v>
      </c>
      <c r="Q937" s="12" t="e">
        <f>HYPERLINK(#REF!,"Link")</f>
        <v>#REF!</v>
      </c>
    </row>
    <row r="938" spans="1:17" x14ac:dyDescent="0.3">
      <c r="A938" t="s">
        <v>2222</v>
      </c>
      <c r="B938" t="s">
        <v>2223</v>
      </c>
      <c r="C938" s="10" t="s">
        <v>3859</v>
      </c>
      <c r="D938" s="10" t="s">
        <v>3869</v>
      </c>
      <c r="E938" s="14">
        <v>1300</v>
      </c>
      <c r="F938" s="3">
        <v>649</v>
      </c>
      <c r="G938" s="3">
        <f t="shared" si="71"/>
        <v>9100</v>
      </c>
      <c r="H938" s="3">
        <f t="shared" si="70"/>
        <v>4543</v>
      </c>
      <c r="I938" s="14">
        <f t="shared" si="72"/>
        <v>4550</v>
      </c>
      <c r="J938" s="14">
        <f t="shared" si="73"/>
        <v>-4557</v>
      </c>
      <c r="K938" s="1">
        <v>0.5</v>
      </c>
      <c r="L938">
        <v>4.0999999999999996</v>
      </c>
      <c r="M938" s="2">
        <v>5195</v>
      </c>
      <c r="N938" t="s">
        <v>2224</v>
      </c>
      <c r="O938">
        <f t="shared" si="74"/>
        <v>7</v>
      </c>
      <c r="P938" s="12" t="e">
        <f>HYPERLINK(#REF!,"Link")</f>
        <v>#REF!</v>
      </c>
      <c r="Q938" s="12" t="e">
        <f>HYPERLINK(#REF!,"Link")</f>
        <v>#REF!</v>
      </c>
    </row>
    <row r="939" spans="1:17" x14ac:dyDescent="0.3">
      <c r="A939" t="s">
        <v>2225</v>
      </c>
      <c r="B939" t="s">
        <v>2226</v>
      </c>
      <c r="C939" s="9" t="s">
        <v>3859</v>
      </c>
      <c r="D939" s="9" t="s">
        <v>3870</v>
      </c>
      <c r="E939" s="14">
        <v>1999</v>
      </c>
      <c r="F939" s="3">
        <v>1199</v>
      </c>
      <c r="G939" s="3">
        <f t="shared" si="71"/>
        <v>3998</v>
      </c>
      <c r="H939" s="3">
        <f t="shared" si="70"/>
        <v>2398</v>
      </c>
      <c r="I939" s="14">
        <f t="shared" si="72"/>
        <v>1599.2</v>
      </c>
      <c r="J939" s="14">
        <f t="shared" si="73"/>
        <v>-1600</v>
      </c>
      <c r="K939" s="1">
        <v>0.4</v>
      </c>
      <c r="L939">
        <v>4.5</v>
      </c>
      <c r="M939" s="2">
        <v>22420</v>
      </c>
      <c r="N939" t="s">
        <v>275</v>
      </c>
      <c r="O939">
        <f t="shared" si="74"/>
        <v>2</v>
      </c>
      <c r="P939" s="12" t="e">
        <f>HYPERLINK(#REF!,"Link")</f>
        <v>#REF!</v>
      </c>
      <c r="Q939" s="12" t="e">
        <f>HYPERLINK(#REF!,"Link")</f>
        <v>#REF!</v>
      </c>
    </row>
    <row r="940" spans="1:17" x14ac:dyDescent="0.3">
      <c r="A940" t="s">
        <v>181</v>
      </c>
      <c r="B940" t="s">
        <v>182</v>
      </c>
      <c r="C940" s="10" t="s">
        <v>3864</v>
      </c>
      <c r="D940" s="10" t="s">
        <v>3865</v>
      </c>
      <c r="E940" s="14">
        <v>999</v>
      </c>
      <c r="F940" s="3">
        <v>139</v>
      </c>
      <c r="G940" s="3">
        <f t="shared" si="71"/>
        <v>2997</v>
      </c>
      <c r="H940" s="3">
        <f t="shared" si="70"/>
        <v>417</v>
      </c>
      <c r="I940" s="14">
        <f t="shared" si="72"/>
        <v>2577.42</v>
      </c>
      <c r="J940" s="14">
        <f t="shared" si="73"/>
        <v>-2580</v>
      </c>
      <c r="K940" s="1">
        <v>0.86</v>
      </c>
      <c r="L940">
        <v>4</v>
      </c>
      <c r="M940" s="2">
        <v>1313</v>
      </c>
      <c r="N940" t="s">
        <v>183</v>
      </c>
      <c r="O940">
        <f t="shared" si="74"/>
        <v>3</v>
      </c>
      <c r="P940" s="12" t="e">
        <f>HYPERLINK(#REF!,"Link")</f>
        <v>#REF!</v>
      </c>
      <c r="Q940" s="12" t="e">
        <f>HYPERLINK(#REF!,"Link")</f>
        <v>#REF!</v>
      </c>
    </row>
    <row r="941" spans="1:17" x14ac:dyDescent="0.3">
      <c r="A941" t="s">
        <v>2227</v>
      </c>
      <c r="B941" t="s">
        <v>2228</v>
      </c>
      <c r="C941" s="9" t="s">
        <v>3859</v>
      </c>
      <c r="D941" s="9" t="s">
        <v>3871</v>
      </c>
      <c r="E941" s="14">
        <v>1999</v>
      </c>
      <c r="F941" s="3">
        <v>889</v>
      </c>
      <c r="G941" s="3">
        <f t="shared" si="71"/>
        <v>5997</v>
      </c>
      <c r="H941" s="3">
        <f t="shared" si="70"/>
        <v>2667</v>
      </c>
      <c r="I941" s="14">
        <f t="shared" si="72"/>
        <v>3358.32</v>
      </c>
      <c r="J941" s="14">
        <f t="shared" si="73"/>
        <v>-3330</v>
      </c>
      <c r="K941" s="1">
        <v>0.56000000000000005</v>
      </c>
      <c r="L941">
        <v>4.2</v>
      </c>
      <c r="M941" s="2">
        <v>2284</v>
      </c>
      <c r="N941" t="s">
        <v>2229</v>
      </c>
      <c r="O941">
        <f t="shared" si="74"/>
        <v>3</v>
      </c>
      <c r="P941" s="12" t="e">
        <f>HYPERLINK(#REF!,"Link")</f>
        <v>#REF!</v>
      </c>
      <c r="Q941" s="12" t="e">
        <f>HYPERLINK(#REF!,"Link")</f>
        <v>#REF!</v>
      </c>
    </row>
    <row r="942" spans="1:17" x14ac:dyDescent="0.3">
      <c r="A942" t="s">
        <v>2230</v>
      </c>
      <c r="B942" t="s">
        <v>2231</v>
      </c>
      <c r="C942" s="10" t="s">
        <v>3872</v>
      </c>
      <c r="D942" s="10" t="s">
        <v>3873</v>
      </c>
      <c r="E942" s="14">
        <v>2199</v>
      </c>
      <c r="F942" s="3">
        <v>1409</v>
      </c>
      <c r="G942" s="3">
        <f t="shared" si="71"/>
        <v>6597</v>
      </c>
      <c r="H942" s="3">
        <f t="shared" si="70"/>
        <v>4227</v>
      </c>
      <c r="I942" s="14">
        <f t="shared" si="72"/>
        <v>2374.92</v>
      </c>
      <c r="J942" s="14">
        <f t="shared" si="73"/>
        <v>-2370</v>
      </c>
      <c r="K942" s="1">
        <v>0.36</v>
      </c>
      <c r="L942">
        <v>3.9</v>
      </c>
      <c r="M942">
        <v>427</v>
      </c>
      <c r="N942" t="s">
        <v>2232</v>
      </c>
      <c r="O942">
        <f t="shared" si="74"/>
        <v>3</v>
      </c>
      <c r="P942" s="12" t="e">
        <f>HYPERLINK(#REF!,"Link")</f>
        <v>#REF!</v>
      </c>
      <c r="Q942" s="12" t="e">
        <f>HYPERLINK(#REF!,"Link")</f>
        <v>#REF!</v>
      </c>
    </row>
    <row r="943" spans="1:17" x14ac:dyDescent="0.3">
      <c r="A943" t="s">
        <v>2233</v>
      </c>
      <c r="B943" t="s">
        <v>2234</v>
      </c>
      <c r="C943" s="9" t="s">
        <v>3861</v>
      </c>
      <c r="D943" s="9"/>
      <c r="E943" s="14">
        <v>1999</v>
      </c>
      <c r="F943" s="3">
        <v>549</v>
      </c>
      <c r="G943" s="3">
        <f t="shared" si="71"/>
        <v>5997</v>
      </c>
      <c r="H943" s="3">
        <f t="shared" si="70"/>
        <v>1647</v>
      </c>
      <c r="I943" s="14">
        <f t="shared" si="72"/>
        <v>4377.8099999999995</v>
      </c>
      <c r="J943" s="14">
        <f t="shared" si="73"/>
        <v>-4350</v>
      </c>
      <c r="K943" s="1">
        <v>0.73</v>
      </c>
      <c r="L943">
        <v>4.3</v>
      </c>
      <c r="M943" s="2">
        <v>1367</v>
      </c>
      <c r="N943" t="s">
        <v>2235</v>
      </c>
      <c r="O943">
        <f t="shared" si="74"/>
        <v>3</v>
      </c>
      <c r="P943" s="12" t="e">
        <f>HYPERLINK(#REF!,"Link")</f>
        <v>#REF!</v>
      </c>
      <c r="Q943" s="12" t="e">
        <f>HYPERLINK(#REF!,"Link")</f>
        <v>#REF!</v>
      </c>
    </row>
    <row r="944" spans="1:17" x14ac:dyDescent="0.3">
      <c r="A944" t="s">
        <v>2236</v>
      </c>
      <c r="B944" t="s">
        <v>2237</v>
      </c>
      <c r="C944" s="10" t="s">
        <v>3859</v>
      </c>
      <c r="D944" s="10" t="s">
        <v>3860</v>
      </c>
      <c r="E944" s="14">
        <v>1799</v>
      </c>
      <c r="F944" s="3">
        <v>749</v>
      </c>
      <c r="G944" s="3">
        <f t="shared" si="71"/>
        <v>3598</v>
      </c>
      <c r="H944" s="3">
        <f t="shared" si="70"/>
        <v>1498</v>
      </c>
      <c r="I944" s="14">
        <f t="shared" si="72"/>
        <v>2086.8399999999997</v>
      </c>
      <c r="J944" s="14">
        <f t="shared" si="73"/>
        <v>-2100</v>
      </c>
      <c r="K944" s="1">
        <v>0.57999999999999996</v>
      </c>
      <c r="L944">
        <v>4</v>
      </c>
      <c r="M944" s="2">
        <v>13199</v>
      </c>
      <c r="N944" t="s">
        <v>2238</v>
      </c>
      <c r="O944">
        <f t="shared" si="74"/>
        <v>2</v>
      </c>
      <c r="P944" s="12" t="e">
        <f>HYPERLINK(#REF!,"Link")</f>
        <v>#REF!</v>
      </c>
      <c r="Q944" s="12" t="e">
        <f>HYPERLINK(#REF!,"Link")</f>
        <v>#REF!</v>
      </c>
    </row>
    <row r="945" spans="1:17" x14ac:dyDescent="0.3">
      <c r="A945" t="s">
        <v>184</v>
      </c>
      <c r="B945" t="s">
        <v>185</v>
      </c>
      <c r="C945" s="9" t="s">
        <v>3872</v>
      </c>
      <c r="D945" s="9" t="s">
        <v>3874</v>
      </c>
      <c r="E945" s="14">
        <v>845</v>
      </c>
      <c r="F945" s="3">
        <v>329</v>
      </c>
      <c r="G945" s="3">
        <f t="shared" si="71"/>
        <v>1690</v>
      </c>
      <c r="H945" s="3">
        <f t="shared" si="70"/>
        <v>658</v>
      </c>
      <c r="I945" s="14">
        <f t="shared" si="72"/>
        <v>1030.9000000000001</v>
      </c>
      <c r="J945" s="14">
        <f t="shared" si="73"/>
        <v>-1032</v>
      </c>
      <c r="K945" s="1">
        <v>0.61</v>
      </c>
      <c r="L945">
        <v>4.2</v>
      </c>
      <c r="M945" s="2">
        <v>29746</v>
      </c>
      <c r="N945" t="s">
        <v>186</v>
      </c>
      <c r="O945">
        <f t="shared" si="74"/>
        <v>2</v>
      </c>
      <c r="P945" s="12" t="e">
        <f>HYPERLINK(#REF!,"Link")</f>
        <v>#REF!</v>
      </c>
      <c r="Q945" s="12" t="e">
        <f>HYPERLINK(#REF!,"Link")</f>
        <v>#REF!</v>
      </c>
    </row>
    <row r="946" spans="1:17" x14ac:dyDescent="0.3">
      <c r="A946" t="s">
        <v>2239</v>
      </c>
      <c r="B946" t="s">
        <v>293</v>
      </c>
      <c r="C946" s="10" t="s">
        <v>3872</v>
      </c>
      <c r="D946" s="10" t="s">
        <v>3875</v>
      </c>
      <c r="E946" s="14">
        <v>1099</v>
      </c>
      <c r="F946" s="3">
        <v>379</v>
      </c>
      <c r="G946" s="3">
        <f t="shared" si="71"/>
        <v>3297</v>
      </c>
      <c r="H946" s="3">
        <f t="shared" si="70"/>
        <v>1137</v>
      </c>
      <c r="I946" s="14">
        <f t="shared" si="72"/>
        <v>2176.02</v>
      </c>
      <c r="J946" s="14">
        <f t="shared" si="73"/>
        <v>-2160</v>
      </c>
      <c r="K946" s="1">
        <v>0.66</v>
      </c>
      <c r="L946">
        <v>4.3</v>
      </c>
      <c r="M946" s="2">
        <v>2806</v>
      </c>
      <c r="N946" t="s">
        <v>294</v>
      </c>
      <c r="O946">
        <f t="shared" si="74"/>
        <v>3</v>
      </c>
      <c r="P946" s="12" t="e">
        <f>HYPERLINK(#REF!,"Link")</f>
        <v>#REF!</v>
      </c>
      <c r="Q946" s="12" t="e">
        <f>HYPERLINK(#REF!,"Link")</f>
        <v>#REF!</v>
      </c>
    </row>
    <row r="947" spans="1:17" x14ac:dyDescent="0.3">
      <c r="A947" t="s">
        <v>2240</v>
      </c>
      <c r="B947" t="s">
        <v>2241</v>
      </c>
      <c r="C947" s="9" t="s">
        <v>3859</v>
      </c>
      <c r="D947" s="9" t="s">
        <v>3876</v>
      </c>
      <c r="E947" s="14">
        <v>7999</v>
      </c>
      <c r="F947" s="3">
        <v>5998</v>
      </c>
      <c r="G947" s="3">
        <f t="shared" si="71"/>
        <v>7999</v>
      </c>
      <c r="H947" s="3">
        <f t="shared" si="70"/>
        <v>5998</v>
      </c>
      <c r="I947" s="14">
        <f t="shared" si="72"/>
        <v>1999.75</v>
      </c>
      <c r="J947" s="14">
        <f t="shared" si="73"/>
        <v>-2001</v>
      </c>
      <c r="K947" s="1">
        <v>0.25</v>
      </c>
      <c r="L947">
        <v>4.2</v>
      </c>
      <c r="M947" s="2">
        <v>30355</v>
      </c>
      <c r="N947" t="s">
        <v>2242</v>
      </c>
      <c r="O947">
        <f t="shared" si="74"/>
        <v>1</v>
      </c>
      <c r="P947" s="12" t="e">
        <f>HYPERLINK(#REF!,"Link")</f>
        <v>#REF!</v>
      </c>
      <c r="Q947" s="12" t="e">
        <f>HYPERLINK(#REF!,"Link")</f>
        <v>#REF!</v>
      </c>
    </row>
    <row r="948" spans="1:17" x14ac:dyDescent="0.3">
      <c r="A948" t="s">
        <v>2243</v>
      </c>
      <c r="B948" t="s">
        <v>2244</v>
      </c>
      <c r="C948" s="10" t="s">
        <v>3877</v>
      </c>
      <c r="D948" s="10" t="s">
        <v>3878</v>
      </c>
      <c r="E948" s="14">
        <v>1499</v>
      </c>
      <c r="F948" s="3">
        <v>299</v>
      </c>
      <c r="G948" s="3">
        <f t="shared" si="71"/>
        <v>7495</v>
      </c>
      <c r="H948" s="3">
        <f t="shared" si="70"/>
        <v>1495</v>
      </c>
      <c r="I948" s="14">
        <f t="shared" si="72"/>
        <v>5996</v>
      </c>
      <c r="J948" s="14">
        <f t="shared" si="73"/>
        <v>-6000</v>
      </c>
      <c r="K948" s="1">
        <v>0.8</v>
      </c>
      <c r="L948">
        <v>4.2</v>
      </c>
      <c r="M948" s="2">
        <v>2868</v>
      </c>
      <c r="N948" t="s">
        <v>2245</v>
      </c>
      <c r="O948">
        <f t="shared" si="74"/>
        <v>5</v>
      </c>
      <c r="P948" s="12" t="e">
        <f>HYPERLINK(#REF!,"Link")</f>
        <v>#REF!</v>
      </c>
      <c r="Q948" s="12" t="e">
        <f>HYPERLINK(#REF!,"Link")</f>
        <v>#REF!</v>
      </c>
    </row>
    <row r="949" spans="1:17" x14ac:dyDescent="0.3">
      <c r="A949" t="s">
        <v>2246</v>
      </c>
      <c r="B949" t="s">
        <v>2247</v>
      </c>
      <c r="C949" s="9" t="s">
        <v>3859</v>
      </c>
      <c r="D949" s="9" t="s">
        <v>3879</v>
      </c>
      <c r="E949" s="14">
        <v>1499</v>
      </c>
      <c r="F949" s="3">
        <v>379</v>
      </c>
      <c r="G949" s="3">
        <f t="shared" si="71"/>
        <v>2998</v>
      </c>
      <c r="H949" s="3">
        <f t="shared" si="70"/>
        <v>758</v>
      </c>
      <c r="I949" s="14">
        <f t="shared" si="72"/>
        <v>2248.5</v>
      </c>
      <c r="J949" s="14">
        <f t="shared" si="73"/>
        <v>-2240</v>
      </c>
      <c r="K949" s="1">
        <v>0.75</v>
      </c>
      <c r="L949">
        <v>4.0999999999999996</v>
      </c>
      <c r="M949">
        <v>670</v>
      </c>
      <c r="N949" t="s">
        <v>2248</v>
      </c>
      <c r="O949">
        <f t="shared" si="74"/>
        <v>2</v>
      </c>
      <c r="P949" s="12" t="e">
        <f>HYPERLINK(#REF!,"Link")</f>
        <v>#REF!</v>
      </c>
      <c r="Q949" s="12" t="e">
        <f>HYPERLINK(#REF!,"Link")</f>
        <v>#REF!</v>
      </c>
    </row>
    <row r="950" spans="1:17" x14ac:dyDescent="0.3">
      <c r="A950" t="s">
        <v>2249</v>
      </c>
      <c r="B950" t="s">
        <v>2250</v>
      </c>
      <c r="C950" s="10" t="s">
        <v>3864</v>
      </c>
      <c r="D950" s="10" t="s">
        <v>3880</v>
      </c>
      <c r="E950" s="14">
        <v>2999</v>
      </c>
      <c r="F950" s="3">
        <v>1399</v>
      </c>
      <c r="G950" s="3">
        <f t="shared" si="71"/>
        <v>11996</v>
      </c>
      <c r="H950" s="3">
        <f t="shared" si="70"/>
        <v>5596</v>
      </c>
      <c r="I950" s="14">
        <f t="shared" si="72"/>
        <v>6357.88</v>
      </c>
      <c r="J950" s="14">
        <f t="shared" si="73"/>
        <v>-6400</v>
      </c>
      <c r="K950" s="1">
        <v>0.53</v>
      </c>
      <c r="L950">
        <v>4.3</v>
      </c>
      <c r="M950" s="2">
        <v>3530</v>
      </c>
      <c r="N950" t="s">
        <v>2251</v>
      </c>
      <c r="O950">
        <f t="shared" si="74"/>
        <v>4</v>
      </c>
      <c r="P950" s="12" t="e">
        <f>HYPERLINK(#REF!,"Link")</f>
        <v>#REF!</v>
      </c>
      <c r="Q950" s="12" t="e">
        <f>HYPERLINK(#REF!,"Link")</f>
        <v>#REF!</v>
      </c>
    </row>
    <row r="951" spans="1:17" x14ac:dyDescent="0.3">
      <c r="A951" t="s">
        <v>2252</v>
      </c>
      <c r="B951" t="s">
        <v>1499</v>
      </c>
      <c r="C951" s="9" t="s">
        <v>3859</v>
      </c>
      <c r="D951" s="9" t="s">
        <v>3881</v>
      </c>
      <c r="E951" s="14">
        <v>1299</v>
      </c>
      <c r="F951" s="3">
        <v>699</v>
      </c>
      <c r="G951" s="3">
        <f t="shared" si="71"/>
        <v>5196</v>
      </c>
      <c r="H951" s="3">
        <f t="shared" si="70"/>
        <v>2796</v>
      </c>
      <c r="I951" s="14">
        <f t="shared" si="72"/>
        <v>2390.1600000000003</v>
      </c>
      <c r="J951" s="14">
        <f t="shared" si="73"/>
        <v>-2400</v>
      </c>
      <c r="K951" s="1">
        <v>0.46</v>
      </c>
      <c r="L951">
        <v>4.3</v>
      </c>
      <c r="M951" s="2">
        <v>6183</v>
      </c>
      <c r="N951" t="s">
        <v>2253</v>
      </c>
      <c r="O951">
        <f t="shared" si="74"/>
        <v>4</v>
      </c>
      <c r="P951" s="12" t="e">
        <f>HYPERLINK(#REF!,"Link")</f>
        <v>#REF!</v>
      </c>
      <c r="Q951" s="12" t="e">
        <f>HYPERLINK(#REF!,"Link")</f>
        <v>#REF!</v>
      </c>
    </row>
    <row r="952" spans="1:17" x14ac:dyDescent="0.3">
      <c r="A952" t="s">
        <v>2254</v>
      </c>
      <c r="B952" t="s">
        <v>2255</v>
      </c>
      <c r="C952" s="10" t="s">
        <v>3859</v>
      </c>
      <c r="D952" s="10" t="s">
        <v>3882</v>
      </c>
      <c r="E952" s="14">
        <v>300</v>
      </c>
      <c r="F952" s="3">
        <v>300</v>
      </c>
      <c r="G952" s="3">
        <f t="shared" si="71"/>
        <v>600</v>
      </c>
      <c r="H952" s="3">
        <f t="shared" si="70"/>
        <v>600</v>
      </c>
      <c r="I952" s="14">
        <f t="shared" si="72"/>
        <v>0</v>
      </c>
      <c r="J952" s="14">
        <f t="shared" si="73"/>
        <v>0</v>
      </c>
      <c r="K952" s="1">
        <v>0</v>
      </c>
      <c r="L952">
        <v>4.2</v>
      </c>
      <c r="M952">
        <v>419</v>
      </c>
      <c r="N952" t="s">
        <v>2256</v>
      </c>
      <c r="O952">
        <f t="shared" si="74"/>
        <v>2</v>
      </c>
      <c r="P952" s="12" t="e">
        <f>HYPERLINK(#REF!,"Link")</f>
        <v>#REF!</v>
      </c>
      <c r="Q952" s="12" t="e">
        <f>HYPERLINK(#REF!,"Link")</f>
        <v>#REF!</v>
      </c>
    </row>
    <row r="953" spans="1:17" x14ac:dyDescent="0.3">
      <c r="A953" t="s">
        <v>2257</v>
      </c>
      <c r="B953" t="s">
        <v>2258</v>
      </c>
      <c r="C953" s="9" t="s">
        <v>3859</v>
      </c>
      <c r="D953" s="9" t="s">
        <v>3883</v>
      </c>
      <c r="E953" s="14">
        <v>1995</v>
      </c>
      <c r="F953" s="3">
        <v>999</v>
      </c>
      <c r="G953" s="3">
        <f t="shared" si="71"/>
        <v>3990</v>
      </c>
      <c r="H953" s="3">
        <f t="shared" si="70"/>
        <v>1998</v>
      </c>
      <c r="I953" s="14">
        <f t="shared" si="72"/>
        <v>1995</v>
      </c>
      <c r="J953" s="14">
        <f t="shared" si="73"/>
        <v>-1992</v>
      </c>
      <c r="K953" s="1">
        <v>0.5</v>
      </c>
      <c r="L953">
        <v>4.5</v>
      </c>
      <c r="M953" s="2">
        <v>7317</v>
      </c>
      <c r="N953" t="s">
        <v>2259</v>
      </c>
      <c r="O953">
        <f t="shared" si="74"/>
        <v>2</v>
      </c>
      <c r="P953" s="12" t="e">
        <f>HYPERLINK(#REF!,"Link")</f>
        <v>#REF!</v>
      </c>
      <c r="Q953" s="12" t="e">
        <f>HYPERLINK(#REF!,"Link")</f>
        <v>#REF!</v>
      </c>
    </row>
    <row r="954" spans="1:17" x14ac:dyDescent="0.3">
      <c r="A954" t="s">
        <v>2260</v>
      </c>
      <c r="B954" t="s">
        <v>2261</v>
      </c>
      <c r="C954" s="10" t="s">
        <v>3859</v>
      </c>
      <c r="D954" s="10" t="s">
        <v>3866</v>
      </c>
      <c r="E954" s="14">
        <v>535</v>
      </c>
      <c r="F954" s="3">
        <v>535</v>
      </c>
      <c r="G954" s="3">
        <f t="shared" si="71"/>
        <v>1605</v>
      </c>
      <c r="H954" s="3">
        <f t="shared" si="70"/>
        <v>1605</v>
      </c>
      <c r="I954" s="14">
        <f t="shared" si="72"/>
        <v>0</v>
      </c>
      <c r="J954" s="14">
        <f t="shared" si="73"/>
        <v>0</v>
      </c>
      <c r="K954" s="1">
        <v>0</v>
      </c>
      <c r="L954">
        <v>4.4000000000000004</v>
      </c>
      <c r="M954" s="2">
        <v>4426</v>
      </c>
      <c r="N954" t="s">
        <v>2262</v>
      </c>
      <c r="O954">
        <f t="shared" si="74"/>
        <v>3</v>
      </c>
      <c r="P954" s="12" t="e">
        <f>HYPERLINK(#REF!,"Link")</f>
        <v>#REF!</v>
      </c>
      <c r="Q954" s="12" t="e">
        <f>HYPERLINK(#REF!,"Link")</f>
        <v>#REF!</v>
      </c>
    </row>
    <row r="955" spans="1:17" x14ac:dyDescent="0.3">
      <c r="A955" t="s">
        <v>187</v>
      </c>
      <c r="B955" t="s">
        <v>188</v>
      </c>
      <c r="C955" s="9" t="s">
        <v>3859</v>
      </c>
      <c r="D955" s="9" t="s">
        <v>3884</v>
      </c>
      <c r="E955" s="14">
        <v>24999</v>
      </c>
      <c r="F955" s="3">
        <v>13999</v>
      </c>
      <c r="G955" s="3">
        <f t="shared" si="71"/>
        <v>74997</v>
      </c>
      <c r="H955" s="3">
        <f t="shared" si="70"/>
        <v>41997</v>
      </c>
      <c r="I955" s="14">
        <f t="shared" si="72"/>
        <v>32998.68</v>
      </c>
      <c r="J955" s="14">
        <f t="shared" si="73"/>
        <v>-33000</v>
      </c>
      <c r="K955" s="1">
        <v>0.44</v>
      </c>
      <c r="L955">
        <v>4.2</v>
      </c>
      <c r="M955" s="2">
        <v>45237</v>
      </c>
      <c r="N955" t="s">
        <v>189</v>
      </c>
      <c r="O955">
        <f t="shared" si="74"/>
        <v>3</v>
      </c>
      <c r="P955" s="12" t="e">
        <f>HYPERLINK(#REF!,"Link")</f>
        <v>#REF!</v>
      </c>
      <c r="Q955" s="12" t="e">
        <f>HYPERLINK(#REF!,"Link")</f>
        <v>#REF!</v>
      </c>
    </row>
    <row r="956" spans="1:17" x14ac:dyDescent="0.3">
      <c r="A956" t="s">
        <v>2263</v>
      </c>
      <c r="B956" t="s">
        <v>2264</v>
      </c>
      <c r="C956" s="10" t="s">
        <v>3885</v>
      </c>
      <c r="D956" s="10" t="s">
        <v>3886</v>
      </c>
      <c r="E956" s="14">
        <v>1099</v>
      </c>
      <c r="F956" s="3">
        <v>269</v>
      </c>
      <c r="G956" s="3">
        <f t="shared" si="71"/>
        <v>3297</v>
      </c>
      <c r="H956" s="3">
        <f t="shared" si="70"/>
        <v>807</v>
      </c>
      <c r="I956" s="14">
        <f t="shared" si="72"/>
        <v>2505.7200000000003</v>
      </c>
      <c r="J956" s="14">
        <f t="shared" si="73"/>
        <v>-2490</v>
      </c>
      <c r="K956" s="1">
        <v>0.76</v>
      </c>
      <c r="L956">
        <v>4.0999999999999996</v>
      </c>
      <c r="M956" s="2">
        <v>1092</v>
      </c>
      <c r="N956" t="s">
        <v>2265</v>
      </c>
      <c r="O956">
        <f t="shared" si="74"/>
        <v>3</v>
      </c>
      <c r="P956" s="12" t="e">
        <f>HYPERLINK(#REF!,"Link")</f>
        <v>#REF!</v>
      </c>
      <c r="Q956" s="12" t="e">
        <f>HYPERLINK(#REF!,"Link")</f>
        <v>#REF!</v>
      </c>
    </row>
    <row r="957" spans="1:17" x14ac:dyDescent="0.3">
      <c r="A957" t="s">
        <v>2266</v>
      </c>
      <c r="B957" t="s">
        <v>2267</v>
      </c>
      <c r="C957" s="9" t="s">
        <v>3864</v>
      </c>
      <c r="D957" s="9" t="s">
        <v>3887</v>
      </c>
      <c r="E957" s="14">
        <v>450</v>
      </c>
      <c r="F957" s="3">
        <v>341</v>
      </c>
      <c r="G957" s="3">
        <f t="shared" si="71"/>
        <v>1800</v>
      </c>
      <c r="H957" s="3">
        <f t="shared" si="70"/>
        <v>1364</v>
      </c>
      <c r="I957" s="14">
        <f t="shared" si="72"/>
        <v>432</v>
      </c>
      <c r="J957" s="14">
        <f t="shared" si="73"/>
        <v>-436</v>
      </c>
      <c r="K957" s="1">
        <v>0.24</v>
      </c>
      <c r="L957">
        <v>4.3</v>
      </c>
      <c r="M957" s="2">
        <v>2493</v>
      </c>
      <c r="N957" t="s">
        <v>2268</v>
      </c>
      <c r="O957">
        <f t="shared" si="74"/>
        <v>4</v>
      </c>
      <c r="P957" s="12" t="e">
        <f>HYPERLINK(#REF!,"Link")</f>
        <v>#REF!</v>
      </c>
      <c r="Q957" s="12" t="e">
        <f>HYPERLINK(#REF!,"Link")</f>
        <v>#REF!</v>
      </c>
    </row>
    <row r="958" spans="1:17" x14ac:dyDescent="0.3">
      <c r="A958" t="s">
        <v>2269</v>
      </c>
      <c r="B958" t="s">
        <v>2270</v>
      </c>
      <c r="C958" s="10" t="s">
        <v>3861</v>
      </c>
      <c r="D958" s="10" t="s">
        <v>3888</v>
      </c>
      <c r="E958" s="14">
        <v>3999</v>
      </c>
      <c r="F958" s="3">
        <v>2499</v>
      </c>
      <c r="G958" s="3">
        <f t="shared" si="71"/>
        <v>7998</v>
      </c>
      <c r="H958" s="3">
        <f t="shared" si="70"/>
        <v>4998</v>
      </c>
      <c r="I958" s="14">
        <f t="shared" si="72"/>
        <v>3039.2400000000002</v>
      </c>
      <c r="J958" s="14">
        <f t="shared" si="73"/>
        <v>-3000</v>
      </c>
      <c r="K958" s="1">
        <v>0.38</v>
      </c>
      <c r="L958">
        <v>4.4000000000000004</v>
      </c>
      <c r="M958" s="2">
        <v>12679</v>
      </c>
      <c r="N958" t="s">
        <v>2271</v>
      </c>
      <c r="O958">
        <f t="shared" si="74"/>
        <v>2</v>
      </c>
      <c r="P958" s="12" t="e">
        <f>HYPERLINK(#REF!,"Link")</f>
        <v>#REF!</v>
      </c>
      <c r="Q958" s="12" t="e">
        <f>HYPERLINK(#REF!,"Link")</f>
        <v>#REF!</v>
      </c>
    </row>
    <row r="959" spans="1:17" x14ac:dyDescent="0.3">
      <c r="A959" t="s">
        <v>205</v>
      </c>
      <c r="B959" t="s">
        <v>206</v>
      </c>
      <c r="C959" s="9" t="s">
        <v>3859</v>
      </c>
      <c r="D959" s="9" t="s">
        <v>3889</v>
      </c>
      <c r="E959" s="14">
        <v>599</v>
      </c>
      <c r="F959" s="3">
        <v>349</v>
      </c>
      <c r="G959" s="3">
        <f t="shared" si="71"/>
        <v>2396</v>
      </c>
      <c r="H959" s="3">
        <f t="shared" si="70"/>
        <v>1396</v>
      </c>
      <c r="I959" s="14">
        <f t="shared" si="72"/>
        <v>1006.3199999999999</v>
      </c>
      <c r="J959" s="14">
        <f t="shared" si="73"/>
        <v>-1000</v>
      </c>
      <c r="K959" s="1">
        <v>0.42</v>
      </c>
      <c r="L959">
        <v>4.0999999999999996</v>
      </c>
      <c r="M959">
        <v>210</v>
      </c>
      <c r="N959" t="s">
        <v>207</v>
      </c>
      <c r="O959">
        <f t="shared" si="74"/>
        <v>4</v>
      </c>
      <c r="P959" s="12" t="e">
        <f>HYPERLINK(#REF!,"Link")</f>
        <v>#REF!</v>
      </c>
      <c r="Q959" s="12" t="e">
        <f>HYPERLINK(#REF!,"Link")</f>
        <v>#REF!</v>
      </c>
    </row>
    <row r="960" spans="1:17" x14ac:dyDescent="0.3">
      <c r="A960" t="s">
        <v>2272</v>
      </c>
      <c r="B960" t="s">
        <v>2273</v>
      </c>
      <c r="C960" s="10" t="s">
        <v>3861</v>
      </c>
      <c r="D960" s="10" t="s">
        <v>3890</v>
      </c>
      <c r="E960" s="14">
        <v>7005</v>
      </c>
      <c r="F960" s="3">
        <v>5899</v>
      </c>
      <c r="G960" s="3">
        <f t="shared" si="71"/>
        <v>21015</v>
      </c>
      <c r="H960" s="3">
        <f t="shared" si="70"/>
        <v>17697</v>
      </c>
      <c r="I960" s="14">
        <f t="shared" si="72"/>
        <v>3362.3999999999996</v>
      </c>
      <c r="J960" s="14">
        <f t="shared" si="73"/>
        <v>-3318</v>
      </c>
      <c r="K960" s="1">
        <v>0.16</v>
      </c>
      <c r="L960">
        <v>3.6</v>
      </c>
      <c r="M960" s="2">
        <v>4199</v>
      </c>
      <c r="N960" t="s">
        <v>2274</v>
      </c>
      <c r="O960">
        <f t="shared" si="74"/>
        <v>3</v>
      </c>
      <c r="P960" s="12" t="e">
        <f>HYPERLINK(#REF!,"Link")</f>
        <v>#REF!</v>
      </c>
      <c r="Q960" s="12" t="e">
        <f>HYPERLINK(#REF!,"Link")</f>
        <v>#REF!</v>
      </c>
    </row>
    <row r="961" spans="1:17" x14ac:dyDescent="0.3">
      <c r="A961" t="s">
        <v>1331</v>
      </c>
      <c r="B961" t="s">
        <v>1332</v>
      </c>
      <c r="C961" s="9" t="s">
        <v>3891</v>
      </c>
      <c r="D961" s="9" t="s">
        <v>3892</v>
      </c>
      <c r="E961" s="14">
        <v>1199</v>
      </c>
      <c r="F961" s="3">
        <v>699</v>
      </c>
      <c r="G961" s="3">
        <f t="shared" si="71"/>
        <v>1199</v>
      </c>
      <c r="H961" s="3">
        <f t="shared" si="70"/>
        <v>699</v>
      </c>
      <c r="I961" s="14">
        <f t="shared" si="72"/>
        <v>503.58</v>
      </c>
      <c r="J961" s="14">
        <f t="shared" si="73"/>
        <v>-500</v>
      </c>
      <c r="K961" s="1">
        <v>0.42</v>
      </c>
      <c r="L961">
        <v>4</v>
      </c>
      <c r="M961" s="2">
        <v>14403</v>
      </c>
      <c r="N961" t="s">
        <v>1075</v>
      </c>
      <c r="O961">
        <f t="shared" si="74"/>
        <v>1</v>
      </c>
      <c r="P961" s="12" t="e">
        <f>HYPERLINK(#REF!,"Link")</f>
        <v>#REF!</v>
      </c>
      <c r="Q961" s="12" t="e">
        <f>HYPERLINK(#REF!,"Link")</f>
        <v>#REF!</v>
      </c>
    </row>
    <row r="962" spans="1:17" x14ac:dyDescent="0.3">
      <c r="A962" t="s">
        <v>2275</v>
      </c>
      <c r="B962" t="s">
        <v>2276</v>
      </c>
      <c r="C962" s="10" t="s">
        <v>3885</v>
      </c>
      <c r="D962" s="10" t="s">
        <v>3893</v>
      </c>
      <c r="E962" s="14">
        <v>2999</v>
      </c>
      <c r="F962" s="3">
        <v>1565</v>
      </c>
      <c r="G962" s="3">
        <f t="shared" si="71"/>
        <v>2999</v>
      </c>
      <c r="H962" s="3">
        <f t="shared" ref="H962:H1025" si="75">F962*O962</f>
        <v>1565</v>
      </c>
      <c r="I962" s="14">
        <f t="shared" si="72"/>
        <v>1439.52</v>
      </c>
      <c r="J962" s="14">
        <f t="shared" si="73"/>
        <v>-1434</v>
      </c>
      <c r="K962" s="1">
        <v>0.48</v>
      </c>
      <c r="L962">
        <v>4</v>
      </c>
      <c r="M962" s="2">
        <v>11113</v>
      </c>
      <c r="N962" t="s">
        <v>2277</v>
      </c>
      <c r="O962">
        <f t="shared" si="74"/>
        <v>1</v>
      </c>
      <c r="P962" s="12" t="e">
        <f>HYPERLINK(#REF!,"Link")</f>
        <v>#REF!</v>
      </c>
      <c r="Q962" s="12" t="e">
        <f>HYPERLINK(#REF!,"Link")</f>
        <v>#REF!</v>
      </c>
    </row>
    <row r="963" spans="1:17" x14ac:dyDescent="0.3">
      <c r="A963" t="s">
        <v>2278</v>
      </c>
      <c r="B963" t="s">
        <v>2279</v>
      </c>
      <c r="C963" s="9" t="s">
        <v>3891</v>
      </c>
      <c r="D963" s="9" t="s">
        <v>3894</v>
      </c>
      <c r="E963" s="14">
        <v>799</v>
      </c>
      <c r="F963" s="3">
        <v>326</v>
      </c>
      <c r="G963" s="3">
        <f t="shared" ref="G963:G1026" si="76">E963*O963</f>
        <v>2397</v>
      </c>
      <c r="H963" s="3">
        <f t="shared" si="75"/>
        <v>978</v>
      </c>
      <c r="I963" s="14">
        <f t="shared" ref="I963:I1026" si="77">(E963*K963)*O963</f>
        <v>1414.23</v>
      </c>
      <c r="J963" s="14">
        <f t="shared" ref="J963:J1026" si="78">H963-G963</f>
        <v>-1419</v>
      </c>
      <c r="K963" s="1">
        <v>0.59</v>
      </c>
      <c r="L963">
        <v>4.4000000000000004</v>
      </c>
      <c r="M963" s="2">
        <v>10773</v>
      </c>
      <c r="N963" t="s">
        <v>2280</v>
      </c>
      <c r="O963">
        <f t="shared" ref="O963:O1026" si="79">LEN(N963)-LEN(SUBSTITUTE(N963,",",""))+1</f>
        <v>3</v>
      </c>
      <c r="P963" s="12" t="e">
        <f>HYPERLINK(#REF!,"Link")</f>
        <v>#REF!</v>
      </c>
      <c r="Q963" s="12" t="e">
        <f>HYPERLINK(#REF!,"Link")</f>
        <v>#REF!</v>
      </c>
    </row>
    <row r="964" spans="1:17" x14ac:dyDescent="0.3">
      <c r="A964" t="s">
        <v>1321</v>
      </c>
      <c r="B964" t="s">
        <v>1322</v>
      </c>
      <c r="C964" s="10" t="s">
        <v>3895</v>
      </c>
      <c r="D964" s="10" t="s">
        <v>3896</v>
      </c>
      <c r="E964" s="14">
        <v>999</v>
      </c>
      <c r="F964" s="3">
        <v>120</v>
      </c>
      <c r="G964" s="3">
        <f t="shared" si="76"/>
        <v>1998</v>
      </c>
      <c r="H964" s="3">
        <f t="shared" si="75"/>
        <v>240</v>
      </c>
      <c r="I964" s="14">
        <f t="shared" si="77"/>
        <v>1758.24</v>
      </c>
      <c r="J964" s="14">
        <f t="shared" si="78"/>
        <v>-1758</v>
      </c>
      <c r="K964" s="1">
        <v>0.88</v>
      </c>
      <c r="L964">
        <v>3.9</v>
      </c>
      <c r="M964" s="2">
        <v>6491</v>
      </c>
      <c r="N964" t="s">
        <v>1323</v>
      </c>
      <c r="O964">
        <f t="shared" si="79"/>
        <v>2</v>
      </c>
      <c r="P964" s="12" t="e">
        <f>HYPERLINK(#REF!,"Link")</f>
        <v>#REF!</v>
      </c>
      <c r="Q964" s="12" t="e">
        <f>HYPERLINK(#REF!,"Link")</f>
        <v>#REF!</v>
      </c>
    </row>
    <row r="965" spans="1:17" x14ac:dyDescent="0.3">
      <c r="A965" t="s">
        <v>2281</v>
      </c>
      <c r="B965" t="s">
        <v>2282</v>
      </c>
      <c r="C965" s="9" t="s">
        <v>3895</v>
      </c>
      <c r="D965" s="9" t="s">
        <v>3897</v>
      </c>
      <c r="E965" s="14">
        <v>999</v>
      </c>
      <c r="F965" s="3">
        <v>657</v>
      </c>
      <c r="G965" s="3">
        <f t="shared" si="76"/>
        <v>2997</v>
      </c>
      <c r="H965" s="3">
        <f t="shared" si="75"/>
        <v>1971</v>
      </c>
      <c r="I965" s="14">
        <f t="shared" si="77"/>
        <v>1018.98</v>
      </c>
      <c r="J965" s="14">
        <f t="shared" si="78"/>
        <v>-1026</v>
      </c>
      <c r="K965" s="1">
        <v>0.34</v>
      </c>
      <c r="L965">
        <v>4.3</v>
      </c>
      <c r="M965" s="2">
        <v>13944</v>
      </c>
      <c r="N965" t="s">
        <v>2283</v>
      </c>
      <c r="O965">
        <f t="shared" si="79"/>
        <v>3</v>
      </c>
      <c r="P965" s="12" t="e">
        <f>HYPERLINK(#REF!,"Link")</f>
        <v>#REF!</v>
      </c>
      <c r="Q965" s="12" t="e">
        <f>HYPERLINK(#REF!,"Link")</f>
        <v>#REF!</v>
      </c>
    </row>
    <row r="966" spans="1:17" x14ac:dyDescent="0.3">
      <c r="A966" t="s">
        <v>2284</v>
      </c>
      <c r="B966" t="s">
        <v>2285</v>
      </c>
      <c r="C966" s="10" t="s">
        <v>3859</v>
      </c>
      <c r="D966" s="10" t="s">
        <v>3898</v>
      </c>
      <c r="E966" s="14">
        <v>2895</v>
      </c>
      <c r="F966" s="3">
        <v>1995</v>
      </c>
      <c r="G966" s="3">
        <f t="shared" si="76"/>
        <v>5790</v>
      </c>
      <c r="H966" s="3">
        <f t="shared" si="75"/>
        <v>3990</v>
      </c>
      <c r="I966" s="14">
        <f t="shared" si="77"/>
        <v>1794.9</v>
      </c>
      <c r="J966" s="14">
        <f t="shared" si="78"/>
        <v>-1800</v>
      </c>
      <c r="K966" s="1">
        <v>0.31</v>
      </c>
      <c r="L966">
        <v>4.5999999999999996</v>
      </c>
      <c r="M966" s="2">
        <v>10760</v>
      </c>
      <c r="N966" t="s">
        <v>2286</v>
      </c>
      <c r="O966">
        <f t="shared" si="79"/>
        <v>2</v>
      </c>
      <c r="P966" s="12" t="e">
        <f>HYPERLINK(#REF!,"Link")</f>
        <v>#REF!</v>
      </c>
      <c r="Q966" s="12" t="e">
        <f>HYPERLINK(#REF!,"Link")</f>
        <v>#REF!</v>
      </c>
    </row>
    <row r="967" spans="1:17" x14ac:dyDescent="0.3">
      <c r="A967" t="s">
        <v>2287</v>
      </c>
      <c r="B967" t="s">
        <v>2288</v>
      </c>
      <c r="C967" s="9" t="s">
        <v>3899</v>
      </c>
      <c r="D967" s="9" t="s">
        <v>3900</v>
      </c>
      <c r="E967" s="14">
        <v>1500</v>
      </c>
      <c r="F967" s="3">
        <v>1500</v>
      </c>
      <c r="G967" s="3">
        <f t="shared" si="76"/>
        <v>3000</v>
      </c>
      <c r="H967" s="3">
        <f t="shared" si="75"/>
        <v>3000</v>
      </c>
      <c r="I967" s="14">
        <f t="shared" si="77"/>
        <v>0</v>
      </c>
      <c r="J967" s="14">
        <f t="shared" si="78"/>
        <v>0</v>
      </c>
      <c r="K967" s="1">
        <v>0</v>
      </c>
      <c r="L967">
        <v>4.4000000000000004</v>
      </c>
      <c r="M967" s="2">
        <v>25996</v>
      </c>
      <c r="N967" t="s">
        <v>2289</v>
      </c>
      <c r="O967">
        <f t="shared" si="79"/>
        <v>2</v>
      </c>
      <c r="P967" s="12" t="e">
        <f>HYPERLINK(#REF!,"Link")</f>
        <v>#REF!</v>
      </c>
      <c r="Q967" s="12" t="e">
        <f>HYPERLINK(#REF!,"Link")</f>
        <v>#REF!</v>
      </c>
    </row>
    <row r="968" spans="1:17" x14ac:dyDescent="0.3">
      <c r="A968" t="s">
        <v>2290</v>
      </c>
      <c r="B968" t="s">
        <v>2291</v>
      </c>
      <c r="C968" s="10" t="s">
        <v>3901</v>
      </c>
      <c r="D968" s="10" t="s">
        <v>3902</v>
      </c>
      <c r="E968" s="14">
        <v>3195</v>
      </c>
      <c r="F968" s="3">
        <v>2640</v>
      </c>
      <c r="G968" s="3">
        <f t="shared" si="76"/>
        <v>15975</v>
      </c>
      <c r="H968" s="3">
        <f t="shared" si="75"/>
        <v>13200</v>
      </c>
      <c r="I968" s="14">
        <f t="shared" si="77"/>
        <v>2715.7500000000005</v>
      </c>
      <c r="J968" s="14">
        <f t="shared" si="78"/>
        <v>-2775</v>
      </c>
      <c r="K968" s="1">
        <v>0.17</v>
      </c>
      <c r="L968">
        <v>4.5</v>
      </c>
      <c r="M968" s="2">
        <v>16146</v>
      </c>
      <c r="N968" t="s">
        <v>2292</v>
      </c>
      <c r="O968">
        <f t="shared" si="79"/>
        <v>5</v>
      </c>
      <c r="P968" s="12" t="e">
        <f>HYPERLINK(#REF!,"Link")</f>
        <v>#REF!</v>
      </c>
      <c r="Q968" s="12" t="e">
        <f>HYPERLINK(#REF!,"Link")</f>
        <v>#REF!</v>
      </c>
    </row>
    <row r="969" spans="1:17" x14ac:dyDescent="0.3">
      <c r="A969" t="s">
        <v>2293</v>
      </c>
      <c r="B969" t="s">
        <v>2294</v>
      </c>
      <c r="C969" s="9" t="s">
        <v>3895</v>
      </c>
      <c r="D969" s="9" t="s">
        <v>3903</v>
      </c>
      <c r="E969" s="14">
        <v>6355</v>
      </c>
      <c r="F969" s="3">
        <v>5299</v>
      </c>
      <c r="G969" s="3">
        <f t="shared" si="76"/>
        <v>12710</v>
      </c>
      <c r="H969" s="3">
        <f t="shared" si="75"/>
        <v>10598</v>
      </c>
      <c r="I969" s="14">
        <f t="shared" si="77"/>
        <v>2160.7000000000003</v>
      </c>
      <c r="J969" s="14">
        <f t="shared" si="78"/>
        <v>-2112</v>
      </c>
      <c r="K969" s="1">
        <v>0.17</v>
      </c>
      <c r="L969">
        <v>3.9</v>
      </c>
      <c r="M969" s="2">
        <v>8280</v>
      </c>
      <c r="N969" t="s">
        <v>2295</v>
      </c>
      <c r="O969">
        <f t="shared" si="79"/>
        <v>2</v>
      </c>
      <c r="P969" s="12" t="e">
        <f>HYPERLINK(#REF!,"Link")</f>
        <v>#REF!</v>
      </c>
      <c r="Q969" s="12" t="e">
        <f>HYPERLINK(#REF!,"Link")</f>
        <v>#REF!</v>
      </c>
    </row>
    <row r="970" spans="1:17" x14ac:dyDescent="0.3">
      <c r="A970" t="s">
        <v>191</v>
      </c>
      <c r="B970" t="s">
        <v>192</v>
      </c>
      <c r="C970" s="10" t="s">
        <v>3877</v>
      </c>
      <c r="D970" s="10" t="s">
        <v>3904</v>
      </c>
      <c r="E970" s="14">
        <v>699</v>
      </c>
      <c r="F970" s="3">
        <v>263</v>
      </c>
      <c r="G970" s="3">
        <f t="shared" si="76"/>
        <v>2796</v>
      </c>
      <c r="H970" s="3">
        <f t="shared" si="75"/>
        <v>1052</v>
      </c>
      <c r="I970" s="14">
        <f t="shared" si="77"/>
        <v>1733.52</v>
      </c>
      <c r="J970" s="14">
        <f t="shared" si="78"/>
        <v>-1744</v>
      </c>
      <c r="K970" s="1">
        <v>0.62</v>
      </c>
      <c r="L970">
        <v>4.0999999999999996</v>
      </c>
      <c r="M970">
        <v>450</v>
      </c>
      <c r="N970" t="s">
        <v>193</v>
      </c>
      <c r="O970">
        <f t="shared" si="79"/>
        <v>4</v>
      </c>
      <c r="P970" s="12" t="e">
        <f>HYPERLINK(#REF!,"Link")</f>
        <v>#REF!</v>
      </c>
      <c r="Q970" s="12" t="e">
        <f>HYPERLINK(#REF!,"Link")</f>
        <v>#REF!</v>
      </c>
    </row>
    <row r="971" spans="1:17" x14ac:dyDescent="0.3">
      <c r="A971" t="s">
        <v>2296</v>
      </c>
      <c r="B971" t="s">
        <v>2297</v>
      </c>
      <c r="C971" s="9" t="s">
        <v>3905</v>
      </c>
      <c r="D971" s="9" t="s">
        <v>3906</v>
      </c>
      <c r="E971" s="14">
        <v>2999</v>
      </c>
      <c r="F971" s="3">
        <v>1990</v>
      </c>
      <c r="G971" s="3">
        <f t="shared" si="76"/>
        <v>5998</v>
      </c>
      <c r="H971" s="3">
        <f t="shared" si="75"/>
        <v>3980</v>
      </c>
      <c r="I971" s="14">
        <f t="shared" si="77"/>
        <v>2039.3200000000002</v>
      </c>
      <c r="J971" s="14">
        <f t="shared" si="78"/>
        <v>-2018</v>
      </c>
      <c r="K971" s="1">
        <v>0.34</v>
      </c>
      <c r="L971">
        <v>4.3</v>
      </c>
      <c r="M971" s="2">
        <v>14237</v>
      </c>
      <c r="N971" t="s">
        <v>2298</v>
      </c>
      <c r="O971">
        <f t="shared" si="79"/>
        <v>2</v>
      </c>
      <c r="P971" s="12" t="e">
        <f>HYPERLINK(#REF!,"Link")</f>
        <v>#REF!</v>
      </c>
      <c r="Q971" s="12" t="e">
        <f>HYPERLINK(#REF!,"Link")</f>
        <v>#REF!</v>
      </c>
    </row>
    <row r="972" spans="1:17" x14ac:dyDescent="0.3">
      <c r="A972" t="s">
        <v>2299</v>
      </c>
      <c r="B972" t="s">
        <v>2300</v>
      </c>
      <c r="C972" s="10" t="s">
        <v>3877</v>
      </c>
      <c r="D972" s="10" t="s">
        <v>3907</v>
      </c>
      <c r="E972" s="14">
        <v>1499</v>
      </c>
      <c r="F972" s="3">
        <v>1289</v>
      </c>
      <c r="G972" s="3">
        <f t="shared" si="76"/>
        <v>2998</v>
      </c>
      <c r="H972" s="3">
        <f t="shared" si="75"/>
        <v>2578</v>
      </c>
      <c r="I972" s="14">
        <f t="shared" si="77"/>
        <v>419.72</v>
      </c>
      <c r="J972" s="14">
        <f t="shared" si="78"/>
        <v>-420</v>
      </c>
      <c r="K972" s="1">
        <v>0.14000000000000001</v>
      </c>
      <c r="L972">
        <v>4.5</v>
      </c>
      <c r="M972" s="2">
        <v>20668</v>
      </c>
      <c r="N972" t="s">
        <v>2301</v>
      </c>
      <c r="O972">
        <f t="shared" si="79"/>
        <v>2</v>
      </c>
      <c r="P972" s="12" t="e">
        <f>HYPERLINK(#REF!,"Link")</f>
        <v>#REF!</v>
      </c>
      <c r="Q972" s="12" t="e">
        <f>HYPERLINK(#REF!,"Link")</f>
        <v>#REF!</v>
      </c>
    </row>
    <row r="973" spans="1:17" x14ac:dyDescent="0.3">
      <c r="A973" t="s">
        <v>2302</v>
      </c>
      <c r="B973" t="s">
        <v>2303</v>
      </c>
      <c r="C973" s="9" t="s">
        <v>3859</v>
      </c>
      <c r="D973" s="9" t="s">
        <v>3908</v>
      </c>
      <c r="E973" s="14">
        <v>165</v>
      </c>
      <c r="F973" s="3">
        <v>165</v>
      </c>
      <c r="G973" s="3">
        <f t="shared" si="76"/>
        <v>660</v>
      </c>
      <c r="H973" s="3">
        <f t="shared" si="75"/>
        <v>660</v>
      </c>
      <c r="I973" s="14">
        <f t="shared" si="77"/>
        <v>0</v>
      </c>
      <c r="J973" s="14">
        <f t="shared" si="78"/>
        <v>0</v>
      </c>
      <c r="K973" s="1">
        <v>0</v>
      </c>
      <c r="L973">
        <v>4.5</v>
      </c>
      <c r="M973" s="2">
        <v>1674</v>
      </c>
      <c r="N973" t="s">
        <v>2304</v>
      </c>
      <c r="O973">
        <f t="shared" si="79"/>
        <v>4</v>
      </c>
      <c r="P973" s="12" t="e">
        <f>HYPERLINK(#REF!,"Link")</f>
        <v>#REF!</v>
      </c>
      <c r="Q973" s="12" t="e">
        <f>HYPERLINK(#REF!,"Link")</f>
        <v>#REF!</v>
      </c>
    </row>
    <row r="974" spans="1:17" x14ac:dyDescent="0.3">
      <c r="A974" t="s">
        <v>2305</v>
      </c>
      <c r="B974" t="s">
        <v>2306</v>
      </c>
      <c r="C974" s="10" t="s">
        <v>3859</v>
      </c>
      <c r="D974" s="10" t="s">
        <v>3909</v>
      </c>
      <c r="E974" s="14">
        <v>3499</v>
      </c>
      <c r="F974" s="3">
        <v>1699</v>
      </c>
      <c r="G974" s="3">
        <f t="shared" si="76"/>
        <v>3499</v>
      </c>
      <c r="H974" s="3">
        <f t="shared" si="75"/>
        <v>1699</v>
      </c>
      <c r="I974" s="14">
        <f t="shared" si="77"/>
        <v>1784.49</v>
      </c>
      <c r="J974" s="14">
        <f t="shared" si="78"/>
        <v>-1800</v>
      </c>
      <c r="K974" s="1">
        <v>0.51</v>
      </c>
      <c r="L974">
        <v>3.6</v>
      </c>
      <c r="M974" s="2">
        <v>7689</v>
      </c>
      <c r="N974" t="s">
        <v>2307</v>
      </c>
      <c r="O974">
        <f t="shared" si="79"/>
        <v>1</v>
      </c>
      <c r="P974" s="12" t="e">
        <f>HYPERLINK(#REF!,"Link")</f>
        <v>#REF!</v>
      </c>
      <c r="Q974" s="12" t="e">
        <f>HYPERLINK(#REF!,"Link")</f>
        <v>#REF!</v>
      </c>
    </row>
    <row r="975" spans="1:17" x14ac:dyDescent="0.3">
      <c r="A975" t="s">
        <v>2308</v>
      </c>
      <c r="B975" t="s">
        <v>2309</v>
      </c>
      <c r="C975" s="9" t="s">
        <v>3859</v>
      </c>
      <c r="D975" s="9" t="s">
        <v>3910</v>
      </c>
      <c r="E975" s="14">
        <v>7500</v>
      </c>
      <c r="F975" s="3">
        <v>2299</v>
      </c>
      <c r="G975" s="3">
        <f t="shared" si="76"/>
        <v>15000</v>
      </c>
      <c r="H975" s="3">
        <f t="shared" si="75"/>
        <v>4598</v>
      </c>
      <c r="I975" s="14">
        <f t="shared" si="77"/>
        <v>10350</v>
      </c>
      <c r="J975" s="14">
        <f t="shared" si="78"/>
        <v>-10402</v>
      </c>
      <c r="K975" s="1">
        <v>0.69</v>
      </c>
      <c r="L975">
        <v>4.0999999999999996</v>
      </c>
      <c r="M975" s="2">
        <v>5554</v>
      </c>
      <c r="N975" t="s">
        <v>2310</v>
      </c>
      <c r="O975">
        <f t="shared" si="79"/>
        <v>2</v>
      </c>
      <c r="P975" s="12" t="e">
        <f>HYPERLINK(#REF!,"Link")</f>
        <v>#REF!</v>
      </c>
      <c r="Q975" s="12" t="e">
        <f>HYPERLINK(#REF!,"Link")</f>
        <v>#REF!</v>
      </c>
    </row>
    <row r="976" spans="1:17" x14ac:dyDescent="0.3">
      <c r="A976" t="s">
        <v>199</v>
      </c>
      <c r="B976" t="s">
        <v>200</v>
      </c>
      <c r="C976" s="10" t="s">
        <v>3859</v>
      </c>
      <c r="D976" s="10" t="s">
        <v>3911</v>
      </c>
      <c r="E976" s="14">
        <v>700</v>
      </c>
      <c r="F976" s="3">
        <v>219</v>
      </c>
      <c r="G976" s="3">
        <f t="shared" si="76"/>
        <v>5600</v>
      </c>
      <c r="H976" s="3">
        <f t="shared" si="75"/>
        <v>1752</v>
      </c>
      <c r="I976" s="14">
        <f t="shared" si="77"/>
        <v>3863.9999999999995</v>
      </c>
      <c r="J976" s="14">
        <f t="shared" si="78"/>
        <v>-3848</v>
      </c>
      <c r="K976" s="1">
        <v>0.69</v>
      </c>
      <c r="L976">
        <v>4.3</v>
      </c>
      <c r="M976" s="2">
        <v>20053</v>
      </c>
      <c r="N976" t="s">
        <v>201</v>
      </c>
      <c r="O976">
        <f t="shared" si="79"/>
        <v>8</v>
      </c>
      <c r="P976" s="12" t="e">
        <f>HYPERLINK(#REF!,"Link")</f>
        <v>#REF!</v>
      </c>
      <c r="Q976" s="12" t="e">
        <f>HYPERLINK(#REF!,"Link")</f>
        <v>#REF!</v>
      </c>
    </row>
    <row r="977" spans="1:17" x14ac:dyDescent="0.3">
      <c r="A977" t="s">
        <v>2311</v>
      </c>
      <c r="B977" t="s">
        <v>1658</v>
      </c>
      <c r="C977" s="9" t="s">
        <v>3859</v>
      </c>
      <c r="D977" s="9"/>
      <c r="E977" s="14">
        <v>39</v>
      </c>
      <c r="F977" s="3">
        <v>39</v>
      </c>
      <c r="G977" s="3">
        <f t="shared" si="76"/>
        <v>117</v>
      </c>
      <c r="H977" s="3">
        <f t="shared" si="75"/>
        <v>117</v>
      </c>
      <c r="I977" s="14">
        <f t="shared" si="77"/>
        <v>0</v>
      </c>
      <c r="J977" s="14">
        <f t="shared" si="78"/>
        <v>0</v>
      </c>
      <c r="K977" s="1">
        <v>0</v>
      </c>
      <c r="L977">
        <v>3.8</v>
      </c>
      <c r="M977" s="2">
        <v>3344</v>
      </c>
      <c r="N977" t="s">
        <v>2312</v>
      </c>
      <c r="O977">
        <f t="shared" si="79"/>
        <v>3</v>
      </c>
      <c r="P977" s="12" t="e">
        <f>HYPERLINK(#REF!,"Link")</f>
        <v>#REF!</v>
      </c>
      <c r="Q977" s="12" t="e">
        <f>HYPERLINK(#REF!,"Link")</f>
        <v>#REF!</v>
      </c>
    </row>
    <row r="978" spans="1:17" x14ac:dyDescent="0.3">
      <c r="A978" t="s">
        <v>2313</v>
      </c>
      <c r="B978" t="s">
        <v>2314</v>
      </c>
      <c r="C978" s="10" t="s">
        <v>3912</v>
      </c>
      <c r="D978" s="10" t="s">
        <v>3913</v>
      </c>
      <c r="E978" s="14">
        <v>37999</v>
      </c>
      <c r="F978" s="3">
        <v>26999</v>
      </c>
      <c r="G978" s="3">
        <f t="shared" si="76"/>
        <v>37999</v>
      </c>
      <c r="H978" s="3">
        <f t="shared" si="75"/>
        <v>26999</v>
      </c>
      <c r="I978" s="14">
        <f t="shared" si="77"/>
        <v>11019.71</v>
      </c>
      <c r="J978" s="14">
        <f t="shared" si="78"/>
        <v>-11000</v>
      </c>
      <c r="K978" s="1">
        <v>0.28999999999999998</v>
      </c>
      <c r="L978">
        <v>4.5999999999999996</v>
      </c>
      <c r="M978" s="2">
        <v>2886</v>
      </c>
      <c r="N978" t="s">
        <v>2315</v>
      </c>
      <c r="O978">
        <f t="shared" si="79"/>
        <v>1</v>
      </c>
      <c r="P978" s="12" t="e">
        <f>HYPERLINK(#REF!,"Link")</f>
        <v>#REF!</v>
      </c>
      <c r="Q978" s="12" t="e">
        <f>HYPERLINK(#REF!,"Link")</f>
        <v>#REF!</v>
      </c>
    </row>
    <row r="979" spans="1:17" x14ac:dyDescent="0.3">
      <c r="A979" t="s">
        <v>2316</v>
      </c>
      <c r="B979" t="s">
        <v>2317</v>
      </c>
      <c r="C979" s="9" t="s">
        <v>3891</v>
      </c>
      <c r="D979" s="9" t="s">
        <v>3914</v>
      </c>
      <c r="E979" s="14">
        <v>1990</v>
      </c>
      <c r="F979" s="3">
        <v>1490</v>
      </c>
      <c r="G979" s="3">
        <f t="shared" si="76"/>
        <v>3980</v>
      </c>
      <c r="H979" s="3">
        <f t="shared" si="75"/>
        <v>2980</v>
      </c>
      <c r="I979" s="14">
        <f t="shared" si="77"/>
        <v>995</v>
      </c>
      <c r="J979" s="14">
        <f t="shared" si="78"/>
        <v>-1000</v>
      </c>
      <c r="K979" s="1">
        <v>0.25</v>
      </c>
      <c r="L979">
        <v>4.0999999999999996</v>
      </c>
      <c r="M979" s="2">
        <v>98250</v>
      </c>
      <c r="N979" t="s">
        <v>2318</v>
      </c>
      <c r="O979">
        <f t="shared" si="79"/>
        <v>2</v>
      </c>
      <c r="P979" s="12" t="e">
        <f>HYPERLINK(#REF!,"Link")</f>
        <v>#REF!</v>
      </c>
      <c r="Q979" s="12" t="e">
        <f>HYPERLINK(#REF!,"Link")</f>
        <v>#REF!</v>
      </c>
    </row>
    <row r="980" spans="1:17" x14ac:dyDescent="0.3">
      <c r="A980" t="s">
        <v>2319</v>
      </c>
      <c r="B980" t="s">
        <v>2320</v>
      </c>
      <c r="C980" s="10" t="s">
        <v>3885</v>
      </c>
      <c r="D980" s="10" t="s">
        <v>3915</v>
      </c>
      <c r="E980" s="14">
        <v>1949</v>
      </c>
      <c r="F980" s="3">
        <v>398</v>
      </c>
      <c r="G980" s="3">
        <f t="shared" si="76"/>
        <v>3898</v>
      </c>
      <c r="H980" s="3">
        <f t="shared" si="75"/>
        <v>796</v>
      </c>
      <c r="I980" s="14">
        <f t="shared" si="77"/>
        <v>3118.4</v>
      </c>
      <c r="J980" s="14">
        <f t="shared" si="78"/>
        <v>-3102</v>
      </c>
      <c r="K980" s="1">
        <v>0.8</v>
      </c>
      <c r="L980">
        <v>4</v>
      </c>
      <c r="M980">
        <v>75</v>
      </c>
      <c r="N980" t="s">
        <v>2321</v>
      </c>
      <c r="O980">
        <f t="shared" si="79"/>
        <v>2</v>
      </c>
      <c r="P980" s="12" t="e">
        <f>HYPERLINK(#REF!,"Link")</f>
        <v>#REF!</v>
      </c>
      <c r="Q980" s="12" t="e">
        <f>HYPERLINK(#REF!,"Link")</f>
        <v>#REF!</v>
      </c>
    </row>
    <row r="981" spans="1:17" x14ac:dyDescent="0.3">
      <c r="A981" t="s">
        <v>202</v>
      </c>
      <c r="B981" t="s">
        <v>203</v>
      </c>
      <c r="C981" s="9" t="s">
        <v>3891</v>
      </c>
      <c r="D981" s="9" t="s">
        <v>3916</v>
      </c>
      <c r="E981" s="14">
        <v>899</v>
      </c>
      <c r="F981" s="3">
        <v>349</v>
      </c>
      <c r="G981" s="3">
        <f t="shared" si="76"/>
        <v>1798</v>
      </c>
      <c r="H981" s="3">
        <f t="shared" si="75"/>
        <v>698</v>
      </c>
      <c r="I981" s="14">
        <f t="shared" si="77"/>
        <v>1096.78</v>
      </c>
      <c r="J981" s="14">
        <f t="shared" si="78"/>
        <v>-1100</v>
      </c>
      <c r="K981" s="1">
        <v>0.61</v>
      </c>
      <c r="L981">
        <v>4.5</v>
      </c>
      <c r="M981">
        <v>149</v>
      </c>
      <c r="N981" t="s">
        <v>204</v>
      </c>
      <c r="O981">
        <f t="shared" si="79"/>
        <v>2</v>
      </c>
      <c r="P981" s="12" t="e">
        <f>HYPERLINK(#REF!,"Link")</f>
        <v>#REF!</v>
      </c>
      <c r="Q981" s="12" t="e">
        <f>HYPERLINK(#REF!,"Link")</f>
        <v>#REF!</v>
      </c>
    </row>
    <row r="982" spans="1:17" x14ac:dyDescent="0.3">
      <c r="A982" t="s">
        <v>2322</v>
      </c>
      <c r="B982" t="s">
        <v>2323</v>
      </c>
      <c r="C982" s="10" t="s">
        <v>3917</v>
      </c>
      <c r="D982" s="10"/>
      <c r="E982" s="14">
        <v>1547</v>
      </c>
      <c r="F982" s="3">
        <v>770</v>
      </c>
      <c r="G982" s="3">
        <f t="shared" si="76"/>
        <v>3094</v>
      </c>
      <c r="H982" s="3">
        <f t="shared" si="75"/>
        <v>1540</v>
      </c>
      <c r="I982" s="14">
        <f t="shared" si="77"/>
        <v>1547</v>
      </c>
      <c r="J982" s="14">
        <f t="shared" si="78"/>
        <v>-1554</v>
      </c>
      <c r="K982" s="1">
        <v>0.5</v>
      </c>
      <c r="L982">
        <v>4.3</v>
      </c>
      <c r="M982" s="2">
        <v>2585</v>
      </c>
      <c r="N982" t="s">
        <v>2324</v>
      </c>
      <c r="O982">
        <f t="shared" si="79"/>
        <v>2</v>
      </c>
      <c r="P982" s="12" t="e">
        <f>HYPERLINK(#REF!,"Link")</f>
        <v>#REF!</v>
      </c>
      <c r="Q982" s="12" t="e">
        <f>HYPERLINK(#REF!,"Link")</f>
        <v>#REF!</v>
      </c>
    </row>
    <row r="983" spans="1:17" x14ac:dyDescent="0.3">
      <c r="A983" t="s">
        <v>2325</v>
      </c>
      <c r="B983" t="s">
        <v>2326</v>
      </c>
      <c r="C983" s="9" t="s">
        <v>3859</v>
      </c>
      <c r="D983" s="9" t="s">
        <v>3918</v>
      </c>
      <c r="E983" s="14">
        <v>1299</v>
      </c>
      <c r="F983" s="3">
        <v>279</v>
      </c>
      <c r="G983" s="3">
        <f t="shared" si="76"/>
        <v>3897</v>
      </c>
      <c r="H983" s="3">
        <f t="shared" si="75"/>
        <v>837</v>
      </c>
      <c r="I983" s="14">
        <f t="shared" si="77"/>
        <v>3078.63</v>
      </c>
      <c r="J983" s="14">
        <f t="shared" si="78"/>
        <v>-3060</v>
      </c>
      <c r="K983" s="1">
        <v>0.79</v>
      </c>
      <c r="L983">
        <v>4</v>
      </c>
      <c r="M983" s="2">
        <v>5072</v>
      </c>
      <c r="N983" t="s">
        <v>2327</v>
      </c>
      <c r="O983">
        <f t="shared" si="79"/>
        <v>3</v>
      </c>
      <c r="P983" s="12" t="e">
        <f>HYPERLINK(#REF!,"Link")</f>
        <v>#REF!</v>
      </c>
      <c r="Q983" s="12" t="e">
        <f>HYPERLINK(#REF!,"Link")</f>
        <v>#REF!</v>
      </c>
    </row>
    <row r="984" spans="1:17" x14ac:dyDescent="0.3">
      <c r="A984" t="s">
        <v>2328</v>
      </c>
      <c r="B984" t="s">
        <v>2329</v>
      </c>
      <c r="C984" s="10" t="s">
        <v>3859</v>
      </c>
      <c r="D984" s="10" t="s">
        <v>3919</v>
      </c>
      <c r="E984" s="14">
        <v>599</v>
      </c>
      <c r="F984" s="3">
        <v>249</v>
      </c>
      <c r="G984" s="3">
        <f t="shared" si="76"/>
        <v>1797</v>
      </c>
      <c r="H984" s="3">
        <f t="shared" si="75"/>
        <v>747</v>
      </c>
      <c r="I984" s="14">
        <f t="shared" si="77"/>
        <v>1042.2599999999998</v>
      </c>
      <c r="J984" s="14">
        <f t="shared" si="78"/>
        <v>-1050</v>
      </c>
      <c r="K984" s="1">
        <v>0.57999999999999996</v>
      </c>
      <c r="L984">
        <v>4.5</v>
      </c>
      <c r="M984" s="2">
        <v>5985</v>
      </c>
      <c r="N984" t="s">
        <v>2330</v>
      </c>
      <c r="O984">
        <f t="shared" si="79"/>
        <v>3</v>
      </c>
      <c r="P984" s="12" t="e">
        <f>HYPERLINK(#REF!,"Link")</f>
        <v>#REF!</v>
      </c>
      <c r="Q984" s="12" t="e">
        <f>HYPERLINK(#REF!,"Link")</f>
        <v>#REF!</v>
      </c>
    </row>
    <row r="985" spans="1:17" x14ac:dyDescent="0.3">
      <c r="A985" t="s">
        <v>210</v>
      </c>
      <c r="B985" t="s">
        <v>211</v>
      </c>
      <c r="C985" s="9" t="s">
        <v>3859</v>
      </c>
      <c r="D985" s="9" t="s">
        <v>3911</v>
      </c>
      <c r="E985" s="14">
        <v>499</v>
      </c>
      <c r="F985" s="3">
        <v>115</v>
      </c>
      <c r="G985" s="3">
        <f t="shared" si="76"/>
        <v>499</v>
      </c>
      <c r="H985" s="3">
        <f t="shared" si="75"/>
        <v>115</v>
      </c>
      <c r="I985" s="14">
        <f t="shared" si="77"/>
        <v>384.23</v>
      </c>
      <c r="J985" s="14">
        <f t="shared" si="78"/>
        <v>-384</v>
      </c>
      <c r="K985" s="1">
        <v>0.77</v>
      </c>
      <c r="L985">
        <v>4</v>
      </c>
      <c r="M985" s="2">
        <v>7732</v>
      </c>
      <c r="N985" t="s">
        <v>212</v>
      </c>
      <c r="O985">
        <f t="shared" si="79"/>
        <v>1</v>
      </c>
      <c r="P985" s="12" t="e">
        <f>HYPERLINK(#REF!,"Link")</f>
        <v>#REF!</v>
      </c>
      <c r="Q985" s="12" t="e">
        <f>HYPERLINK(#REF!,"Link")</f>
        <v>#REF!</v>
      </c>
    </row>
    <row r="986" spans="1:17" x14ac:dyDescent="0.3">
      <c r="A986" t="s">
        <v>2331</v>
      </c>
      <c r="B986" t="s">
        <v>2332</v>
      </c>
      <c r="C986" s="10" t="s">
        <v>3920</v>
      </c>
      <c r="D986" s="10" t="s">
        <v>3921</v>
      </c>
      <c r="E986" s="14">
        <v>230</v>
      </c>
      <c r="F986" s="3">
        <v>230</v>
      </c>
      <c r="G986" s="3">
        <f t="shared" si="76"/>
        <v>920</v>
      </c>
      <c r="H986" s="3">
        <f t="shared" si="75"/>
        <v>920</v>
      </c>
      <c r="I986" s="14">
        <f t="shared" si="77"/>
        <v>0</v>
      </c>
      <c r="J986" s="14">
        <f t="shared" si="78"/>
        <v>0</v>
      </c>
      <c r="K986" s="1">
        <v>0</v>
      </c>
      <c r="L986">
        <v>4.5</v>
      </c>
      <c r="M986" s="2">
        <v>9427</v>
      </c>
      <c r="N986" t="s">
        <v>2333</v>
      </c>
      <c r="O986">
        <f t="shared" si="79"/>
        <v>4</v>
      </c>
      <c r="P986" s="12" t="e">
        <f>HYPERLINK(#REF!,"Link")</f>
        <v>#REF!</v>
      </c>
      <c r="Q986" s="12" t="e">
        <f>HYPERLINK(#REF!,"Link")</f>
        <v>#REF!</v>
      </c>
    </row>
    <row r="987" spans="1:17" x14ac:dyDescent="0.3">
      <c r="A987" t="s">
        <v>213</v>
      </c>
      <c r="B987" t="s">
        <v>214</v>
      </c>
      <c r="C987" s="9" t="s">
        <v>3859</v>
      </c>
      <c r="D987" s="9" t="s">
        <v>3918</v>
      </c>
      <c r="E987" s="14">
        <v>999</v>
      </c>
      <c r="F987" s="3">
        <v>399</v>
      </c>
      <c r="G987" s="3">
        <f t="shared" si="76"/>
        <v>1998</v>
      </c>
      <c r="H987" s="3">
        <f t="shared" si="75"/>
        <v>798</v>
      </c>
      <c r="I987" s="14">
        <f t="shared" si="77"/>
        <v>1198.8</v>
      </c>
      <c r="J987" s="14">
        <f t="shared" si="78"/>
        <v>-1200</v>
      </c>
      <c r="K987" s="1">
        <v>0.6</v>
      </c>
      <c r="L987">
        <v>4.0999999999999996</v>
      </c>
      <c r="M987" s="2">
        <v>1780</v>
      </c>
      <c r="N987" t="s">
        <v>215</v>
      </c>
      <c r="O987">
        <f t="shared" si="79"/>
        <v>2</v>
      </c>
      <c r="P987" s="12" t="e">
        <f>HYPERLINK(#REF!,"Link")</f>
        <v>#REF!</v>
      </c>
      <c r="Q987" s="12" t="e">
        <f>HYPERLINK(#REF!,"Link")</f>
        <v>#REF!</v>
      </c>
    </row>
    <row r="988" spans="1:17" x14ac:dyDescent="0.3">
      <c r="A988" t="s">
        <v>2334</v>
      </c>
      <c r="B988" t="s">
        <v>2335</v>
      </c>
      <c r="C988" s="10" t="s">
        <v>3859</v>
      </c>
      <c r="D988" s="10" t="s">
        <v>3922</v>
      </c>
      <c r="E988" s="14">
        <v>700</v>
      </c>
      <c r="F988" s="3">
        <v>599</v>
      </c>
      <c r="G988" s="3">
        <f t="shared" si="76"/>
        <v>2800</v>
      </c>
      <c r="H988" s="3">
        <f t="shared" si="75"/>
        <v>2396</v>
      </c>
      <c r="I988" s="14">
        <f t="shared" si="77"/>
        <v>392.00000000000006</v>
      </c>
      <c r="J988" s="14">
        <f t="shared" si="78"/>
        <v>-404</v>
      </c>
      <c r="K988" s="1">
        <v>0.14000000000000001</v>
      </c>
      <c r="L988">
        <v>4.3</v>
      </c>
      <c r="M988" s="2">
        <v>2301</v>
      </c>
      <c r="N988" t="s">
        <v>2336</v>
      </c>
      <c r="O988">
        <f t="shared" si="79"/>
        <v>4</v>
      </c>
      <c r="P988" s="12" t="e">
        <f>HYPERLINK(#REF!,"Link")</f>
        <v>#REF!</v>
      </c>
      <c r="Q988" s="12" t="e">
        <f>HYPERLINK(#REF!,"Link")</f>
        <v>#REF!</v>
      </c>
    </row>
    <row r="989" spans="1:17" x14ac:dyDescent="0.3">
      <c r="A989" t="s">
        <v>2337</v>
      </c>
      <c r="B989" t="s">
        <v>2338</v>
      </c>
      <c r="C989" s="9" t="s">
        <v>3891</v>
      </c>
      <c r="D989" s="9" t="s">
        <v>3923</v>
      </c>
      <c r="E989" s="14">
        <v>1150</v>
      </c>
      <c r="F989" s="3">
        <v>598</v>
      </c>
      <c r="G989" s="3">
        <f t="shared" si="76"/>
        <v>2300</v>
      </c>
      <c r="H989" s="3">
        <f t="shared" si="75"/>
        <v>1196</v>
      </c>
      <c r="I989" s="14">
        <f t="shared" si="77"/>
        <v>1104</v>
      </c>
      <c r="J989" s="14">
        <f t="shared" si="78"/>
        <v>-1104</v>
      </c>
      <c r="K989" s="1">
        <v>0.48</v>
      </c>
      <c r="L989">
        <v>4.0999999999999996</v>
      </c>
      <c r="M989" s="2">
        <v>2535</v>
      </c>
      <c r="N989" t="s">
        <v>2339</v>
      </c>
      <c r="O989">
        <f t="shared" si="79"/>
        <v>2</v>
      </c>
      <c r="P989" s="12" t="e">
        <f>HYPERLINK(#REF!,"Link")</f>
        <v>#REF!</v>
      </c>
      <c r="Q989" s="12" t="e">
        <f>HYPERLINK(#REF!,"Link")</f>
        <v>#REF!</v>
      </c>
    </row>
    <row r="990" spans="1:17" x14ac:dyDescent="0.3">
      <c r="A990" t="s">
        <v>2340</v>
      </c>
      <c r="B990" t="s">
        <v>2214</v>
      </c>
      <c r="C990" s="10" t="s">
        <v>3891</v>
      </c>
      <c r="D990" s="10" t="s">
        <v>3924</v>
      </c>
      <c r="E990" s="14">
        <v>1499</v>
      </c>
      <c r="F990" s="3">
        <v>399</v>
      </c>
      <c r="G990" s="3">
        <f t="shared" si="76"/>
        <v>2998</v>
      </c>
      <c r="H990" s="3">
        <f t="shared" si="75"/>
        <v>798</v>
      </c>
      <c r="I990" s="14">
        <f t="shared" si="77"/>
        <v>2188.54</v>
      </c>
      <c r="J990" s="14">
        <f t="shared" si="78"/>
        <v>-2200</v>
      </c>
      <c r="K990" s="1">
        <v>0.73</v>
      </c>
      <c r="L990">
        <v>4</v>
      </c>
      <c r="M990">
        <v>691</v>
      </c>
      <c r="N990" t="s">
        <v>2341</v>
      </c>
      <c r="O990">
        <f t="shared" si="79"/>
        <v>2</v>
      </c>
      <c r="P990" s="12" t="e">
        <f>HYPERLINK(#REF!,"Link")</f>
        <v>#REF!</v>
      </c>
      <c r="Q990" s="12" t="e">
        <f>HYPERLINK(#REF!,"Link")</f>
        <v>#REF!</v>
      </c>
    </row>
    <row r="991" spans="1:17" x14ac:dyDescent="0.3">
      <c r="A991" t="s">
        <v>2342</v>
      </c>
      <c r="B991" t="s">
        <v>2343</v>
      </c>
      <c r="C991" s="9" t="s">
        <v>3891</v>
      </c>
      <c r="D991" s="9" t="s">
        <v>3925</v>
      </c>
      <c r="E991" s="14">
        <v>1299</v>
      </c>
      <c r="F991" s="3">
        <v>499</v>
      </c>
      <c r="G991" s="3">
        <f t="shared" si="76"/>
        <v>2598</v>
      </c>
      <c r="H991" s="3">
        <f t="shared" si="75"/>
        <v>998</v>
      </c>
      <c r="I991" s="14">
        <f t="shared" si="77"/>
        <v>1610.76</v>
      </c>
      <c r="J991" s="14">
        <f t="shared" si="78"/>
        <v>-1600</v>
      </c>
      <c r="K991" s="1">
        <v>0.62</v>
      </c>
      <c r="L991">
        <v>4.0999999999999996</v>
      </c>
      <c r="M991" s="2">
        <v>2740</v>
      </c>
      <c r="N991" t="s">
        <v>2344</v>
      </c>
      <c r="O991">
        <f t="shared" si="79"/>
        <v>2</v>
      </c>
      <c r="P991" s="12" t="e">
        <f>HYPERLINK(#REF!,"Link")</f>
        <v>#REF!</v>
      </c>
      <c r="Q991" s="12" t="e">
        <f>HYPERLINK(#REF!,"Link")</f>
        <v>#REF!</v>
      </c>
    </row>
    <row r="992" spans="1:17" x14ac:dyDescent="0.3">
      <c r="A992" t="s">
        <v>216</v>
      </c>
      <c r="B992" t="s">
        <v>217</v>
      </c>
      <c r="C992" s="10" t="s">
        <v>3859</v>
      </c>
      <c r="D992" s="10" t="s">
        <v>3926</v>
      </c>
      <c r="E992" s="14">
        <v>499</v>
      </c>
      <c r="F992" s="3">
        <v>199</v>
      </c>
      <c r="G992" s="3">
        <f t="shared" si="76"/>
        <v>499</v>
      </c>
      <c r="H992" s="3">
        <f t="shared" si="75"/>
        <v>199</v>
      </c>
      <c r="I992" s="14">
        <f t="shared" si="77"/>
        <v>299.39999999999998</v>
      </c>
      <c r="J992" s="14">
        <f t="shared" si="78"/>
        <v>-300</v>
      </c>
      <c r="K992" s="1">
        <v>0.6</v>
      </c>
      <c r="L992">
        <v>4.0999999999999996</v>
      </c>
      <c r="M992">
        <v>602</v>
      </c>
      <c r="N992" t="s">
        <v>218</v>
      </c>
      <c r="O992">
        <f t="shared" si="79"/>
        <v>1</v>
      </c>
      <c r="P992" s="12" t="e">
        <f>HYPERLINK(#REF!,"Link")</f>
        <v>#REF!</v>
      </c>
      <c r="Q992" s="12" t="e">
        <f>HYPERLINK(#REF!,"Link")</f>
        <v>#REF!</v>
      </c>
    </row>
    <row r="993" spans="1:17" x14ac:dyDescent="0.3">
      <c r="A993" t="s">
        <v>2345</v>
      </c>
      <c r="B993" t="s">
        <v>2346</v>
      </c>
      <c r="C993" s="9" t="s">
        <v>3927</v>
      </c>
      <c r="D993" s="9" t="s">
        <v>3928</v>
      </c>
      <c r="E993" s="14">
        <v>1090</v>
      </c>
      <c r="F993" s="3">
        <v>579</v>
      </c>
      <c r="G993" s="3">
        <f t="shared" si="76"/>
        <v>2180</v>
      </c>
      <c r="H993" s="3">
        <f t="shared" si="75"/>
        <v>1158</v>
      </c>
      <c r="I993" s="14">
        <f t="shared" si="77"/>
        <v>1024.5999999999999</v>
      </c>
      <c r="J993" s="14">
        <f t="shared" si="78"/>
        <v>-1022</v>
      </c>
      <c r="K993" s="1">
        <v>0.47</v>
      </c>
      <c r="L993">
        <v>4.4000000000000004</v>
      </c>
      <c r="M993" s="2">
        <v>3482</v>
      </c>
      <c r="N993" t="s">
        <v>2347</v>
      </c>
      <c r="O993">
        <f t="shared" si="79"/>
        <v>2</v>
      </c>
      <c r="P993" s="12" t="e">
        <f>HYPERLINK(#REF!,"Link")</f>
        <v>#REF!</v>
      </c>
      <c r="Q993" s="12" t="e">
        <f>HYPERLINK(#REF!,"Link")</f>
        <v>#REF!</v>
      </c>
    </row>
    <row r="994" spans="1:17" x14ac:dyDescent="0.3">
      <c r="A994" t="s">
        <v>219</v>
      </c>
      <c r="B994" t="s">
        <v>97</v>
      </c>
      <c r="C994" s="10" t="s">
        <v>3859</v>
      </c>
      <c r="D994" s="10" t="s">
        <v>3929</v>
      </c>
      <c r="E994" s="14">
        <v>399</v>
      </c>
      <c r="F994" s="3">
        <v>179</v>
      </c>
      <c r="G994" s="3">
        <f t="shared" si="76"/>
        <v>798</v>
      </c>
      <c r="H994" s="3">
        <f t="shared" si="75"/>
        <v>358</v>
      </c>
      <c r="I994" s="14">
        <f t="shared" si="77"/>
        <v>438.90000000000003</v>
      </c>
      <c r="J994" s="14">
        <f t="shared" si="78"/>
        <v>-440</v>
      </c>
      <c r="K994" s="1">
        <v>0.55000000000000004</v>
      </c>
      <c r="L994">
        <v>4</v>
      </c>
      <c r="M994" s="2">
        <v>1423</v>
      </c>
      <c r="N994" t="s">
        <v>220</v>
      </c>
      <c r="O994">
        <f t="shared" si="79"/>
        <v>2</v>
      </c>
      <c r="P994" s="12" t="e">
        <f>HYPERLINK(#REF!,"Link")</f>
        <v>#REF!</v>
      </c>
      <c r="Q994" s="12" t="e">
        <f>HYPERLINK(#REF!,"Link")</f>
        <v>#REF!</v>
      </c>
    </row>
    <row r="995" spans="1:17" x14ac:dyDescent="0.3">
      <c r="A995" t="s">
        <v>2348</v>
      </c>
      <c r="B995" t="s">
        <v>2349</v>
      </c>
      <c r="C995" s="9" t="s">
        <v>3885</v>
      </c>
      <c r="D995" s="9" t="s">
        <v>3930</v>
      </c>
      <c r="E995" s="14">
        <v>100</v>
      </c>
      <c r="F995" s="3">
        <v>90</v>
      </c>
      <c r="G995" s="3">
        <f t="shared" si="76"/>
        <v>200</v>
      </c>
      <c r="H995" s="3">
        <f t="shared" si="75"/>
        <v>180</v>
      </c>
      <c r="I995" s="14">
        <f t="shared" si="77"/>
        <v>20</v>
      </c>
      <c r="J995" s="14">
        <f t="shared" si="78"/>
        <v>-20</v>
      </c>
      <c r="K995" s="1">
        <v>0.1</v>
      </c>
      <c r="L995">
        <v>4.0999999999999996</v>
      </c>
      <c r="M995" s="2">
        <v>6199</v>
      </c>
      <c r="N995" t="s">
        <v>2350</v>
      </c>
      <c r="O995">
        <f t="shared" si="79"/>
        <v>2</v>
      </c>
      <c r="P995" s="12" t="e">
        <f>HYPERLINK(#REF!,"Link")</f>
        <v>#REF!</v>
      </c>
      <c r="Q995" s="12" t="e">
        <f>HYPERLINK(#REF!,"Link")</f>
        <v>#REF!</v>
      </c>
    </row>
    <row r="996" spans="1:17" x14ac:dyDescent="0.3">
      <c r="A996" t="s">
        <v>2351</v>
      </c>
      <c r="B996" t="s">
        <v>2352</v>
      </c>
      <c r="C996" s="10" t="s">
        <v>3864</v>
      </c>
      <c r="D996" s="10" t="s">
        <v>3880</v>
      </c>
      <c r="E996" s="14">
        <v>1999</v>
      </c>
      <c r="F996" s="3">
        <v>899</v>
      </c>
      <c r="G996" s="3">
        <f t="shared" si="76"/>
        <v>5997</v>
      </c>
      <c r="H996" s="3">
        <f t="shared" si="75"/>
        <v>2697</v>
      </c>
      <c r="I996" s="14">
        <f t="shared" si="77"/>
        <v>3298.3500000000004</v>
      </c>
      <c r="J996" s="14">
        <f t="shared" si="78"/>
        <v>-3300</v>
      </c>
      <c r="K996" s="1">
        <v>0.55000000000000004</v>
      </c>
      <c r="L996">
        <v>4.4000000000000004</v>
      </c>
      <c r="M996" s="2">
        <v>1667</v>
      </c>
      <c r="N996" t="s">
        <v>2353</v>
      </c>
      <c r="O996">
        <f t="shared" si="79"/>
        <v>3</v>
      </c>
      <c r="P996" s="12" t="e">
        <f>HYPERLINK(#REF!,"Link")</f>
        <v>#REF!</v>
      </c>
      <c r="Q996" s="12" t="e">
        <f>HYPERLINK(#REF!,"Link")</f>
        <v>#REF!</v>
      </c>
    </row>
    <row r="997" spans="1:17" x14ac:dyDescent="0.3">
      <c r="A997" t="s">
        <v>2354</v>
      </c>
      <c r="B997" t="s">
        <v>2355</v>
      </c>
      <c r="C997" s="10" t="s">
        <v>3725</v>
      </c>
      <c r="D997" s="10" t="s">
        <v>3726</v>
      </c>
      <c r="E997" s="14">
        <v>1800</v>
      </c>
      <c r="F997" s="3">
        <v>1149</v>
      </c>
      <c r="G997" s="3">
        <f t="shared" si="76"/>
        <v>1800</v>
      </c>
      <c r="H997" s="3">
        <f t="shared" si="75"/>
        <v>1149</v>
      </c>
      <c r="I997" s="14">
        <f t="shared" si="77"/>
        <v>648</v>
      </c>
      <c r="J997" s="14">
        <f t="shared" si="78"/>
        <v>-651</v>
      </c>
      <c r="K997" s="1">
        <v>0.36</v>
      </c>
      <c r="L997">
        <v>4.3</v>
      </c>
      <c r="M997" s="2">
        <v>4723</v>
      </c>
      <c r="N997" t="s">
        <v>2356</v>
      </c>
      <c r="O997">
        <f t="shared" si="79"/>
        <v>1</v>
      </c>
      <c r="P997" s="12" t="e">
        <f>HYPERLINK(#REF!,"Link")</f>
        <v>#REF!</v>
      </c>
      <c r="Q997" s="12" t="e">
        <f>HYPERLINK(#REF!,"Link")</f>
        <v>#REF!</v>
      </c>
    </row>
    <row r="998" spans="1:17" x14ac:dyDescent="0.3">
      <c r="A998" t="s">
        <v>2357</v>
      </c>
      <c r="B998" t="s">
        <v>2358</v>
      </c>
      <c r="C998" s="9" t="s">
        <v>3727</v>
      </c>
      <c r="D998" s="9" t="s">
        <v>3728</v>
      </c>
      <c r="E998" s="14">
        <v>499</v>
      </c>
      <c r="F998" s="3">
        <v>249</v>
      </c>
      <c r="G998" s="3">
        <f t="shared" si="76"/>
        <v>2495</v>
      </c>
      <c r="H998" s="3">
        <f t="shared" si="75"/>
        <v>1245</v>
      </c>
      <c r="I998" s="14">
        <f t="shared" si="77"/>
        <v>1247.5</v>
      </c>
      <c r="J998" s="14">
        <f t="shared" si="78"/>
        <v>-1250</v>
      </c>
      <c r="K998" s="1">
        <v>0.5</v>
      </c>
      <c r="L998">
        <v>4.2</v>
      </c>
      <c r="M998" s="2">
        <v>22860</v>
      </c>
      <c r="N998" t="s">
        <v>2359</v>
      </c>
      <c r="O998">
        <f t="shared" si="79"/>
        <v>5</v>
      </c>
      <c r="P998" s="12" t="e">
        <f>HYPERLINK(#REF!,"Link")</f>
        <v>#REF!</v>
      </c>
      <c r="Q998" s="12" t="e">
        <f>HYPERLINK(#REF!,"Link")</f>
        <v>#REF!</v>
      </c>
    </row>
    <row r="999" spans="1:17" x14ac:dyDescent="0.3">
      <c r="A999" t="s">
        <v>2360</v>
      </c>
      <c r="B999" t="s">
        <v>2361</v>
      </c>
      <c r="C999" s="10" t="s">
        <v>3729</v>
      </c>
      <c r="D999" s="10" t="s">
        <v>3726</v>
      </c>
      <c r="E999" s="14">
        <v>39</v>
      </c>
      <c r="F999" s="3">
        <v>39</v>
      </c>
      <c r="G999" s="3">
        <f t="shared" si="76"/>
        <v>78</v>
      </c>
      <c r="H999" s="3">
        <f t="shared" si="75"/>
        <v>78</v>
      </c>
      <c r="I999" s="14">
        <f t="shared" si="77"/>
        <v>0</v>
      </c>
      <c r="J999" s="14">
        <f t="shared" si="78"/>
        <v>0</v>
      </c>
      <c r="K999" s="1">
        <v>0</v>
      </c>
      <c r="L999">
        <v>3.6</v>
      </c>
      <c r="M999" s="2">
        <v>13572</v>
      </c>
      <c r="N999" t="s">
        <v>2362</v>
      </c>
      <c r="O999">
        <f t="shared" si="79"/>
        <v>2</v>
      </c>
      <c r="P999" s="12" t="e">
        <f>HYPERLINK(#REF!,"Link")</f>
        <v>#REF!</v>
      </c>
      <c r="Q999" s="12" t="e">
        <f>HYPERLINK(#REF!,"Link")</f>
        <v>#REF!</v>
      </c>
    </row>
    <row r="1000" spans="1:17" x14ac:dyDescent="0.3">
      <c r="A1000" t="s">
        <v>2363</v>
      </c>
      <c r="B1000" t="s">
        <v>2364</v>
      </c>
      <c r="C1000" s="9" t="s">
        <v>3730</v>
      </c>
      <c r="D1000" s="9" t="s">
        <v>3731</v>
      </c>
      <c r="E1000" s="14">
        <v>3599</v>
      </c>
      <c r="F1000" s="3">
        <v>1599</v>
      </c>
      <c r="G1000" s="3">
        <f t="shared" si="76"/>
        <v>10797</v>
      </c>
      <c r="H1000" s="3">
        <f t="shared" si="75"/>
        <v>4797</v>
      </c>
      <c r="I1000" s="14">
        <f t="shared" si="77"/>
        <v>6046.3200000000006</v>
      </c>
      <c r="J1000" s="14">
        <f t="shared" si="78"/>
        <v>-6000</v>
      </c>
      <c r="K1000" s="1">
        <v>0.56000000000000005</v>
      </c>
      <c r="L1000">
        <v>4.2</v>
      </c>
      <c r="M1000" s="2">
        <v>16182</v>
      </c>
      <c r="N1000" t="s">
        <v>2365</v>
      </c>
      <c r="O1000">
        <f t="shared" si="79"/>
        <v>3</v>
      </c>
      <c r="P1000" s="12" t="e">
        <f>HYPERLINK(#REF!,"Link")</f>
        <v>#REF!</v>
      </c>
      <c r="Q1000" s="12" t="e">
        <f>HYPERLINK(#REF!,"Link")</f>
        <v>#REF!</v>
      </c>
    </row>
    <row r="1001" spans="1:17" x14ac:dyDescent="0.3">
      <c r="A1001" t="s">
        <v>2366</v>
      </c>
      <c r="B1001" t="s">
        <v>2367</v>
      </c>
      <c r="C1001" s="10" t="s">
        <v>3729</v>
      </c>
      <c r="D1001" s="10" t="s">
        <v>3732</v>
      </c>
      <c r="E1001" s="14">
        <v>3990</v>
      </c>
      <c r="F1001" s="3">
        <v>1199</v>
      </c>
      <c r="G1001" s="3">
        <f t="shared" si="76"/>
        <v>11970</v>
      </c>
      <c r="H1001" s="3">
        <f t="shared" si="75"/>
        <v>3597</v>
      </c>
      <c r="I1001" s="14">
        <f t="shared" si="77"/>
        <v>8379</v>
      </c>
      <c r="J1001" s="14">
        <f t="shared" si="78"/>
        <v>-8373</v>
      </c>
      <c r="K1001" s="1">
        <v>0.7</v>
      </c>
      <c r="L1001">
        <v>4.2</v>
      </c>
      <c r="M1001" s="2">
        <v>2908</v>
      </c>
      <c r="N1001" t="s">
        <v>2368</v>
      </c>
      <c r="O1001">
        <f t="shared" si="79"/>
        <v>3</v>
      </c>
      <c r="P1001" s="12" t="e">
        <f>HYPERLINK(#REF!,"Link")</f>
        <v>#REF!</v>
      </c>
      <c r="Q1001" s="12" t="e">
        <f>HYPERLINK(#REF!,"Link")</f>
        <v>#REF!</v>
      </c>
    </row>
    <row r="1002" spans="1:17" x14ac:dyDescent="0.3">
      <c r="A1002" t="s">
        <v>224</v>
      </c>
      <c r="B1002" t="s">
        <v>225</v>
      </c>
      <c r="C1002" s="9" t="s">
        <v>3730</v>
      </c>
      <c r="D1002" s="9" t="s">
        <v>3733</v>
      </c>
      <c r="E1002" s="14">
        <v>499</v>
      </c>
      <c r="F1002" s="3">
        <v>209</v>
      </c>
      <c r="G1002" s="3">
        <f t="shared" si="76"/>
        <v>1497</v>
      </c>
      <c r="H1002" s="3">
        <f t="shared" si="75"/>
        <v>627</v>
      </c>
      <c r="I1002" s="14">
        <f t="shared" si="77"/>
        <v>868.25999999999988</v>
      </c>
      <c r="J1002" s="14">
        <f t="shared" si="78"/>
        <v>-870</v>
      </c>
      <c r="K1002" s="1">
        <v>0.57999999999999996</v>
      </c>
      <c r="L1002">
        <v>3.9</v>
      </c>
      <c r="M1002">
        <v>536</v>
      </c>
      <c r="N1002" t="s">
        <v>226</v>
      </c>
      <c r="O1002">
        <f t="shared" si="79"/>
        <v>3</v>
      </c>
      <c r="P1002" s="12" t="e">
        <f>HYPERLINK(#REF!,"Link")</f>
        <v>#REF!</v>
      </c>
      <c r="Q1002" s="12" t="e">
        <f>HYPERLINK(#REF!,"Link")</f>
        <v>#REF!</v>
      </c>
    </row>
    <row r="1003" spans="1:17" x14ac:dyDescent="0.3">
      <c r="A1003" t="s">
        <v>2369</v>
      </c>
      <c r="B1003" t="s">
        <v>2370</v>
      </c>
      <c r="C1003" s="10" t="s">
        <v>3729</v>
      </c>
      <c r="D1003" s="10" t="s">
        <v>3734</v>
      </c>
      <c r="E1003" s="14">
        <v>1499</v>
      </c>
      <c r="F1003" s="3">
        <v>1099</v>
      </c>
      <c r="G1003" s="3">
        <f t="shared" si="76"/>
        <v>4497</v>
      </c>
      <c r="H1003" s="3">
        <f t="shared" si="75"/>
        <v>3297</v>
      </c>
      <c r="I1003" s="14">
        <f t="shared" si="77"/>
        <v>1214.19</v>
      </c>
      <c r="J1003" s="14">
        <f t="shared" si="78"/>
        <v>-1200</v>
      </c>
      <c r="K1003" s="1">
        <v>0.27</v>
      </c>
      <c r="L1003">
        <v>4.2</v>
      </c>
      <c r="M1003" s="2">
        <v>2375</v>
      </c>
      <c r="N1003" t="s">
        <v>2371</v>
      </c>
      <c r="O1003">
        <f t="shared" si="79"/>
        <v>3</v>
      </c>
      <c r="P1003" s="12" t="e">
        <f>HYPERLINK(#REF!,"Link")</f>
        <v>#REF!</v>
      </c>
      <c r="Q1003" s="12" t="e">
        <f>HYPERLINK(#REF!,"Link")</f>
        <v>#REF!</v>
      </c>
    </row>
    <row r="1004" spans="1:17" x14ac:dyDescent="0.3">
      <c r="A1004" t="s">
        <v>2372</v>
      </c>
      <c r="B1004" t="s">
        <v>2373</v>
      </c>
      <c r="C1004" s="9" t="s">
        <v>3729</v>
      </c>
      <c r="D1004" s="9" t="s">
        <v>3726</v>
      </c>
      <c r="E1004" s="14">
        <v>120</v>
      </c>
      <c r="F1004" s="3">
        <v>120</v>
      </c>
      <c r="G1004" s="3">
        <f t="shared" si="76"/>
        <v>600</v>
      </c>
      <c r="H1004" s="3">
        <f t="shared" si="75"/>
        <v>600</v>
      </c>
      <c r="I1004" s="14">
        <f t="shared" si="77"/>
        <v>0</v>
      </c>
      <c r="J1004" s="14">
        <f t="shared" si="78"/>
        <v>0</v>
      </c>
      <c r="K1004" s="1">
        <v>0</v>
      </c>
      <c r="L1004">
        <v>4.5</v>
      </c>
      <c r="M1004" s="2">
        <v>4951</v>
      </c>
      <c r="N1004" t="s">
        <v>2374</v>
      </c>
      <c r="O1004">
        <f t="shared" si="79"/>
        <v>5</v>
      </c>
      <c r="P1004" s="12" t="e">
        <f>HYPERLINK(#REF!,"Link")</f>
        <v>#REF!</v>
      </c>
      <c r="Q1004" s="12" t="e">
        <f>HYPERLINK(#REF!,"Link")</f>
        <v>#REF!</v>
      </c>
    </row>
    <row r="1005" spans="1:17" x14ac:dyDescent="0.3">
      <c r="A1005" t="s">
        <v>2375</v>
      </c>
      <c r="B1005" t="s">
        <v>2376</v>
      </c>
      <c r="C1005" s="10" t="s">
        <v>3729</v>
      </c>
      <c r="D1005" s="10" t="s">
        <v>3735</v>
      </c>
      <c r="E1005" s="14">
        <v>3499</v>
      </c>
      <c r="F1005" s="3">
        <v>1519</v>
      </c>
      <c r="G1005" s="3">
        <f t="shared" si="76"/>
        <v>6998</v>
      </c>
      <c r="H1005" s="3">
        <f t="shared" si="75"/>
        <v>3038</v>
      </c>
      <c r="I1005" s="14">
        <f t="shared" si="77"/>
        <v>3988.8599999999997</v>
      </c>
      <c r="J1005" s="14">
        <f t="shared" si="78"/>
        <v>-3960</v>
      </c>
      <c r="K1005" s="1">
        <v>0.56999999999999995</v>
      </c>
      <c r="L1005">
        <v>4.3</v>
      </c>
      <c r="M1005">
        <v>408</v>
      </c>
      <c r="N1005" t="s">
        <v>2377</v>
      </c>
      <c r="O1005">
        <f t="shared" si="79"/>
        <v>2</v>
      </c>
      <c r="P1005" s="12" t="e">
        <f>HYPERLINK(#REF!,"Link")</f>
        <v>#REF!</v>
      </c>
      <c r="Q1005" s="12" t="e">
        <f>HYPERLINK(#REF!,"Link")</f>
        <v>#REF!</v>
      </c>
    </row>
    <row r="1006" spans="1:17" x14ac:dyDescent="0.3">
      <c r="A1006" t="s">
        <v>2378</v>
      </c>
      <c r="B1006" t="s">
        <v>2379</v>
      </c>
      <c r="C1006" s="9" t="s">
        <v>3729</v>
      </c>
      <c r="D1006" s="9" t="s">
        <v>3726</v>
      </c>
      <c r="E1006" s="14">
        <v>420</v>
      </c>
      <c r="F1006" s="3">
        <v>420</v>
      </c>
      <c r="G1006" s="3">
        <f t="shared" si="76"/>
        <v>420</v>
      </c>
      <c r="H1006" s="3">
        <f t="shared" si="75"/>
        <v>420</v>
      </c>
      <c r="I1006" s="14">
        <f t="shared" si="77"/>
        <v>0</v>
      </c>
      <c r="J1006" s="14">
        <f t="shared" si="78"/>
        <v>0</v>
      </c>
      <c r="K1006" s="1">
        <v>0</v>
      </c>
      <c r="L1006">
        <v>4.2</v>
      </c>
      <c r="M1006" s="2">
        <v>1926</v>
      </c>
      <c r="N1006" t="s">
        <v>980</v>
      </c>
      <c r="O1006">
        <f t="shared" si="79"/>
        <v>1</v>
      </c>
      <c r="P1006" s="12" t="e">
        <f>HYPERLINK(#REF!,"Link")</f>
        <v>#REF!</v>
      </c>
      <c r="Q1006" s="12" t="e">
        <f>HYPERLINK(#REF!,"Link")</f>
        <v>#REF!</v>
      </c>
    </row>
    <row r="1007" spans="1:17" x14ac:dyDescent="0.3">
      <c r="A1007" t="s">
        <v>2380</v>
      </c>
      <c r="B1007" t="s">
        <v>2381</v>
      </c>
      <c r="C1007" s="10" t="s">
        <v>3737</v>
      </c>
      <c r="D1007" s="10"/>
      <c r="E1007" s="14">
        <v>225</v>
      </c>
      <c r="F1007" s="3">
        <v>225</v>
      </c>
      <c r="G1007" s="3">
        <f t="shared" si="76"/>
        <v>675</v>
      </c>
      <c r="H1007" s="3">
        <f t="shared" si="75"/>
        <v>675</v>
      </c>
      <c r="I1007" s="14">
        <f t="shared" si="77"/>
        <v>0</v>
      </c>
      <c r="J1007" s="14">
        <f t="shared" si="78"/>
        <v>0</v>
      </c>
      <c r="K1007" s="1">
        <v>0</v>
      </c>
      <c r="L1007">
        <v>4.0999999999999996</v>
      </c>
      <c r="M1007" s="2">
        <v>4798</v>
      </c>
      <c r="N1007" t="s">
        <v>2382</v>
      </c>
      <c r="O1007">
        <f t="shared" si="79"/>
        <v>3</v>
      </c>
      <c r="P1007" s="12" t="e">
        <f>HYPERLINK(#REF!,"Link")</f>
        <v>#REF!</v>
      </c>
      <c r="Q1007" s="12" t="e">
        <f>HYPERLINK(#REF!,"Link")</f>
        <v>#REF!</v>
      </c>
    </row>
    <row r="1008" spans="1:17" x14ac:dyDescent="0.3">
      <c r="A1008" t="s">
        <v>2383</v>
      </c>
      <c r="B1008" t="s">
        <v>2384</v>
      </c>
      <c r="C1008" s="9" t="s">
        <v>3729</v>
      </c>
      <c r="D1008" s="9" t="s">
        <v>3738</v>
      </c>
      <c r="E1008" s="14">
        <v>799</v>
      </c>
      <c r="F1008" s="3">
        <v>199</v>
      </c>
      <c r="G1008" s="3">
        <f t="shared" si="76"/>
        <v>1598</v>
      </c>
      <c r="H1008" s="3">
        <f t="shared" si="75"/>
        <v>398</v>
      </c>
      <c r="I1008" s="14">
        <f t="shared" si="77"/>
        <v>1198.5</v>
      </c>
      <c r="J1008" s="14">
        <f t="shared" si="78"/>
        <v>-1200</v>
      </c>
      <c r="K1008" s="1">
        <v>0.75</v>
      </c>
      <c r="L1008">
        <v>4.0999999999999996</v>
      </c>
      <c r="M1008" s="2">
        <v>7333</v>
      </c>
      <c r="N1008" t="s">
        <v>2385</v>
      </c>
      <c r="O1008">
        <f t="shared" si="79"/>
        <v>2</v>
      </c>
      <c r="P1008" s="12" t="e">
        <f>HYPERLINK(#REF!,"Link")</f>
        <v>#REF!</v>
      </c>
      <c r="Q1008" s="12" t="e">
        <f>HYPERLINK(#REF!,"Link")</f>
        <v>#REF!</v>
      </c>
    </row>
    <row r="1009" spans="1:17" x14ac:dyDescent="0.3">
      <c r="A1009" t="s">
        <v>1357</v>
      </c>
      <c r="B1009" t="s">
        <v>1358</v>
      </c>
      <c r="C1009" s="10" t="s">
        <v>3739</v>
      </c>
      <c r="D1009" s="10" t="s">
        <v>3740</v>
      </c>
      <c r="E1009" s="14">
        <v>3999</v>
      </c>
      <c r="F1009" s="3">
        <v>1799</v>
      </c>
      <c r="G1009" s="3">
        <f t="shared" si="76"/>
        <v>7998</v>
      </c>
      <c r="H1009" s="3">
        <f t="shared" si="75"/>
        <v>3598</v>
      </c>
      <c r="I1009" s="14">
        <f t="shared" si="77"/>
        <v>4398.9000000000005</v>
      </c>
      <c r="J1009" s="14">
        <f t="shared" si="78"/>
        <v>-4400</v>
      </c>
      <c r="K1009" s="1">
        <v>0.55000000000000004</v>
      </c>
      <c r="L1009">
        <v>4.5999999999999996</v>
      </c>
      <c r="M1009">
        <v>245</v>
      </c>
      <c r="N1009" t="s">
        <v>1359</v>
      </c>
      <c r="O1009">
        <f t="shared" si="79"/>
        <v>2</v>
      </c>
      <c r="P1009" s="12" t="e">
        <f>HYPERLINK(#REF!,"Link")</f>
        <v>#REF!</v>
      </c>
      <c r="Q1009" s="12" t="e">
        <f>HYPERLINK(#REF!,"Link")</f>
        <v>#REF!</v>
      </c>
    </row>
    <row r="1010" spans="1:17" x14ac:dyDescent="0.3">
      <c r="A1010" t="s">
        <v>2386</v>
      </c>
      <c r="B1010" t="s">
        <v>2387</v>
      </c>
      <c r="C1010" s="9" t="s">
        <v>3725</v>
      </c>
      <c r="D1010" s="9" t="s">
        <v>3726</v>
      </c>
      <c r="E1010" s="14">
        <v>9625</v>
      </c>
      <c r="F1010" s="3">
        <v>8349</v>
      </c>
      <c r="G1010" s="3">
        <f t="shared" si="76"/>
        <v>28875</v>
      </c>
      <c r="H1010" s="3">
        <f t="shared" si="75"/>
        <v>25047</v>
      </c>
      <c r="I1010" s="14">
        <f t="shared" si="77"/>
        <v>3753.75</v>
      </c>
      <c r="J1010" s="14">
        <f t="shared" si="78"/>
        <v>-3828</v>
      </c>
      <c r="K1010" s="1">
        <v>0.13</v>
      </c>
      <c r="L1010">
        <v>3.8</v>
      </c>
      <c r="M1010" s="2">
        <v>3652</v>
      </c>
      <c r="N1010" t="s">
        <v>2388</v>
      </c>
      <c r="O1010">
        <f t="shared" si="79"/>
        <v>3</v>
      </c>
      <c r="P1010" s="12" t="e">
        <f>HYPERLINK(#REF!,"Link")</f>
        <v>#REF!</v>
      </c>
      <c r="Q1010" s="12" t="e">
        <f>HYPERLINK(#REF!,"Link")</f>
        <v>#REF!</v>
      </c>
    </row>
    <row r="1011" spans="1:17" x14ac:dyDescent="0.3">
      <c r="A1011" t="s">
        <v>2389</v>
      </c>
      <c r="B1011" t="s">
        <v>2390</v>
      </c>
      <c r="C1011" s="10" t="s">
        <v>3729</v>
      </c>
      <c r="D1011" s="10" t="s">
        <v>3726</v>
      </c>
      <c r="E1011" s="14">
        <v>6100</v>
      </c>
      <c r="F1011" s="3">
        <v>3307</v>
      </c>
      <c r="G1011" s="3">
        <f t="shared" si="76"/>
        <v>24400</v>
      </c>
      <c r="H1011" s="3">
        <f t="shared" si="75"/>
        <v>13228</v>
      </c>
      <c r="I1011" s="14">
        <f t="shared" si="77"/>
        <v>11224</v>
      </c>
      <c r="J1011" s="14">
        <f t="shared" si="78"/>
        <v>-11172</v>
      </c>
      <c r="K1011" s="1">
        <v>0.46</v>
      </c>
      <c r="L1011">
        <v>4.3</v>
      </c>
      <c r="M1011" s="2">
        <v>2515</v>
      </c>
      <c r="N1011" t="s">
        <v>2391</v>
      </c>
      <c r="O1011">
        <f t="shared" si="79"/>
        <v>4</v>
      </c>
      <c r="P1011" s="12" t="e">
        <f>HYPERLINK(#REF!,"Link")</f>
        <v>#REF!</v>
      </c>
      <c r="Q1011" s="12" t="e">
        <f>HYPERLINK(#REF!,"Link")</f>
        <v>#REF!</v>
      </c>
    </row>
    <row r="1012" spans="1:17" x14ac:dyDescent="0.3">
      <c r="A1012" t="s">
        <v>240</v>
      </c>
      <c r="B1012" t="s">
        <v>241</v>
      </c>
      <c r="C1012" s="9" t="s">
        <v>3741</v>
      </c>
      <c r="D1012" s="9" t="s">
        <v>3742</v>
      </c>
      <c r="E1012" s="14">
        <v>1299</v>
      </c>
      <c r="F1012" s="3">
        <v>325</v>
      </c>
      <c r="G1012" s="3">
        <f t="shared" si="76"/>
        <v>2598</v>
      </c>
      <c r="H1012" s="3">
        <f t="shared" si="75"/>
        <v>650</v>
      </c>
      <c r="I1012" s="14">
        <f t="shared" si="77"/>
        <v>1948.5</v>
      </c>
      <c r="J1012" s="14">
        <f t="shared" si="78"/>
        <v>-1948</v>
      </c>
      <c r="K1012" s="1">
        <v>0.75</v>
      </c>
      <c r="L1012">
        <v>4.2</v>
      </c>
      <c r="M1012" s="2">
        <v>10576</v>
      </c>
      <c r="N1012" t="s">
        <v>242</v>
      </c>
      <c r="O1012">
        <f t="shared" si="79"/>
        <v>2</v>
      </c>
      <c r="P1012" s="12" t="e">
        <f>HYPERLINK(#REF!,"Link")</f>
        <v>#REF!</v>
      </c>
      <c r="Q1012" s="12" t="e">
        <f>HYPERLINK(#REF!,"Link")</f>
        <v>#REF!</v>
      </c>
    </row>
    <row r="1013" spans="1:17" x14ac:dyDescent="0.3">
      <c r="A1013" t="s">
        <v>2392</v>
      </c>
      <c r="B1013" t="s">
        <v>2393</v>
      </c>
      <c r="C1013" s="10" t="s">
        <v>3743</v>
      </c>
      <c r="D1013" s="10"/>
      <c r="E1013" s="14">
        <v>1300</v>
      </c>
      <c r="F1013" s="3">
        <v>449</v>
      </c>
      <c r="G1013" s="3">
        <f t="shared" si="76"/>
        <v>3900</v>
      </c>
      <c r="H1013" s="3">
        <f t="shared" si="75"/>
        <v>1347</v>
      </c>
      <c r="I1013" s="14">
        <f t="shared" si="77"/>
        <v>2535</v>
      </c>
      <c r="J1013" s="14">
        <f t="shared" si="78"/>
        <v>-2553</v>
      </c>
      <c r="K1013" s="1">
        <v>0.65</v>
      </c>
      <c r="L1013">
        <v>4.2</v>
      </c>
      <c r="M1013" s="2">
        <v>4959</v>
      </c>
      <c r="N1013" t="s">
        <v>2394</v>
      </c>
      <c r="O1013">
        <f t="shared" si="79"/>
        <v>3</v>
      </c>
      <c r="P1013" s="12" t="e">
        <f>HYPERLINK(#REF!,"Link")</f>
        <v>#REF!</v>
      </c>
      <c r="Q1013" s="12" t="e">
        <f>HYPERLINK(#REF!,"Link")</f>
        <v>#REF!</v>
      </c>
    </row>
    <row r="1014" spans="1:17" x14ac:dyDescent="0.3">
      <c r="A1014" t="s">
        <v>2395</v>
      </c>
      <c r="B1014" t="s">
        <v>2396</v>
      </c>
      <c r="C1014" s="9" t="s">
        <v>3744</v>
      </c>
      <c r="D1014" s="9" t="s">
        <v>3745</v>
      </c>
      <c r="E1014" s="14">
        <v>400</v>
      </c>
      <c r="F1014" s="3">
        <v>380</v>
      </c>
      <c r="G1014" s="3">
        <f t="shared" si="76"/>
        <v>400</v>
      </c>
      <c r="H1014" s="3">
        <f t="shared" si="75"/>
        <v>380</v>
      </c>
      <c r="I1014" s="14">
        <f t="shared" si="77"/>
        <v>20</v>
      </c>
      <c r="J1014" s="14">
        <f t="shared" si="78"/>
        <v>-20</v>
      </c>
      <c r="K1014" s="1">
        <v>0.05</v>
      </c>
      <c r="L1014">
        <v>4.4000000000000004</v>
      </c>
      <c r="M1014" s="2">
        <v>2111</v>
      </c>
      <c r="N1014" t="s">
        <v>2397</v>
      </c>
      <c r="O1014">
        <f t="shared" si="79"/>
        <v>1</v>
      </c>
      <c r="P1014" s="12" t="e">
        <f>HYPERLINK(#REF!,"Link")</f>
        <v>#REF!</v>
      </c>
      <c r="Q1014" s="12" t="e">
        <f>HYPERLINK(#REF!,"Link")</f>
        <v>#REF!</v>
      </c>
    </row>
    <row r="1015" spans="1:17" x14ac:dyDescent="0.3">
      <c r="A1015" t="s">
        <v>2398</v>
      </c>
      <c r="B1015" t="s">
        <v>2399</v>
      </c>
      <c r="C1015" s="10" t="s">
        <v>3729</v>
      </c>
      <c r="D1015" s="10" t="s">
        <v>3746</v>
      </c>
      <c r="E1015" s="14">
        <v>1399</v>
      </c>
      <c r="F1015" s="3">
        <v>499</v>
      </c>
      <c r="G1015" s="3">
        <f t="shared" si="76"/>
        <v>1399</v>
      </c>
      <c r="H1015" s="3">
        <f t="shared" si="75"/>
        <v>499</v>
      </c>
      <c r="I1015" s="14">
        <f t="shared" si="77"/>
        <v>895.36</v>
      </c>
      <c r="J1015" s="14">
        <f t="shared" si="78"/>
        <v>-900</v>
      </c>
      <c r="K1015" s="1">
        <v>0.64</v>
      </c>
      <c r="L1015">
        <v>3.9</v>
      </c>
      <c r="M1015" s="2">
        <v>1462</v>
      </c>
      <c r="N1015" t="s">
        <v>2400</v>
      </c>
      <c r="O1015">
        <f t="shared" si="79"/>
        <v>1</v>
      </c>
      <c r="P1015" s="12" t="e">
        <f>HYPERLINK(#REF!,"Link")</f>
        <v>#REF!</v>
      </c>
      <c r="Q1015" s="12" t="e">
        <f>HYPERLINK(#REF!,"Link")</f>
        <v>#REF!</v>
      </c>
    </row>
    <row r="1016" spans="1:17" x14ac:dyDescent="0.3">
      <c r="A1016" t="s">
        <v>2401</v>
      </c>
      <c r="B1016" t="s">
        <v>2402</v>
      </c>
      <c r="C1016" s="9" t="s">
        <v>3747</v>
      </c>
      <c r="D1016" s="9"/>
      <c r="E1016" s="14">
        <v>59890</v>
      </c>
      <c r="F1016" s="3">
        <v>37247</v>
      </c>
      <c r="G1016" s="3">
        <f t="shared" si="76"/>
        <v>179670</v>
      </c>
      <c r="H1016" s="3">
        <f t="shared" si="75"/>
        <v>111741</v>
      </c>
      <c r="I1016" s="14">
        <f t="shared" si="77"/>
        <v>68274.600000000006</v>
      </c>
      <c r="J1016" s="14">
        <f t="shared" si="78"/>
        <v>-67929</v>
      </c>
      <c r="K1016" s="1">
        <v>0.38</v>
      </c>
      <c r="L1016">
        <v>4</v>
      </c>
      <c r="M1016">
        <v>323</v>
      </c>
      <c r="N1016" t="s">
        <v>2403</v>
      </c>
      <c r="O1016">
        <f t="shared" si="79"/>
        <v>3</v>
      </c>
      <c r="P1016" s="12" t="e">
        <f>HYPERLINK(#REF!,"Link")</f>
        <v>#REF!</v>
      </c>
      <c r="Q1016" s="12" t="e">
        <f>HYPERLINK(#REF!,"Link")</f>
        <v>#REF!</v>
      </c>
    </row>
    <row r="1017" spans="1:17" x14ac:dyDescent="0.3">
      <c r="A1017" t="s">
        <v>2404</v>
      </c>
      <c r="B1017" t="s">
        <v>2405</v>
      </c>
      <c r="C1017" s="10" t="s">
        <v>3748</v>
      </c>
      <c r="D1017" s="10" t="s">
        <v>3749</v>
      </c>
      <c r="E1017" s="14">
        <v>2490</v>
      </c>
      <c r="F1017" s="3">
        <v>849</v>
      </c>
      <c r="G1017" s="3">
        <f t="shared" si="76"/>
        <v>9960</v>
      </c>
      <c r="H1017" s="3">
        <f t="shared" si="75"/>
        <v>3396</v>
      </c>
      <c r="I1017" s="14">
        <f t="shared" si="77"/>
        <v>6573.6</v>
      </c>
      <c r="J1017" s="14">
        <f t="shared" si="78"/>
        <v>-6564</v>
      </c>
      <c r="K1017" s="1">
        <v>0.66</v>
      </c>
      <c r="L1017">
        <v>4.2</v>
      </c>
      <c r="M1017" s="2">
        <v>91188</v>
      </c>
      <c r="N1017" t="s">
        <v>2406</v>
      </c>
      <c r="O1017">
        <f t="shared" si="79"/>
        <v>4</v>
      </c>
      <c r="P1017" s="12" t="e">
        <f>HYPERLINK(#REF!,"Link")</f>
        <v>#REF!</v>
      </c>
      <c r="Q1017" s="12" t="e">
        <f>HYPERLINK(#REF!,"Link")</f>
        <v>#REF!</v>
      </c>
    </row>
    <row r="1018" spans="1:17" x14ac:dyDescent="0.3">
      <c r="A1018" t="s">
        <v>2407</v>
      </c>
      <c r="B1018" t="s">
        <v>2408</v>
      </c>
      <c r="C1018" s="9" t="s">
        <v>3750</v>
      </c>
      <c r="D1018" s="9" t="s">
        <v>3751</v>
      </c>
      <c r="E1018" s="14">
        <v>1999</v>
      </c>
      <c r="F1018" s="3">
        <v>799</v>
      </c>
      <c r="G1018" s="3">
        <f t="shared" si="76"/>
        <v>5997</v>
      </c>
      <c r="H1018" s="3">
        <f t="shared" si="75"/>
        <v>2397</v>
      </c>
      <c r="I1018" s="14">
        <f t="shared" si="77"/>
        <v>3598.2</v>
      </c>
      <c r="J1018" s="14">
        <f t="shared" si="78"/>
        <v>-3600</v>
      </c>
      <c r="K1018" s="1">
        <v>0.6</v>
      </c>
      <c r="L1018">
        <v>3.7</v>
      </c>
      <c r="M1018">
        <v>418</v>
      </c>
      <c r="N1018" t="s">
        <v>2409</v>
      </c>
      <c r="O1018">
        <f t="shared" si="79"/>
        <v>3</v>
      </c>
      <c r="P1018" s="12" t="e">
        <f>HYPERLINK(#REF!,"Link")</f>
        <v>#REF!</v>
      </c>
      <c r="Q1018" s="12" t="e">
        <f>HYPERLINK(#REF!,"Link")</f>
        <v>#REF!</v>
      </c>
    </row>
    <row r="1019" spans="1:17" x14ac:dyDescent="0.3">
      <c r="A1019" t="s">
        <v>1385</v>
      </c>
      <c r="B1019" t="s">
        <v>1386</v>
      </c>
      <c r="C1019" s="10" t="s">
        <v>3752</v>
      </c>
      <c r="D1019" s="10" t="s">
        <v>3753</v>
      </c>
      <c r="E1019" s="14">
        <v>6999</v>
      </c>
      <c r="F1019" s="3">
        <v>2599</v>
      </c>
      <c r="G1019" s="3">
        <f t="shared" si="76"/>
        <v>48993</v>
      </c>
      <c r="H1019" s="3">
        <f t="shared" si="75"/>
        <v>18193</v>
      </c>
      <c r="I1019" s="14">
        <f t="shared" si="77"/>
        <v>30865.59</v>
      </c>
      <c r="J1019" s="14">
        <f t="shared" si="78"/>
        <v>-30800</v>
      </c>
      <c r="K1019" s="1">
        <v>0.63</v>
      </c>
      <c r="L1019">
        <v>4.5</v>
      </c>
      <c r="M1019" s="2">
        <v>1526</v>
      </c>
      <c r="N1019" t="s">
        <v>1387</v>
      </c>
      <c r="O1019">
        <f t="shared" si="79"/>
        <v>7</v>
      </c>
      <c r="P1019" s="12" t="e">
        <f>HYPERLINK(#REF!,"Link")</f>
        <v>#REF!</v>
      </c>
      <c r="Q1019" s="12" t="e">
        <f>HYPERLINK(#REF!,"Link")</f>
        <v>#REF!</v>
      </c>
    </row>
    <row r="1020" spans="1:17" x14ac:dyDescent="0.3">
      <c r="A1020" t="s">
        <v>248</v>
      </c>
      <c r="B1020" t="s">
        <v>249</v>
      </c>
      <c r="C1020" s="9" t="s">
        <v>3750</v>
      </c>
      <c r="D1020" s="9" t="s">
        <v>3754</v>
      </c>
      <c r="E1020" s="14">
        <v>999</v>
      </c>
      <c r="F1020" s="3">
        <v>199</v>
      </c>
      <c r="G1020" s="3">
        <f t="shared" si="76"/>
        <v>3996</v>
      </c>
      <c r="H1020" s="3">
        <f t="shared" si="75"/>
        <v>796</v>
      </c>
      <c r="I1020" s="14">
        <f t="shared" si="77"/>
        <v>3196.8</v>
      </c>
      <c r="J1020" s="14">
        <f t="shared" si="78"/>
        <v>-3200</v>
      </c>
      <c r="K1020" s="1">
        <v>0.8</v>
      </c>
      <c r="L1020">
        <v>4.5</v>
      </c>
      <c r="M1020">
        <v>127</v>
      </c>
      <c r="N1020" t="s">
        <v>250</v>
      </c>
      <c r="O1020">
        <f t="shared" si="79"/>
        <v>4</v>
      </c>
      <c r="P1020" s="12" t="e">
        <f>HYPERLINK(#REF!,"Link")</f>
        <v>#REF!</v>
      </c>
      <c r="Q1020" s="12" t="e">
        <f>HYPERLINK(#REF!,"Link")</f>
        <v>#REF!</v>
      </c>
    </row>
    <row r="1021" spans="1:17" x14ac:dyDescent="0.3">
      <c r="A1021" t="s">
        <v>253</v>
      </c>
      <c r="B1021" t="s">
        <v>254</v>
      </c>
      <c r="C1021" s="10" t="s">
        <v>3755</v>
      </c>
      <c r="D1021" s="10" t="s">
        <v>3756</v>
      </c>
      <c r="E1021" s="14">
        <v>800</v>
      </c>
      <c r="F1021" s="3">
        <v>269</v>
      </c>
      <c r="G1021" s="3">
        <f t="shared" si="76"/>
        <v>3200</v>
      </c>
      <c r="H1021" s="3">
        <f t="shared" si="75"/>
        <v>1076</v>
      </c>
      <c r="I1021" s="14">
        <f t="shared" si="77"/>
        <v>2112</v>
      </c>
      <c r="J1021" s="14">
        <f t="shared" si="78"/>
        <v>-2124</v>
      </c>
      <c r="K1021" s="1">
        <v>0.66</v>
      </c>
      <c r="L1021">
        <v>3.6</v>
      </c>
      <c r="M1021" s="2">
        <v>10134</v>
      </c>
      <c r="N1021" t="s">
        <v>255</v>
      </c>
      <c r="O1021">
        <f t="shared" si="79"/>
        <v>4</v>
      </c>
      <c r="P1021" s="12" t="e">
        <f>HYPERLINK(#REF!,"Link")</f>
        <v>#REF!</v>
      </c>
      <c r="Q1021" s="12" t="e">
        <f>HYPERLINK(#REF!,"Link")</f>
        <v>#REF!</v>
      </c>
    </row>
    <row r="1022" spans="1:17" x14ac:dyDescent="0.3">
      <c r="A1022" t="s">
        <v>2410</v>
      </c>
      <c r="B1022" t="s">
        <v>2411</v>
      </c>
      <c r="C1022" s="9" t="s">
        <v>3748</v>
      </c>
      <c r="D1022" s="9" t="s">
        <v>3749</v>
      </c>
      <c r="E1022" s="14">
        <v>999</v>
      </c>
      <c r="F1022" s="3">
        <v>298</v>
      </c>
      <c r="G1022" s="3">
        <f t="shared" si="76"/>
        <v>2997</v>
      </c>
      <c r="H1022" s="3">
        <f t="shared" si="75"/>
        <v>894</v>
      </c>
      <c r="I1022" s="14">
        <f t="shared" si="77"/>
        <v>2097.8999999999996</v>
      </c>
      <c r="J1022" s="14">
        <f t="shared" si="78"/>
        <v>-2103</v>
      </c>
      <c r="K1022" s="1">
        <v>0.7</v>
      </c>
      <c r="L1022">
        <v>4.3</v>
      </c>
      <c r="M1022" s="2">
        <v>1552</v>
      </c>
      <c r="N1022" t="s">
        <v>2412</v>
      </c>
      <c r="O1022">
        <f t="shared" si="79"/>
        <v>3</v>
      </c>
      <c r="P1022" s="12" t="e">
        <f>HYPERLINK(#REF!,"Link")</f>
        <v>#REF!</v>
      </c>
      <c r="Q1022" s="12" t="e">
        <f>HYPERLINK(#REF!,"Link")</f>
        <v>#REF!</v>
      </c>
    </row>
    <row r="1023" spans="1:17" x14ac:dyDescent="0.3">
      <c r="A1023" t="s">
        <v>2413</v>
      </c>
      <c r="B1023" t="s">
        <v>1758</v>
      </c>
      <c r="C1023" s="10" t="s">
        <v>3748</v>
      </c>
      <c r="D1023" s="10" t="s">
        <v>3757</v>
      </c>
      <c r="E1023" s="14">
        <v>2999</v>
      </c>
      <c r="F1023" s="3">
        <v>1499</v>
      </c>
      <c r="G1023" s="3">
        <f t="shared" si="76"/>
        <v>8997</v>
      </c>
      <c r="H1023" s="3">
        <f t="shared" si="75"/>
        <v>4497</v>
      </c>
      <c r="I1023" s="14">
        <f t="shared" si="77"/>
        <v>4498.5</v>
      </c>
      <c r="J1023" s="14">
        <f t="shared" si="78"/>
        <v>-4500</v>
      </c>
      <c r="K1023" s="1">
        <v>0.5</v>
      </c>
      <c r="L1023">
        <v>4.0999999999999996</v>
      </c>
      <c r="M1023" s="2">
        <v>25262</v>
      </c>
      <c r="N1023" t="s">
        <v>2414</v>
      </c>
      <c r="O1023">
        <f t="shared" si="79"/>
        <v>3</v>
      </c>
      <c r="P1023" s="12" t="e">
        <f>HYPERLINK(#REF!,"Link")</f>
        <v>#REF!</v>
      </c>
      <c r="Q1023" s="12" t="e">
        <f>HYPERLINK(#REF!,"Link")</f>
        <v>#REF!</v>
      </c>
    </row>
    <row r="1024" spans="1:17" x14ac:dyDescent="0.3">
      <c r="A1024" t="s">
        <v>2415</v>
      </c>
      <c r="B1024" t="s">
        <v>2416</v>
      </c>
      <c r="C1024" s="9" t="s">
        <v>3748</v>
      </c>
      <c r="D1024" s="9" t="s">
        <v>3749</v>
      </c>
      <c r="E1024" s="14">
        <v>1245</v>
      </c>
      <c r="F1024" s="3">
        <v>649</v>
      </c>
      <c r="G1024" s="3">
        <f t="shared" si="76"/>
        <v>2490</v>
      </c>
      <c r="H1024" s="3">
        <f t="shared" si="75"/>
        <v>1298</v>
      </c>
      <c r="I1024" s="14">
        <f t="shared" si="77"/>
        <v>1195.2</v>
      </c>
      <c r="J1024" s="14">
        <f t="shared" si="78"/>
        <v>-1192</v>
      </c>
      <c r="K1024" s="1">
        <v>0.48</v>
      </c>
      <c r="L1024">
        <v>3.9</v>
      </c>
      <c r="M1024" s="2">
        <v>123365</v>
      </c>
      <c r="N1024" t="s">
        <v>2417</v>
      </c>
      <c r="O1024">
        <f t="shared" si="79"/>
        <v>2</v>
      </c>
      <c r="P1024" s="12" t="e">
        <f>HYPERLINK(#REF!,"Link")</f>
        <v>#REF!</v>
      </c>
      <c r="Q1024" s="12" t="e">
        <f>HYPERLINK(#REF!,"Link")</f>
        <v>#REF!</v>
      </c>
    </row>
    <row r="1025" spans="1:17" x14ac:dyDescent="0.3">
      <c r="A1025" t="s">
        <v>2418</v>
      </c>
      <c r="B1025" t="s">
        <v>2419</v>
      </c>
      <c r="C1025" s="10" t="s">
        <v>3748</v>
      </c>
      <c r="D1025" s="10" t="s">
        <v>3758</v>
      </c>
      <c r="E1025" s="14">
        <v>1695</v>
      </c>
      <c r="F1025" s="3">
        <v>1199</v>
      </c>
      <c r="G1025" s="3">
        <f t="shared" si="76"/>
        <v>6780</v>
      </c>
      <c r="H1025" s="3">
        <f t="shared" si="75"/>
        <v>4796</v>
      </c>
      <c r="I1025" s="14">
        <f t="shared" si="77"/>
        <v>1966.1999999999998</v>
      </c>
      <c r="J1025" s="14">
        <f t="shared" si="78"/>
        <v>-1984</v>
      </c>
      <c r="K1025" s="1">
        <v>0.28999999999999998</v>
      </c>
      <c r="L1025">
        <v>3.6</v>
      </c>
      <c r="M1025" s="2">
        <v>13300</v>
      </c>
      <c r="N1025" t="s">
        <v>2420</v>
      </c>
      <c r="O1025">
        <f t="shared" si="79"/>
        <v>4</v>
      </c>
      <c r="P1025" s="12" t="e">
        <f>HYPERLINK(#REF!,"Link")</f>
        <v>#REF!</v>
      </c>
      <c r="Q1025" s="12" t="e">
        <f>HYPERLINK(#REF!,"Link")</f>
        <v>#REF!</v>
      </c>
    </row>
    <row r="1026" spans="1:17" x14ac:dyDescent="0.3">
      <c r="A1026" t="s">
        <v>2421</v>
      </c>
      <c r="B1026" t="s">
        <v>722</v>
      </c>
      <c r="C1026" s="9" t="s">
        <v>3748</v>
      </c>
      <c r="D1026" s="9" t="s">
        <v>3759</v>
      </c>
      <c r="E1026" s="14">
        <v>2000</v>
      </c>
      <c r="F1026" s="3">
        <v>1199</v>
      </c>
      <c r="G1026" s="3">
        <f t="shared" si="76"/>
        <v>4000</v>
      </c>
      <c r="H1026" s="3">
        <f t="shared" ref="H1026:H1089" si="80">F1026*O1026</f>
        <v>2398</v>
      </c>
      <c r="I1026" s="14">
        <f t="shared" si="77"/>
        <v>1600</v>
      </c>
      <c r="J1026" s="14">
        <f t="shared" si="78"/>
        <v>-1602</v>
      </c>
      <c r="K1026" s="1">
        <v>0.4</v>
      </c>
      <c r="L1026">
        <v>4</v>
      </c>
      <c r="M1026" s="2">
        <v>18543</v>
      </c>
      <c r="N1026" t="s">
        <v>1732</v>
      </c>
      <c r="O1026">
        <f t="shared" si="79"/>
        <v>2</v>
      </c>
      <c r="P1026" s="12" t="e">
        <f>HYPERLINK(#REF!,"Link")</f>
        <v>#REF!</v>
      </c>
      <c r="Q1026" s="12" t="e">
        <f>HYPERLINK(#REF!,"Link")</f>
        <v>#REF!</v>
      </c>
    </row>
    <row r="1027" spans="1:17" x14ac:dyDescent="0.3">
      <c r="A1027" t="s">
        <v>2422</v>
      </c>
      <c r="B1027" t="s">
        <v>2423</v>
      </c>
      <c r="C1027" s="10" t="s">
        <v>3748</v>
      </c>
      <c r="D1027" s="10" t="s">
        <v>3759</v>
      </c>
      <c r="E1027" s="14">
        <v>999</v>
      </c>
      <c r="F1027" s="3">
        <v>455</v>
      </c>
      <c r="G1027" s="3">
        <f t="shared" ref="G1027:G1090" si="81">E1027*O1027</f>
        <v>1998</v>
      </c>
      <c r="H1027" s="3">
        <f t="shared" si="80"/>
        <v>910</v>
      </c>
      <c r="I1027" s="14">
        <f t="shared" ref="I1027:I1090" si="82">(E1027*K1027)*O1027</f>
        <v>1078.92</v>
      </c>
      <c r="J1027" s="14">
        <f t="shared" ref="J1027:J1090" si="83">H1027-G1027</f>
        <v>-1088</v>
      </c>
      <c r="K1027" s="1">
        <v>0.54</v>
      </c>
      <c r="L1027">
        <v>4.0999999999999996</v>
      </c>
      <c r="M1027" s="2">
        <v>3578</v>
      </c>
      <c r="N1027" t="s">
        <v>2424</v>
      </c>
      <c r="O1027">
        <f t="shared" ref="O1027:O1090" si="84">LEN(N1027)-LEN(SUBSTITUTE(N1027,",",""))+1</f>
        <v>2</v>
      </c>
      <c r="P1027" s="12" t="e">
        <f>HYPERLINK(#REF!,"Link")</f>
        <v>#REF!</v>
      </c>
      <c r="Q1027" s="12" t="e">
        <f>HYPERLINK(#REF!,"Link")</f>
        <v>#REF!</v>
      </c>
    </row>
    <row r="1028" spans="1:17" x14ac:dyDescent="0.3">
      <c r="A1028" t="s">
        <v>2425</v>
      </c>
      <c r="B1028" t="s">
        <v>2426</v>
      </c>
      <c r="C1028" s="9" t="s">
        <v>3748</v>
      </c>
      <c r="D1028" s="9" t="s">
        <v>3760</v>
      </c>
      <c r="E1028" s="14">
        <v>1999</v>
      </c>
      <c r="F1028" s="3">
        <v>199</v>
      </c>
      <c r="G1028" s="3">
        <f t="shared" si="81"/>
        <v>3998</v>
      </c>
      <c r="H1028" s="3">
        <f t="shared" si="80"/>
        <v>398</v>
      </c>
      <c r="I1028" s="14">
        <f t="shared" si="82"/>
        <v>3598.2000000000003</v>
      </c>
      <c r="J1028" s="14">
        <f t="shared" si="83"/>
        <v>-3600</v>
      </c>
      <c r="K1028" s="1">
        <v>0.9</v>
      </c>
      <c r="L1028">
        <v>3.7</v>
      </c>
      <c r="M1028" s="2">
        <v>2031</v>
      </c>
      <c r="N1028" t="s">
        <v>2427</v>
      </c>
      <c r="O1028">
        <f t="shared" si="84"/>
        <v>2</v>
      </c>
      <c r="P1028" s="12" t="e">
        <f>HYPERLINK(#REF!,"Link")</f>
        <v>#REF!</v>
      </c>
      <c r="Q1028" s="12" t="e">
        <f>HYPERLINK(#REF!,"Link")</f>
        <v>#REF!</v>
      </c>
    </row>
    <row r="1029" spans="1:17" x14ac:dyDescent="0.3">
      <c r="A1029" t="s">
        <v>2428</v>
      </c>
      <c r="B1029" t="s">
        <v>2429</v>
      </c>
      <c r="C1029" s="10" t="s">
        <v>3725</v>
      </c>
      <c r="D1029" s="10" t="s">
        <v>3761</v>
      </c>
      <c r="E1029" s="14">
        <v>499</v>
      </c>
      <c r="F1029" s="3">
        <v>293</v>
      </c>
      <c r="G1029" s="3">
        <f t="shared" si="81"/>
        <v>2495</v>
      </c>
      <c r="H1029" s="3">
        <f t="shared" si="80"/>
        <v>1465</v>
      </c>
      <c r="I1029" s="14">
        <f t="shared" si="82"/>
        <v>1022.9499999999998</v>
      </c>
      <c r="J1029" s="14">
        <f t="shared" si="83"/>
        <v>-1030</v>
      </c>
      <c r="K1029" s="1">
        <v>0.41</v>
      </c>
      <c r="L1029">
        <v>3.9</v>
      </c>
      <c r="M1029" s="2">
        <v>44994</v>
      </c>
      <c r="N1029" t="s">
        <v>2430</v>
      </c>
      <c r="O1029">
        <f t="shared" si="84"/>
        <v>5</v>
      </c>
      <c r="P1029" s="12" t="e">
        <f>HYPERLINK(#REF!,"Link")</f>
        <v>#REF!</v>
      </c>
      <c r="Q1029" s="12" t="e">
        <f>HYPERLINK(#REF!,"Link")</f>
        <v>#REF!</v>
      </c>
    </row>
    <row r="1030" spans="1:17" x14ac:dyDescent="0.3">
      <c r="A1030" t="s">
        <v>2431</v>
      </c>
      <c r="B1030" t="s">
        <v>2432</v>
      </c>
      <c r="C1030" s="9" t="s">
        <v>3748</v>
      </c>
      <c r="D1030" s="9" t="s">
        <v>3762</v>
      </c>
      <c r="E1030" s="14">
        <v>495</v>
      </c>
      <c r="F1030" s="3">
        <v>199</v>
      </c>
      <c r="G1030" s="3">
        <f t="shared" si="81"/>
        <v>1980</v>
      </c>
      <c r="H1030" s="3">
        <f t="shared" si="80"/>
        <v>796</v>
      </c>
      <c r="I1030" s="14">
        <f t="shared" si="82"/>
        <v>1188</v>
      </c>
      <c r="J1030" s="14">
        <f t="shared" si="83"/>
        <v>-1184</v>
      </c>
      <c r="K1030" s="1">
        <v>0.6</v>
      </c>
      <c r="L1030">
        <v>4.0999999999999996</v>
      </c>
      <c r="M1030" s="2">
        <v>270563</v>
      </c>
      <c r="N1030" t="s">
        <v>2433</v>
      </c>
      <c r="O1030">
        <f t="shared" si="84"/>
        <v>4</v>
      </c>
      <c r="P1030" s="12" t="e">
        <f>HYPERLINK(#REF!,"Link")</f>
        <v>#REF!</v>
      </c>
      <c r="Q1030" s="12" t="e">
        <f>HYPERLINK(#REF!,"Link")</f>
        <v>#REF!</v>
      </c>
    </row>
    <row r="1031" spans="1:17" x14ac:dyDescent="0.3">
      <c r="A1031" t="s">
        <v>2434</v>
      </c>
      <c r="B1031" t="s">
        <v>2435</v>
      </c>
      <c r="C1031" s="10" t="s">
        <v>3748</v>
      </c>
      <c r="D1031" s="10" t="s">
        <v>3763</v>
      </c>
      <c r="E1031" s="14">
        <v>1245</v>
      </c>
      <c r="F1031" s="3">
        <v>749</v>
      </c>
      <c r="G1031" s="3">
        <f t="shared" si="81"/>
        <v>3735</v>
      </c>
      <c r="H1031" s="3">
        <f t="shared" si="80"/>
        <v>2247</v>
      </c>
      <c r="I1031" s="14">
        <f t="shared" si="82"/>
        <v>1494</v>
      </c>
      <c r="J1031" s="14">
        <f t="shared" si="83"/>
        <v>-1488</v>
      </c>
      <c r="K1031" s="1">
        <v>0.4</v>
      </c>
      <c r="L1031">
        <v>3.9</v>
      </c>
      <c r="M1031" s="2">
        <v>31783</v>
      </c>
      <c r="N1031" t="s">
        <v>2436</v>
      </c>
      <c r="O1031">
        <f t="shared" si="84"/>
        <v>3</v>
      </c>
      <c r="P1031" s="12" t="e">
        <f>HYPERLINK(#REF!,"Link")</f>
        <v>#REF!</v>
      </c>
      <c r="Q1031" s="12" t="e">
        <f>HYPERLINK(#REF!,"Link")</f>
        <v>#REF!</v>
      </c>
    </row>
    <row r="1032" spans="1:17" x14ac:dyDescent="0.3">
      <c r="A1032" t="s">
        <v>2437</v>
      </c>
      <c r="B1032" t="s">
        <v>2438</v>
      </c>
      <c r="C1032" s="9" t="s">
        <v>3748</v>
      </c>
      <c r="D1032" s="9" t="s">
        <v>3765</v>
      </c>
      <c r="E1032" s="14">
        <v>1549</v>
      </c>
      <c r="F1032" s="3">
        <v>1399</v>
      </c>
      <c r="G1032" s="3">
        <f t="shared" si="81"/>
        <v>4647</v>
      </c>
      <c r="H1032" s="3">
        <f t="shared" si="80"/>
        <v>4197</v>
      </c>
      <c r="I1032" s="14">
        <f t="shared" si="82"/>
        <v>464.70000000000005</v>
      </c>
      <c r="J1032" s="14">
        <f t="shared" si="83"/>
        <v>-450</v>
      </c>
      <c r="K1032" s="1">
        <v>0.1</v>
      </c>
      <c r="L1032">
        <v>3.9</v>
      </c>
      <c r="M1032" s="2">
        <v>2602</v>
      </c>
      <c r="N1032" t="s">
        <v>2439</v>
      </c>
      <c r="O1032">
        <f t="shared" si="84"/>
        <v>3</v>
      </c>
      <c r="P1032" s="12" t="e">
        <f>HYPERLINK(#REF!,"Link")</f>
        <v>#REF!</v>
      </c>
      <c r="Q1032" s="12" t="e">
        <f>HYPERLINK(#REF!,"Link")</f>
        <v>#REF!</v>
      </c>
    </row>
    <row r="1033" spans="1:17" x14ac:dyDescent="0.3">
      <c r="A1033" t="s">
        <v>2440</v>
      </c>
      <c r="B1033" t="s">
        <v>2441</v>
      </c>
      <c r="C1033" s="10" t="s">
        <v>3748</v>
      </c>
      <c r="D1033" s="10" t="s">
        <v>3736</v>
      </c>
      <c r="E1033" s="14">
        <v>1445</v>
      </c>
      <c r="F1033" s="3">
        <v>749</v>
      </c>
      <c r="G1033" s="3">
        <f t="shared" si="81"/>
        <v>2890</v>
      </c>
      <c r="H1033" s="3">
        <f t="shared" si="80"/>
        <v>1498</v>
      </c>
      <c r="I1033" s="14">
        <f t="shared" si="82"/>
        <v>1387.2</v>
      </c>
      <c r="J1033" s="14">
        <f t="shared" si="83"/>
        <v>-1392</v>
      </c>
      <c r="K1033" s="1">
        <v>0.48</v>
      </c>
      <c r="L1033">
        <v>3.9</v>
      </c>
      <c r="M1033" s="2">
        <v>63350</v>
      </c>
      <c r="N1033" t="s">
        <v>2442</v>
      </c>
      <c r="O1033">
        <f t="shared" si="84"/>
        <v>2</v>
      </c>
      <c r="P1033" s="12" t="e">
        <f>HYPERLINK(#REF!,"Link")</f>
        <v>#REF!</v>
      </c>
      <c r="Q1033" s="12" t="e">
        <f>HYPERLINK(#REF!,"Link")</f>
        <v>#REF!</v>
      </c>
    </row>
    <row r="1034" spans="1:17" x14ac:dyDescent="0.3">
      <c r="A1034" t="s">
        <v>2443</v>
      </c>
      <c r="B1034" t="s">
        <v>2444</v>
      </c>
      <c r="C1034" s="9" t="s">
        <v>3748</v>
      </c>
      <c r="D1034" s="9" t="s">
        <v>3766</v>
      </c>
      <c r="E1034" s="14">
        <v>3193</v>
      </c>
      <c r="F1034" s="3">
        <v>1699</v>
      </c>
      <c r="G1034" s="3">
        <f t="shared" si="81"/>
        <v>12772</v>
      </c>
      <c r="H1034" s="3">
        <f t="shared" si="80"/>
        <v>6796</v>
      </c>
      <c r="I1034" s="14">
        <f t="shared" si="82"/>
        <v>6002.8399999999992</v>
      </c>
      <c r="J1034" s="14">
        <f t="shared" si="83"/>
        <v>-5976</v>
      </c>
      <c r="K1034" s="1">
        <v>0.47</v>
      </c>
      <c r="L1034">
        <v>3.8</v>
      </c>
      <c r="M1034" s="2">
        <v>54032</v>
      </c>
      <c r="N1034" t="s">
        <v>2445</v>
      </c>
      <c r="O1034">
        <f t="shared" si="84"/>
        <v>4</v>
      </c>
      <c r="P1034" s="12" t="e">
        <f>HYPERLINK(#REF!,"Link")</f>
        <v>#REF!</v>
      </c>
      <c r="Q1034" s="12" t="e">
        <f>HYPERLINK(#REF!,"Link")</f>
        <v>#REF!</v>
      </c>
    </row>
    <row r="1035" spans="1:17" x14ac:dyDescent="0.3">
      <c r="A1035" t="s">
        <v>2446</v>
      </c>
      <c r="B1035" t="s">
        <v>2447</v>
      </c>
      <c r="C1035" s="10" t="s">
        <v>3748</v>
      </c>
      <c r="D1035" s="10" t="s">
        <v>3736</v>
      </c>
      <c r="E1035" s="14">
        <v>1345</v>
      </c>
      <c r="F1035" s="3">
        <v>1043</v>
      </c>
      <c r="G1035" s="3">
        <f t="shared" si="81"/>
        <v>4035</v>
      </c>
      <c r="H1035" s="3">
        <f t="shared" si="80"/>
        <v>3129</v>
      </c>
      <c r="I1035" s="14">
        <f t="shared" si="82"/>
        <v>887.69999999999993</v>
      </c>
      <c r="J1035" s="14">
        <f t="shared" si="83"/>
        <v>-906</v>
      </c>
      <c r="K1035" s="1">
        <v>0.22</v>
      </c>
      <c r="L1035">
        <v>3.8</v>
      </c>
      <c r="M1035" s="2">
        <v>15592</v>
      </c>
      <c r="N1035" t="s">
        <v>2448</v>
      </c>
      <c r="O1035">
        <f t="shared" si="84"/>
        <v>3</v>
      </c>
      <c r="P1035" s="12" t="e">
        <f>HYPERLINK(#REF!,"Link")</f>
        <v>#REF!</v>
      </c>
      <c r="Q1035" s="12" t="e">
        <f>HYPERLINK(#REF!,"Link")</f>
        <v>#REF!</v>
      </c>
    </row>
    <row r="1036" spans="1:17" x14ac:dyDescent="0.3">
      <c r="A1036" t="s">
        <v>2449</v>
      </c>
      <c r="B1036" t="s">
        <v>2450</v>
      </c>
      <c r="C1036" s="9" t="s">
        <v>3755</v>
      </c>
      <c r="D1036" s="9" t="s">
        <v>3767</v>
      </c>
      <c r="E1036" s="14">
        <v>999</v>
      </c>
      <c r="F1036" s="3">
        <v>499</v>
      </c>
      <c r="G1036" s="3">
        <f t="shared" si="81"/>
        <v>1998</v>
      </c>
      <c r="H1036" s="3">
        <f t="shared" si="80"/>
        <v>998</v>
      </c>
      <c r="I1036" s="14">
        <f t="shared" si="82"/>
        <v>999</v>
      </c>
      <c r="J1036" s="14">
        <f t="shared" si="83"/>
        <v>-1000</v>
      </c>
      <c r="K1036" s="1">
        <v>0.5</v>
      </c>
      <c r="L1036">
        <v>4.0999999999999996</v>
      </c>
      <c r="M1036" s="2">
        <v>4859</v>
      </c>
      <c r="N1036" t="s">
        <v>2451</v>
      </c>
      <c r="O1036">
        <f t="shared" si="84"/>
        <v>2</v>
      </c>
      <c r="P1036" s="12" t="e">
        <f>HYPERLINK(#REF!,"Link")</f>
        <v>#REF!</v>
      </c>
      <c r="Q1036" s="12" t="e">
        <f>HYPERLINK(#REF!,"Link")</f>
        <v>#REF!</v>
      </c>
    </row>
    <row r="1037" spans="1:17" x14ac:dyDescent="0.3">
      <c r="A1037" t="s">
        <v>2452</v>
      </c>
      <c r="B1037" t="s">
        <v>2453</v>
      </c>
      <c r="C1037" s="10" t="s">
        <v>3768</v>
      </c>
      <c r="D1037" s="10" t="s">
        <v>3769</v>
      </c>
      <c r="E1037" s="14">
        <v>1650</v>
      </c>
      <c r="F1037" s="3">
        <v>1464</v>
      </c>
      <c r="G1037" s="3">
        <f t="shared" si="81"/>
        <v>6600</v>
      </c>
      <c r="H1037" s="3">
        <f t="shared" si="80"/>
        <v>5856</v>
      </c>
      <c r="I1037" s="14">
        <f t="shared" si="82"/>
        <v>726</v>
      </c>
      <c r="J1037" s="14">
        <f t="shared" si="83"/>
        <v>-744</v>
      </c>
      <c r="K1037" s="1">
        <v>0.11</v>
      </c>
      <c r="L1037">
        <v>4.0999999999999996</v>
      </c>
      <c r="M1037" s="2">
        <v>14120</v>
      </c>
      <c r="N1037" t="s">
        <v>2454</v>
      </c>
      <c r="O1037">
        <f t="shared" si="84"/>
        <v>4</v>
      </c>
      <c r="P1037" s="12" t="e">
        <f>HYPERLINK(#REF!,"Link")</f>
        <v>#REF!</v>
      </c>
      <c r="Q1037" s="12" t="e">
        <f>HYPERLINK(#REF!,"Link")</f>
        <v>#REF!</v>
      </c>
    </row>
    <row r="1038" spans="1:17" x14ac:dyDescent="0.3">
      <c r="A1038" t="s">
        <v>2455</v>
      </c>
      <c r="B1038" t="s">
        <v>2456</v>
      </c>
      <c r="C1038" s="9" t="s">
        <v>3738</v>
      </c>
      <c r="D1038" s="9"/>
      <c r="E1038" s="14">
        <v>499</v>
      </c>
      <c r="F1038" s="3">
        <v>249</v>
      </c>
      <c r="G1038" s="3">
        <f t="shared" si="81"/>
        <v>1996</v>
      </c>
      <c r="H1038" s="3">
        <f t="shared" si="80"/>
        <v>996</v>
      </c>
      <c r="I1038" s="14">
        <f t="shared" si="82"/>
        <v>998</v>
      </c>
      <c r="J1038" s="14">
        <f t="shared" si="83"/>
        <v>-1000</v>
      </c>
      <c r="K1038" s="1">
        <v>0.5</v>
      </c>
      <c r="L1038">
        <v>3.3</v>
      </c>
      <c r="M1038" s="2">
        <v>8427</v>
      </c>
      <c r="N1038" t="s">
        <v>2457</v>
      </c>
      <c r="O1038">
        <f t="shared" si="84"/>
        <v>4</v>
      </c>
      <c r="P1038" s="12" t="e">
        <f>HYPERLINK(#REF!,"Link")</f>
        <v>#REF!</v>
      </c>
      <c r="Q1038" s="12" t="e">
        <f>HYPERLINK(#REF!,"Link")</f>
        <v>#REF!</v>
      </c>
    </row>
    <row r="1039" spans="1:17" x14ac:dyDescent="0.3">
      <c r="A1039" t="s">
        <v>2458</v>
      </c>
      <c r="B1039" t="s">
        <v>2459</v>
      </c>
      <c r="C1039" s="10" t="s">
        <v>3748</v>
      </c>
      <c r="D1039" s="10" t="s">
        <v>3762</v>
      </c>
      <c r="E1039" s="14">
        <v>1400</v>
      </c>
      <c r="F1039" s="3">
        <v>625</v>
      </c>
      <c r="G1039" s="3">
        <f t="shared" si="81"/>
        <v>4200</v>
      </c>
      <c r="H1039" s="3">
        <f t="shared" si="80"/>
        <v>1875</v>
      </c>
      <c r="I1039" s="14">
        <f t="shared" si="82"/>
        <v>2310.0000000000005</v>
      </c>
      <c r="J1039" s="14">
        <f t="shared" si="83"/>
        <v>-2325</v>
      </c>
      <c r="K1039" s="1">
        <v>0.55000000000000004</v>
      </c>
      <c r="L1039">
        <v>4.2</v>
      </c>
      <c r="M1039" s="2">
        <v>23316</v>
      </c>
      <c r="N1039" t="s">
        <v>2460</v>
      </c>
      <c r="O1039">
        <f t="shared" si="84"/>
        <v>3</v>
      </c>
      <c r="P1039" s="12" t="e">
        <f>HYPERLINK(#REF!,"Link")</f>
        <v>#REF!</v>
      </c>
      <c r="Q1039" s="12" t="e">
        <f>HYPERLINK(#REF!,"Link")</f>
        <v>#REF!</v>
      </c>
    </row>
    <row r="1040" spans="1:17" x14ac:dyDescent="0.3">
      <c r="A1040" t="s">
        <v>2461</v>
      </c>
      <c r="B1040" t="s">
        <v>2462</v>
      </c>
      <c r="C1040" s="9" t="s">
        <v>3748</v>
      </c>
      <c r="D1040" s="9" t="s">
        <v>3736</v>
      </c>
      <c r="E1040" s="14">
        <v>2500</v>
      </c>
      <c r="F1040" s="3">
        <v>1290</v>
      </c>
      <c r="G1040" s="3">
        <f t="shared" si="81"/>
        <v>7500</v>
      </c>
      <c r="H1040" s="3">
        <f t="shared" si="80"/>
        <v>3870</v>
      </c>
      <c r="I1040" s="14">
        <f t="shared" si="82"/>
        <v>3600</v>
      </c>
      <c r="J1040" s="14">
        <f t="shared" si="83"/>
        <v>-3630</v>
      </c>
      <c r="K1040" s="1">
        <v>0.48</v>
      </c>
      <c r="L1040">
        <v>4</v>
      </c>
      <c r="M1040" s="2">
        <v>6530</v>
      </c>
      <c r="N1040" t="s">
        <v>2463</v>
      </c>
      <c r="O1040">
        <f t="shared" si="84"/>
        <v>3</v>
      </c>
      <c r="P1040" s="12" t="e">
        <f>HYPERLINK(#REF!,"Link")</f>
        <v>#REF!</v>
      </c>
      <c r="Q1040" s="12" t="e">
        <f>HYPERLINK(#REF!,"Link")</f>
        <v>#REF!</v>
      </c>
    </row>
    <row r="1041" spans="1:17" x14ac:dyDescent="0.3">
      <c r="A1041" t="s">
        <v>2464</v>
      </c>
      <c r="B1041" t="s">
        <v>2465</v>
      </c>
      <c r="C1041" s="10" t="s">
        <v>3770</v>
      </c>
      <c r="D1041" s="10"/>
      <c r="E1041" s="14">
        <v>6190</v>
      </c>
      <c r="F1041" s="3">
        <v>3600</v>
      </c>
      <c r="G1041" s="3">
        <f t="shared" si="81"/>
        <v>18570</v>
      </c>
      <c r="H1041" s="3">
        <f t="shared" si="80"/>
        <v>10800</v>
      </c>
      <c r="I1041" s="14">
        <f t="shared" si="82"/>
        <v>7799.4</v>
      </c>
      <c r="J1041" s="14">
        <f t="shared" si="83"/>
        <v>-7770</v>
      </c>
      <c r="K1041" s="1">
        <v>0.42</v>
      </c>
      <c r="L1041">
        <v>4.3</v>
      </c>
      <c r="M1041" s="2">
        <v>11924</v>
      </c>
      <c r="N1041" t="s">
        <v>2466</v>
      </c>
      <c r="O1041">
        <f t="shared" si="84"/>
        <v>3</v>
      </c>
      <c r="P1041" s="12" t="e">
        <f>HYPERLINK(#REF!,"Link")</f>
        <v>#REF!</v>
      </c>
      <c r="Q1041" s="12" t="e">
        <f>HYPERLINK(#REF!,"Link")</f>
        <v>#REF!</v>
      </c>
    </row>
    <row r="1042" spans="1:17" x14ac:dyDescent="0.3">
      <c r="A1042" t="s">
        <v>2467</v>
      </c>
      <c r="B1042" t="s">
        <v>2468</v>
      </c>
      <c r="C1042" s="9" t="s">
        <v>3771</v>
      </c>
      <c r="D1042" s="9" t="s">
        <v>3772</v>
      </c>
      <c r="E1042" s="14">
        <v>13999</v>
      </c>
      <c r="F1042" s="3">
        <v>6549</v>
      </c>
      <c r="G1042" s="3">
        <f t="shared" si="81"/>
        <v>27998</v>
      </c>
      <c r="H1042" s="3">
        <f t="shared" si="80"/>
        <v>13098</v>
      </c>
      <c r="I1042" s="14">
        <f t="shared" si="82"/>
        <v>14838.94</v>
      </c>
      <c r="J1042" s="14">
        <f t="shared" si="83"/>
        <v>-14900</v>
      </c>
      <c r="K1042" s="1">
        <v>0.53</v>
      </c>
      <c r="L1042">
        <v>4</v>
      </c>
      <c r="M1042" s="2">
        <v>2961</v>
      </c>
      <c r="N1042" t="s">
        <v>2469</v>
      </c>
      <c r="O1042">
        <f t="shared" si="84"/>
        <v>2</v>
      </c>
      <c r="P1042" s="12" t="e">
        <f>HYPERLINK(#REF!,"Link")</f>
        <v>#REF!</v>
      </c>
      <c r="Q1042" s="12" t="e">
        <f>HYPERLINK(#REF!,"Link")</f>
        <v>#REF!</v>
      </c>
    </row>
    <row r="1043" spans="1:17" x14ac:dyDescent="0.3">
      <c r="A1043" t="s">
        <v>2470</v>
      </c>
      <c r="B1043" t="s">
        <v>2471</v>
      </c>
      <c r="C1043" s="10" t="s">
        <v>3771</v>
      </c>
      <c r="D1043" s="10" t="s">
        <v>3773</v>
      </c>
      <c r="E1043" s="14">
        <v>2995</v>
      </c>
      <c r="F1043" s="3">
        <v>1625</v>
      </c>
      <c r="G1043" s="3">
        <f t="shared" si="81"/>
        <v>5990</v>
      </c>
      <c r="H1043" s="3">
        <f t="shared" si="80"/>
        <v>3250</v>
      </c>
      <c r="I1043" s="14">
        <f t="shared" si="82"/>
        <v>2755.4</v>
      </c>
      <c r="J1043" s="14">
        <f t="shared" si="83"/>
        <v>-2740</v>
      </c>
      <c r="K1043" s="1">
        <v>0.46</v>
      </c>
      <c r="L1043">
        <v>4.5</v>
      </c>
      <c r="M1043" s="2">
        <v>23484</v>
      </c>
      <c r="N1043" t="s">
        <v>2472</v>
      </c>
      <c r="O1043">
        <f t="shared" si="84"/>
        <v>2</v>
      </c>
      <c r="P1043" s="12" t="e">
        <f>HYPERLINK(#REF!,"Link")</f>
        <v>#REF!</v>
      </c>
      <c r="Q1043" s="12" t="e">
        <f>HYPERLINK(#REF!,"Link")</f>
        <v>#REF!</v>
      </c>
    </row>
    <row r="1044" spans="1:17" x14ac:dyDescent="0.3">
      <c r="A1044" t="s">
        <v>2473</v>
      </c>
      <c r="B1044" t="s">
        <v>2474</v>
      </c>
      <c r="C1044" s="9" t="s">
        <v>3768</v>
      </c>
      <c r="D1044" s="9" t="s">
        <v>3774</v>
      </c>
      <c r="E1044" s="14">
        <v>5890</v>
      </c>
      <c r="F1044" s="3">
        <v>2599</v>
      </c>
      <c r="G1044" s="3">
        <f t="shared" si="81"/>
        <v>17670</v>
      </c>
      <c r="H1044" s="3">
        <f t="shared" si="80"/>
        <v>7797</v>
      </c>
      <c r="I1044" s="14">
        <f t="shared" si="82"/>
        <v>9895.2000000000007</v>
      </c>
      <c r="J1044" s="14">
        <f t="shared" si="83"/>
        <v>-9873</v>
      </c>
      <c r="K1044" s="1">
        <v>0.56000000000000005</v>
      </c>
      <c r="L1044">
        <v>4.0999999999999996</v>
      </c>
      <c r="M1044" s="2">
        <v>21783</v>
      </c>
      <c r="N1044" t="s">
        <v>2475</v>
      </c>
      <c r="O1044">
        <f t="shared" si="84"/>
        <v>3</v>
      </c>
      <c r="P1044" s="12" t="e">
        <f>HYPERLINK(#REF!,"Link")</f>
        <v>#REF!</v>
      </c>
      <c r="Q1044" s="12" t="e">
        <f>HYPERLINK(#REF!,"Link")</f>
        <v>#REF!</v>
      </c>
    </row>
    <row r="1045" spans="1:17" x14ac:dyDescent="0.3">
      <c r="A1045" t="s">
        <v>2476</v>
      </c>
      <c r="B1045" t="s">
        <v>2477</v>
      </c>
      <c r="C1045" s="10" t="s">
        <v>3768</v>
      </c>
      <c r="D1045" s="10" t="s">
        <v>3775</v>
      </c>
      <c r="E1045" s="14">
        <v>2000</v>
      </c>
      <c r="F1045" s="3">
        <v>1199</v>
      </c>
      <c r="G1045" s="3">
        <f t="shared" si="81"/>
        <v>4000</v>
      </c>
      <c r="H1045" s="3">
        <f t="shared" si="80"/>
        <v>2398</v>
      </c>
      <c r="I1045" s="14">
        <f t="shared" si="82"/>
        <v>1600</v>
      </c>
      <c r="J1045" s="14">
        <f t="shared" si="83"/>
        <v>-1602</v>
      </c>
      <c r="K1045" s="1">
        <v>0.4</v>
      </c>
      <c r="L1045">
        <v>4</v>
      </c>
      <c r="M1045" s="2">
        <v>14030</v>
      </c>
      <c r="N1045" t="s">
        <v>2478</v>
      </c>
      <c r="O1045">
        <f t="shared" si="84"/>
        <v>2</v>
      </c>
      <c r="P1045" s="12" t="e">
        <f>HYPERLINK(#REF!,"Link")</f>
        <v>#REF!</v>
      </c>
      <c r="Q1045" s="12" t="e">
        <f>HYPERLINK(#REF!,"Link")</f>
        <v>#REF!</v>
      </c>
    </row>
    <row r="1046" spans="1:17" x14ac:dyDescent="0.3">
      <c r="A1046" t="s">
        <v>2479</v>
      </c>
      <c r="B1046" t="s">
        <v>2480</v>
      </c>
      <c r="C1046" s="9" t="s">
        <v>3771</v>
      </c>
      <c r="D1046" s="9" t="s">
        <v>3776</v>
      </c>
      <c r="E1046" s="14">
        <v>13150</v>
      </c>
      <c r="F1046" s="3">
        <v>5499</v>
      </c>
      <c r="G1046" s="3">
        <f t="shared" si="81"/>
        <v>52600</v>
      </c>
      <c r="H1046" s="3">
        <f t="shared" si="80"/>
        <v>21996</v>
      </c>
      <c r="I1046" s="14">
        <f t="shared" si="82"/>
        <v>30507.999999999996</v>
      </c>
      <c r="J1046" s="14">
        <f t="shared" si="83"/>
        <v>-30604</v>
      </c>
      <c r="K1046" s="1">
        <v>0.57999999999999996</v>
      </c>
      <c r="L1046">
        <v>4.2</v>
      </c>
      <c r="M1046" s="2">
        <v>6398</v>
      </c>
      <c r="N1046" t="s">
        <v>2481</v>
      </c>
      <c r="O1046">
        <f t="shared" si="84"/>
        <v>4</v>
      </c>
      <c r="P1046" s="12" t="e">
        <f>HYPERLINK(#REF!,"Link")</f>
        <v>#REF!</v>
      </c>
      <c r="Q1046" s="12" t="e">
        <f>HYPERLINK(#REF!,"Link")</f>
        <v>#REF!</v>
      </c>
    </row>
    <row r="1047" spans="1:17" x14ac:dyDescent="0.3">
      <c r="A1047" t="s">
        <v>2482</v>
      </c>
      <c r="B1047" t="s">
        <v>2483</v>
      </c>
      <c r="C1047" s="10" t="s">
        <v>3777</v>
      </c>
      <c r="D1047" s="10"/>
      <c r="E1047" s="14">
        <v>3500</v>
      </c>
      <c r="F1047" s="3">
        <v>1299</v>
      </c>
      <c r="G1047" s="3">
        <f t="shared" si="81"/>
        <v>7000</v>
      </c>
      <c r="H1047" s="3">
        <f t="shared" si="80"/>
        <v>2598</v>
      </c>
      <c r="I1047" s="14">
        <f t="shared" si="82"/>
        <v>4410</v>
      </c>
      <c r="J1047" s="14">
        <f t="shared" si="83"/>
        <v>-4402</v>
      </c>
      <c r="K1047" s="1">
        <v>0.63</v>
      </c>
      <c r="L1047">
        <v>3.8</v>
      </c>
      <c r="M1047" s="2">
        <v>44050</v>
      </c>
      <c r="N1047" t="s">
        <v>2484</v>
      </c>
      <c r="O1047">
        <f t="shared" si="84"/>
        <v>2</v>
      </c>
      <c r="P1047" s="12" t="e">
        <f>HYPERLINK(#REF!,"Link")</f>
        <v>#REF!</v>
      </c>
      <c r="Q1047" s="12" t="e">
        <f>HYPERLINK(#REF!,"Link")</f>
        <v>#REF!</v>
      </c>
    </row>
    <row r="1048" spans="1:17" x14ac:dyDescent="0.3">
      <c r="A1048" t="s">
        <v>2485</v>
      </c>
      <c r="B1048" t="s">
        <v>2486</v>
      </c>
      <c r="C1048" s="9" t="s">
        <v>3778</v>
      </c>
      <c r="D1048" s="9"/>
      <c r="E1048" s="14">
        <v>785</v>
      </c>
      <c r="F1048" s="3">
        <v>599</v>
      </c>
      <c r="G1048" s="3">
        <f t="shared" si="81"/>
        <v>1570</v>
      </c>
      <c r="H1048" s="3">
        <f t="shared" si="80"/>
        <v>1198</v>
      </c>
      <c r="I1048" s="14">
        <f t="shared" si="82"/>
        <v>376.8</v>
      </c>
      <c r="J1048" s="14">
        <f t="shared" si="83"/>
        <v>-372</v>
      </c>
      <c r="K1048" s="1">
        <v>0.24</v>
      </c>
      <c r="L1048">
        <v>4.2</v>
      </c>
      <c r="M1048" s="2">
        <v>24247</v>
      </c>
      <c r="N1048" t="s">
        <v>2487</v>
      </c>
      <c r="O1048">
        <f t="shared" si="84"/>
        <v>2</v>
      </c>
      <c r="P1048" s="12" t="e">
        <f>HYPERLINK(#REF!,"Link")</f>
        <v>#REF!</v>
      </c>
      <c r="Q1048" s="12" t="e">
        <f>HYPERLINK(#REF!,"Link")</f>
        <v>#REF!</v>
      </c>
    </row>
    <row r="1049" spans="1:17" x14ac:dyDescent="0.3">
      <c r="A1049" t="s">
        <v>2488</v>
      </c>
      <c r="B1049" t="s">
        <v>2489</v>
      </c>
      <c r="C1049" s="10" t="s">
        <v>3779</v>
      </c>
      <c r="D1049" s="10" t="s">
        <v>3780</v>
      </c>
      <c r="E1049" s="14">
        <v>3210</v>
      </c>
      <c r="F1049" s="3">
        <v>1999</v>
      </c>
      <c r="G1049" s="3">
        <f t="shared" si="81"/>
        <v>6420</v>
      </c>
      <c r="H1049" s="3">
        <f t="shared" si="80"/>
        <v>3998</v>
      </c>
      <c r="I1049" s="14">
        <f t="shared" si="82"/>
        <v>2439.6</v>
      </c>
      <c r="J1049" s="14">
        <f t="shared" si="83"/>
        <v>-2422</v>
      </c>
      <c r="K1049" s="1">
        <v>0.38</v>
      </c>
      <c r="L1049">
        <v>4.2</v>
      </c>
      <c r="M1049" s="2">
        <v>41349</v>
      </c>
      <c r="N1049" t="s">
        <v>2490</v>
      </c>
      <c r="O1049">
        <f t="shared" si="84"/>
        <v>2</v>
      </c>
      <c r="P1049" s="12" t="e">
        <f>HYPERLINK(#REF!,"Link")</f>
        <v>#REF!</v>
      </c>
      <c r="Q1049" s="12" t="e">
        <f>HYPERLINK(#REF!,"Link")</f>
        <v>#REF!</v>
      </c>
    </row>
    <row r="1050" spans="1:17" x14ac:dyDescent="0.3">
      <c r="A1050" t="s">
        <v>2491</v>
      </c>
      <c r="B1050" t="s">
        <v>2492</v>
      </c>
      <c r="C1050" s="9" t="s">
        <v>3781</v>
      </c>
      <c r="D1050" s="9" t="s">
        <v>3782</v>
      </c>
      <c r="E1050" s="14">
        <v>1000</v>
      </c>
      <c r="F1050" s="3">
        <v>549</v>
      </c>
      <c r="G1050" s="3">
        <f t="shared" si="81"/>
        <v>2000</v>
      </c>
      <c r="H1050" s="3">
        <f t="shared" si="80"/>
        <v>1098</v>
      </c>
      <c r="I1050" s="14">
        <f t="shared" si="82"/>
        <v>900</v>
      </c>
      <c r="J1050" s="14">
        <f t="shared" si="83"/>
        <v>-902</v>
      </c>
      <c r="K1050" s="1">
        <v>0.45</v>
      </c>
      <c r="L1050">
        <v>3.6</v>
      </c>
      <c r="M1050" s="2">
        <v>1074</v>
      </c>
      <c r="N1050" t="s">
        <v>2493</v>
      </c>
      <c r="O1050">
        <f t="shared" si="84"/>
        <v>2</v>
      </c>
      <c r="P1050" s="12" t="e">
        <f>HYPERLINK(#REF!,"Link")</f>
        <v>#REF!</v>
      </c>
      <c r="Q1050" s="12" t="e">
        <f>HYPERLINK(#REF!,"Link")</f>
        <v>#REF!</v>
      </c>
    </row>
    <row r="1051" spans="1:17" x14ac:dyDescent="0.3">
      <c r="A1051" t="s">
        <v>2494</v>
      </c>
      <c r="B1051" t="s">
        <v>2495</v>
      </c>
      <c r="C1051" s="10" t="s">
        <v>3771</v>
      </c>
      <c r="D1051" s="10" t="s">
        <v>3783</v>
      </c>
      <c r="E1051" s="14">
        <v>2000</v>
      </c>
      <c r="F1051" s="3">
        <v>999</v>
      </c>
      <c r="G1051" s="3">
        <f t="shared" si="81"/>
        <v>6000</v>
      </c>
      <c r="H1051" s="3">
        <f t="shared" si="80"/>
        <v>2997</v>
      </c>
      <c r="I1051" s="14">
        <f t="shared" si="82"/>
        <v>3000</v>
      </c>
      <c r="J1051" s="14">
        <f t="shared" si="83"/>
        <v>-3003</v>
      </c>
      <c r="K1051" s="1">
        <v>0.5</v>
      </c>
      <c r="L1051">
        <v>3.8</v>
      </c>
      <c r="M1051" s="2">
        <v>1163</v>
      </c>
      <c r="N1051" t="s">
        <v>2496</v>
      </c>
      <c r="O1051">
        <f t="shared" si="84"/>
        <v>3</v>
      </c>
      <c r="P1051" s="12" t="e">
        <f>HYPERLINK(#REF!,"Link")</f>
        <v>#REF!</v>
      </c>
      <c r="Q1051" s="12" t="e">
        <f>HYPERLINK(#REF!,"Link")</f>
        <v>#REF!</v>
      </c>
    </row>
    <row r="1052" spans="1:17" x14ac:dyDescent="0.3">
      <c r="A1052" t="s">
        <v>2497</v>
      </c>
      <c r="B1052" t="s">
        <v>2498</v>
      </c>
      <c r="C1052" s="9" t="s">
        <v>3784</v>
      </c>
      <c r="D1052" s="9"/>
      <c r="E1052" s="14">
        <v>1999</v>
      </c>
      <c r="F1052" s="3">
        <v>398</v>
      </c>
      <c r="G1052" s="3">
        <f t="shared" si="81"/>
        <v>3998</v>
      </c>
      <c r="H1052" s="3">
        <f t="shared" si="80"/>
        <v>796</v>
      </c>
      <c r="I1052" s="14">
        <f t="shared" si="82"/>
        <v>3198.4</v>
      </c>
      <c r="J1052" s="14">
        <f t="shared" si="83"/>
        <v>-3202</v>
      </c>
      <c r="K1052" s="1">
        <v>0.8</v>
      </c>
      <c r="L1052">
        <v>4.0999999999999996</v>
      </c>
      <c r="M1052">
        <v>257</v>
      </c>
      <c r="N1052" t="s">
        <v>2499</v>
      </c>
      <c r="O1052">
        <f t="shared" si="84"/>
        <v>2</v>
      </c>
      <c r="P1052" s="12" t="e">
        <f>HYPERLINK(#REF!,"Link")</f>
        <v>#REF!</v>
      </c>
      <c r="Q1052" s="12" t="e">
        <f>HYPERLINK(#REF!,"Link")</f>
        <v>#REF!</v>
      </c>
    </row>
    <row r="1053" spans="1:17" x14ac:dyDescent="0.3">
      <c r="A1053" t="s">
        <v>2500</v>
      </c>
      <c r="B1053" t="s">
        <v>2501</v>
      </c>
      <c r="C1053" s="10" t="s">
        <v>3785</v>
      </c>
      <c r="D1053" s="10"/>
      <c r="E1053" s="14">
        <v>720</v>
      </c>
      <c r="F1053" s="3">
        <v>539</v>
      </c>
      <c r="G1053" s="3">
        <f t="shared" si="81"/>
        <v>2160</v>
      </c>
      <c r="H1053" s="3">
        <f t="shared" si="80"/>
        <v>1617</v>
      </c>
      <c r="I1053" s="14">
        <f t="shared" si="82"/>
        <v>540</v>
      </c>
      <c r="J1053" s="14">
        <f t="shared" si="83"/>
        <v>-543</v>
      </c>
      <c r="K1053" s="1">
        <v>0.25</v>
      </c>
      <c r="L1053">
        <v>4.0999999999999996</v>
      </c>
      <c r="M1053" s="2">
        <v>36017</v>
      </c>
      <c r="N1053" t="s">
        <v>2502</v>
      </c>
      <c r="O1053">
        <f t="shared" si="84"/>
        <v>3</v>
      </c>
      <c r="P1053" s="12" t="e">
        <f>HYPERLINK(#REF!,"Link")</f>
        <v>#REF!</v>
      </c>
      <c r="Q1053" s="12" t="e">
        <f>HYPERLINK(#REF!,"Link")</f>
        <v>#REF!</v>
      </c>
    </row>
    <row r="1054" spans="1:17" x14ac:dyDescent="0.3">
      <c r="A1054" t="s">
        <v>2503</v>
      </c>
      <c r="B1054" t="s">
        <v>2504</v>
      </c>
      <c r="C1054" s="9" t="s">
        <v>3729</v>
      </c>
      <c r="D1054" s="9" t="s">
        <v>3786</v>
      </c>
      <c r="E1054" s="14">
        <v>1595</v>
      </c>
      <c r="F1054" s="3">
        <v>699</v>
      </c>
      <c r="G1054" s="3">
        <f t="shared" si="81"/>
        <v>3190</v>
      </c>
      <c r="H1054" s="3">
        <f t="shared" si="80"/>
        <v>1398</v>
      </c>
      <c r="I1054" s="14">
        <f t="shared" si="82"/>
        <v>1786.4</v>
      </c>
      <c r="J1054" s="14">
        <f t="shared" si="83"/>
        <v>-1792</v>
      </c>
      <c r="K1054" s="1">
        <v>0.56000000000000005</v>
      </c>
      <c r="L1054">
        <v>4.0999999999999996</v>
      </c>
      <c r="M1054" s="2">
        <v>8090</v>
      </c>
      <c r="N1054" t="s">
        <v>2505</v>
      </c>
      <c r="O1054">
        <f t="shared" si="84"/>
        <v>2</v>
      </c>
      <c r="P1054" s="12" t="e">
        <f>HYPERLINK(#REF!,"Link")</f>
        <v>#REF!</v>
      </c>
      <c r="Q1054" s="12" t="e">
        <f>HYPERLINK(#REF!,"Link")</f>
        <v>#REF!</v>
      </c>
    </row>
    <row r="1055" spans="1:17" x14ac:dyDescent="0.3">
      <c r="A1055" t="s">
        <v>2506</v>
      </c>
      <c r="B1055" t="s">
        <v>2507</v>
      </c>
      <c r="C1055" s="10" t="s">
        <v>3787</v>
      </c>
      <c r="D1055" s="10" t="s">
        <v>3788</v>
      </c>
      <c r="E1055" s="14">
        <v>3645</v>
      </c>
      <c r="F1055" s="3">
        <v>2148</v>
      </c>
      <c r="G1055" s="3">
        <f t="shared" si="81"/>
        <v>10935</v>
      </c>
      <c r="H1055" s="3">
        <f t="shared" si="80"/>
        <v>6444</v>
      </c>
      <c r="I1055" s="14">
        <f t="shared" si="82"/>
        <v>4483.3499999999995</v>
      </c>
      <c r="J1055" s="14">
        <f t="shared" si="83"/>
        <v>-4491</v>
      </c>
      <c r="K1055" s="1">
        <v>0.41</v>
      </c>
      <c r="L1055">
        <v>4.0999999999999996</v>
      </c>
      <c r="M1055" s="2">
        <v>31388</v>
      </c>
      <c r="N1055" t="s">
        <v>2508</v>
      </c>
      <c r="O1055">
        <f t="shared" si="84"/>
        <v>3</v>
      </c>
      <c r="P1055" s="12" t="e">
        <f>HYPERLINK(#REF!,"Link")</f>
        <v>#REF!</v>
      </c>
      <c r="Q1055" s="12" t="e">
        <f>HYPERLINK(#REF!,"Link")</f>
        <v>#REF!</v>
      </c>
    </row>
    <row r="1056" spans="1:17" x14ac:dyDescent="0.3">
      <c r="A1056" t="s">
        <v>2509</v>
      </c>
      <c r="B1056" t="s">
        <v>2510</v>
      </c>
      <c r="C1056" s="9" t="s">
        <v>3789</v>
      </c>
      <c r="D1056" s="9"/>
      <c r="E1056" s="14">
        <v>7950</v>
      </c>
      <c r="F1056" s="3">
        <v>3599</v>
      </c>
      <c r="G1056" s="3">
        <f t="shared" si="81"/>
        <v>23850</v>
      </c>
      <c r="H1056" s="3">
        <f t="shared" si="80"/>
        <v>10797</v>
      </c>
      <c r="I1056" s="14">
        <f t="shared" si="82"/>
        <v>13117.5</v>
      </c>
      <c r="J1056" s="14">
        <f t="shared" si="83"/>
        <v>-13053</v>
      </c>
      <c r="K1056" s="1">
        <v>0.55000000000000004</v>
      </c>
      <c r="L1056">
        <v>4.2</v>
      </c>
      <c r="M1056">
        <v>136</v>
      </c>
      <c r="N1056" t="s">
        <v>2511</v>
      </c>
      <c r="O1056">
        <f t="shared" si="84"/>
        <v>3</v>
      </c>
      <c r="P1056" s="12" t="e">
        <f>HYPERLINK(#REF!,"Link")</f>
        <v>#REF!</v>
      </c>
      <c r="Q1056" s="12" t="e">
        <f>HYPERLINK(#REF!,"Link")</f>
        <v>#REF!</v>
      </c>
    </row>
    <row r="1057" spans="1:17" x14ac:dyDescent="0.3">
      <c r="A1057" t="s">
        <v>2512</v>
      </c>
      <c r="B1057" t="s">
        <v>2513</v>
      </c>
      <c r="C1057" s="10" t="s">
        <v>3729</v>
      </c>
      <c r="D1057" s="10" t="s">
        <v>3786</v>
      </c>
      <c r="E1057" s="14">
        <v>999</v>
      </c>
      <c r="F1057" s="3">
        <v>351</v>
      </c>
      <c r="G1057" s="3">
        <f t="shared" si="81"/>
        <v>2997</v>
      </c>
      <c r="H1057" s="3">
        <f t="shared" si="80"/>
        <v>1053</v>
      </c>
      <c r="I1057" s="14">
        <f t="shared" si="82"/>
        <v>1948.0500000000002</v>
      </c>
      <c r="J1057" s="14">
        <f t="shared" si="83"/>
        <v>-1944</v>
      </c>
      <c r="K1057" s="1">
        <v>0.65</v>
      </c>
      <c r="L1057">
        <v>4</v>
      </c>
      <c r="M1057" s="2">
        <v>5380</v>
      </c>
      <c r="N1057" t="s">
        <v>2514</v>
      </c>
      <c r="O1057">
        <f t="shared" si="84"/>
        <v>3</v>
      </c>
      <c r="P1057" s="12" t="e">
        <f>HYPERLINK(#REF!,"Link")</f>
        <v>#REF!</v>
      </c>
      <c r="Q1057" s="12" t="e">
        <f>HYPERLINK(#REF!,"Link")</f>
        <v>#REF!</v>
      </c>
    </row>
    <row r="1058" spans="1:17" x14ac:dyDescent="0.3">
      <c r="A1058" t="s">
        <v>2515</v>
      </c>
      <c r="B1058" t="s">
        <v>2516</v>
      </c>
      <c r="C1058" s="9" t="s">
        <v>3790</v>
      </c>
      <c r="D1058" s="9" t="s">
        <v>3791</v>
      </c>
      <c r="E1058" s="14">
        <v>1745</v>
      </c>
      <c r="F1058" s="3">
        <v>1614</v>
      </c>
      <c r="G1058" s="3">
        <f t="shared" si="81"/>
        <v>3490</v>
      </c>
      <c r="H1058" s="3">
        <f t="shared" si="80"/>
        <v>3228</v>
      </c>
      <c r="I1058" s="14">
        <f t="shared" si="82"/>
        <v>279.2</v>
      </c>
      <c r="J1058" s="14">
        <f t="shared" si="83"/>
        <v>-262</v>
      </c>
      <c r="K1058" s="1">
        <v>0.08</v>
      </c>
      <c r="L1058">
        <v>4.3</v>
      </c>
      <c r="M1058" s="2">
        <v>37974</v>
      </c>
      <c r="N1058" t="s">
        <v>2517</v>
      </c>
      <c r="O1058">
        <f t="shared" si="84"/>
        <v>2</v>
      </c>
      <c r="P1058" s="12" t="e">
        <f>HYPERLINK(#REF!,"Link")</f>
        <v>#REF!</v>
      </c>
      <c r="Q1058" s="12" t="e">
        <f>HYPERLINK(#REF!,"Link")</f>
        <v>#REF!</v>
      </c>
    </row>
    <row r="1059" spans="1:17" x14ac:dyDescent="0.3">
      <c r="A1059" t="s">
        <v>2518</v>
      </c>
      <c r="B1059" t="s">
        <v>2519</v>
      </c>
      <c r="C1059" s="10" t="s">
        <v>3771</v>
      </c>
      <c r="D1059" s="10" t="s">
        <v>3792</v>
      </c>
      <c r="E1059" s="14">
        <v>1295</v>
      </c>
      <c r="F1059" s="3">
        <v>719</v>
      </c>
      <c r="G1059" s="3">
        <f t="shared" si="81"/>
        <v>2590</v>
      </c>
      <c r="H1059" s="3">
        <f t="shared" si="80"/>
        <v>1438</v>
      </c>
      <c r="I1059" s="14">
        <f t="shared" si="82"/>
        <v>1139.5999999999999</v>
      </c>
      <c r="J1059" s="14">
        <f t="shared" si="83"/>
        <v>-1152</v>
      </c>
      <c r="K1059" s="1">
        <v>0.44</v>
      </c>
      <c r="L1059">
        <v>4.2</v>
      </c>
      <c r="M1059" s="2">
        <v>17218</v>
      </c>
      <c r="N1059" t="s">
        <v>2520</v>
      </c>
      <c r="O1059">
        <f t="shared" si="84"/>
        <v>2</v>
      </c>
      <c r="P1059" s="12" t="e">
        <f>HYPERLINK(#REF!,"Link")</f>
        <v>#REF!</v>
      </c>
      <c r="Q1059" s="12" t="e">
        <f>HYPERLINK(#REF!,"Link")</f>
        <v>#REF!</v>
      </c>
    </row>
    <row r="1060" spans="1:17" x14ac:dyDescent="0.3">
      <c r="A1060" t="s">
        <v>2521</v>
      </c>
      <c r="B1060" t="s">
        <v>2522</v>
      </c>
      <c r="C1060" s="9" t="s">
        <v>3793</v>
      </c>
      <c r="D1060" s="9" t="s">
        <v>3794</v>
      </c>
      <c r="E1060" s="14">
        <v>1499</v>
      </c>
      <c r="F1060" s="3">
        <v>678</v>
      </c>
      <c r="G1060" s="3">
        <f t="shared" si="81"/>
        <v>2998</v>
      </c>
      <c r="H1060" s="3">
        <f t="shared" si="80"/>
        <v>1356</v>
      </c>
      <c r="I1060" s="14">
        <f t="shared" si="82"/>
        <v>1648.9</v>
      </c>
      <c r="J1060" s="14">
        <f t="shared" si="83"/>
        <v>-1642</v>
      </c>
      <c r="K1060" s="1">
        <v>0.55000000000000004</v>
      </c>
      <c r="L1060">
        <v>4.2</v>
      </c>
      <c r="M1060">
        <v>900</v>
      </c>
      <c r="N1060" t="s">
        <v>2523</v>
      </c>
      <c r="O1060">
        <f t="shared" si="84"/>
        <v>2</v>
      </c>
      <c r="P1060" s="12" t="e">
        <f>HYPERLINK(#REF!,"Link")</f>
        <v>#REF!</v>
      </c>
      <c r="Q1060" s="12" t="e">
        <f>HYPERLINK(#REF!,"Link")</f>
        <v>#REF!</v>
      </c>
    </row>
    <row r="1061" spans="1:17" x14ac:dyDescent="0.3">
      <c r="A1061" t="s">
        <v>2524</v>
      </c>
      <c r="B1061" t="s">
        <v>2525</v>
      </c>
      <c r="C1061" s="10" t="s">
        <v>3795</v>
      </c>
      <c r="D1061" s="10" t="s">
        <v>3796</v>
      </c>
      <c r="E1061" s="14">
        <v>1545</v>
      </c>
      <c r="F1061" s="3">
        <v>809</v>
      </c>
      <c r="G1061" s="3">
        <f t="shared" si="81"/>
        <v>3090</v>
      </c>
      <c r="H1061" s="3">
        <f t="shared" si="80"/>
        <v>1618</v>
      </c>
      <c r="I1061" s="14">
        <f t="shared" si="82"/>
        <v>1483.2</v>
      </c>
      <c r="J1061" s="14">
        <f t="shared" si="83"/>
        <v>-1472</v>
      </c>
      <c r="K1061" s="1">
        <v>0.48</v>
      </c>
      <c r="L1061">
        <v>3.7</v>
      </c>
      <c r="M1061">
        <v>976</v>
      </c>
      <c r="N1061" t="s">
        <v>2526</v>
      </c>
      <c r="O1061">
        <f t="shared" si="84"/>
        <v>2</v>
      </c>
      <c r="P1061" s="12" t="e">
        <f>HYPERLINK(#REF!,"Link")</f>
        <v>#REF!</v>
      </c>
      <c r="Q1061" s="12" t="e">
        <f>HYPERLINK(#REF!,"Link")</f>
        <v>#REF!</v>
      </c>
    </row>
    <row r="1062" spans="1:17" x14ac:dyDescent="0.3">
      <c r="A1062" t="s">
        <v>2527</v>
      </c>
      <c r="B1062" t="s">
        <v>2528</v>
      </c>
      <c r="C1062" s="9" t="s">
        <v>3771</v>
      </c>
      <c r="D1062" s="9" t="s">
        <v>3792</v>
      </c>
      <c r="E1062" s="14">
        <v>5000</v>
      </c>
      <c r="F1062" s="3">
        <v>1969</v>
      </c>
      <c r="G1062" s="3">
        <f t="shared" si="81"/>
        <v>15000</v>
      </c>
      <c r="H1062" s="3">
        <f t="shared" si="80"/>
        <v>5907</v>
      </c>
      <c r="I1062" s="14">
        <f t="shared" si="82"/>
        <v>9150</v>
      </c>
      <c r="J1062" s="14">
        <f t="shared" si="83"/>
        <v>-9093</v>
      </c>
      <c r="K1062" s="1">
        <v>0.61</v>
      </c>
      <c r="L1062">
        <v>4.0999999999999996</v>
      </c>
      <c r="M1062" s="2">
        <v>4927</v>
      </c>
      <c r="N1062" t="s">
        <v>2529</v>
      </c>
      <c r="O1062">
        <f t="shared" si="84"/>
        <v>3</v>
      </c>
      <c r="P1062" s="12" t="e">
        <f>HYPERLINK(#REF!,"Link")</f>
        <v>#REF!</v>
      </c>
      <c r="Q1062" s="12" t="e">
        <f>HYPERLINK(#REF!,"Link")</f>
        <v>#REF!</v>
      </c>
    </row>
    <row r="1063" spans="1:17" x14ac:dyDescent="0.3">
      <c r="A1063" t="s">
        <v>2530</v>
      </c>
      <c r="B1063" t="s">
        <v>2531</v>
      </c>
      <c r="C1063" s="10" t="s">
        <v>3797</v>
      </c>
      <c r="D1063" s="10"/>
      <c r="E1063" s="14">
        <v>1695</v>
      </c>
      <c r="F1063" s="3">
        <v>1490</v>
      </c>
      <c r="G1063" s="3">
        <f t="shared" si="81"/>
        <v>3390</v>
      </c>
      <c r="H1063" s="3">
        <f t="shared" si="80"/>
        <v>2980</v>
      </c>
      <c r="I1063" s="14">
        <f t="shared" si="82"/>
        <v>406.8</v>
      </c>
      <c r="J1063" s="14">
        <f t="shared" si="83"/>
        <v>-410</v>
      </c>
      <c r="K1063" s="1">
        <v>0.12</v>
      </c>
      <c r="L1063">
        <v>4.4000000000000004</v>
      </c>
      <c r="M1063" s="2">
        <v>3543</v>
      </c>
      <c r="N1063" t="s">
        <v>2532</v>
      </c>
      <c r="O1063">
        <f t="shared" si="84"/>
        <v>2</v>
      </c>
      <c r="P1063" s="12" t="e">
        <f>HYPERLINK(#REF!,"Link")</f>
        <v>#REF!</v>
      </c>
      <c r="Q1063" s="12" t="e">
        <f>HYPERLINK(#REF!,"Link")</f>
        <v>#REF!</v>
      </c>
    </row>
    <row r="1064" spans="1:17" x14ac:dyDescent="0.3">
      <c r="A1064" t="s">
        <v>2533</v>
      </c>
      <c r="B1064" t="s">
        <v>2534</v>
      </c>
      <c r="C1064" s="9" t="s">
        <v>3798</v>
      </c>
      <c r="D1064" s="9" t="s">
        <v>3799</v>
      </c>
      <c r="E1064" s="14">
        <v>3945</v>
      </c>
      <c r="F1064" s="3">
        <v>2499</v>
      </c>
      <c r="G1064" s="3">
        <f t="shared" si="81"/>
        <v>7890</v>
      </c>
      <c r="H1064" s="3">
        <f t="shared" si="80"/>
        <v>4998</v>
      </c>
      <c r="I1064" s="14">
        <f t="shared" si="82"/>
        <v>2919.3</v>
      </c>
      <c r="J1064" s="14">
        <f t="shared" si="83"/>
        <v>-2892</v>
      </c>
      <c r="K1064" s="1">
        <v>0.37</v>
      </c>
      <c r="L1064">
        <v>3.8</v>
      </c>
      <c r="M1064" s="2">
        <v>2732</v>
      </c>
      <c r="N1064" t="s">
        <v>2535</v>
      </c>
      <c r="O1064">
        <f t="shared" si="84"/>
        <v>2</v>
      </c>
      <c r="P1064" s="12" t="e">
        <f>HYPERLINK(#REF!,"Link")</f>
        <v>#REF!</v>
      </c>
      <c r="Q1064" s="12" t="e">
        <f>HYPERLINK(#REF!,"Link")</f>
        <v>#REF!</v>
      </c>
    </row>
    <row r="1065" spans="1:17" x14ac:dyDescent="0.3">
      <c r="A1065" t="s">
        <v>2536</v>
      </c>
      <c r="B1065" t="s">
        <v>2537</v>
      </c>
      <c r="C1065" s="10"/>
      <c r="D1065" s="10"/>
      <c r="E1065" s="14">
        <v>2099</v>
      </c>
      <c r="F1065" s="3">
        <v>1665</v>
      </c>
      <c r="G1065" s="3">
        <f t="shared" si="81"/>
        <v>6297</v>
      </c>
      <c r="H1065" s="3">
        <f t="shared" si="80"/>
        <v>4995</v>
      </c>
      <c r="I1065" s="14">
        <f t="shared" si="82"/>
        <v>1322.37</v>
      </c>
      <c r="J1065" s="14">
        <f t="shared" si="83"/>
        <v>-1302</v>
      </c>
      <c r="K1065" s="1">
        <v>0.21</v>
      </c>
      <c r="L1065">
        <v>4</v>
      </c>
      <c r="M1065" s="2">
        <v>14368</v>
      </c>
      <c r="N1065" t="s">
        <v>2538</v>
      </c>
      <c r="O1065">
        <f t="shared" si="84"/>
        <v>3</v>
      </c>
      <c r="P1065" s="12" t="e">
        <f>HYPERLINK(#REF!,"Link")</f>
        <v>#REF!</v>
      </c>
      <c r="Q1065" s="12" t="e">
        <f>HYPERLINK(#REF!,"Link")</f>
        <v>#REF!</v>
      </c>
    </row>
    <row r="1066" spans="1:17" x14ac:dyDescent="0.3">
      <c r="A1066" t="s">
        <v>2539</v>
      </c>
      <c r="B1066" t="s">
        <v>2540</v>
      </c>
      <c r="C1066" s="9" t="s">
        <v>3800</v>
      </c>
      <c r="D1066" s="9"/>
      <c r="E1066" s="14">
        <v>5295</v>
      </c>
      <c r="F1066" s="3">
        <v>3229</v>
      </c>
      <c r="G1066" s="3">
        <f t="shared" si="81"/>
        <v>21180</v>
      </c>
      <c r="H1066" s="3">
        <f t="shared" si="80"/>
        <v>12916</v>
      </c>
      <c r="I1066" s="14">
        <f t="shared" si="82"/>
        <v>8260.2000000000007</v>
      </c>
      <c r="J1066" s="14">
        <f t="shared" si="83"/>
        <v>-8264</v>
      </c>
      <c r="K1066" s="1">
        <v>0.39</v>
      </c>
      <c r="L1066">
        <v>4.2</v>
      </c>
      <c r="M1066" s="2">
        <v>39724</v>
      </c>
      <c r="N1066" t="s">
        <v>2541</v>
      </c>
      <c r="O1066">
        <f t="shared" si="84"/>
        <v>4</v>
      </c>
      <c r="P1066" s="12" t="e">
        <f>HYPERLINK(#REF!,"Link")</f>
        <v>#REF!</v>
      </c>
      <c r="Q1066" s="12" t="e">
        <f>HYPERLINK(#REF!,"Link")</f>
        <v>#REF!</v>
      </c>
    </row>
    <row r="1067" spans="1:17" x14ac:dyDescent="0.3">
      <c r="A1067" t="s">
        <v>2542</v>
      </c>
      <c r="B1067" t="s">
        <v>2543</v>
      </c>
      <c r="C1067" s="10" t="s">
        <v>3755</v>
      </c>
      <c r="D1067" s="10" t="s">
        <v>3801</v>
      </c>
      <c r="E1067" s="14">
        <v>3595</v>
      </c>
      <c r="F1067" s="3">
        <v>1799</v>
      </c>
      <c r="G1067" s="3">
        <f t="shared" si="81"/>
        <v>3595</v>
      </c>
      <c r="H1067" s="3">
        <f t="shared" si="80"/>
        <v>1799</v>
      </c>
      <c r="I1067" s="14">
        <f t="shared" si="82"/>
        <v>1797.5</v>
      </c>
      <c r="J1067" s="14">
        <f t="shared" si="83"/>
        <v>-1796</v>
      </c>
      <c r="K1067" s="1">
        <v>0.5</v>
      </c>
      <c r="L1067">
        <v>3.8</v>
      </c>
      <c r="M1067" s="2">
        <v>9791</v>
      </c>
      <c r="N1067" t="s">
        <v>2544</v>
      </c>
      <c r="O1067">
        <f t="shared" si="84"/>
        <v>1</v>
      </c>
      <c r="P1067" s="12" t="e">
        <f>HYPERLINK(#REF!,"Link")</f>
        <v>#REF!</v>
      </c>
      <c r="Q1067" s="12" t="e">
        <f>HYPERLINK(#REF!,"Link")</f>
        <v>#REF!</v>
      </c>
    </row>
    <row r="1068" spans="1:17" x14ac:dyDescent="0.3">
      <c r="A1068" t="s">
        <v>2545</v>
      </c>
      <c r="B1068" t="s">
        <v>2546</v>
      </c>
      <c r="C1068" s="9" t="s">
        <v>3744</v>
      </c>
      <c r="D1068" s="9" t="s">
        <v>3802</v>
      </c>
      <c r="E1068" s="14">
        <v>1699</v>
      </c>
      <c r="F1068" s="3">
        <v>1260</v>
      </c>
      <c r="G1068" s="3">
        <f t="shared" si="81"/>
        <v>8495</v>
      </c>
      <c r="H1068" s="3">
        <f t="shared" si="80"/>
        <v>6300</v>
      </c>
      <c r="I1068" s="14">
        <f t="shared" si="82"/>
        <v>2208.6999999999998</v>
      </c>
      <c r="J1068" s="14">
        <f t="shared" si="83"/>
        <v>-2195</v>
      </c>
      <c r="K1068" s="1">
        <v>0.26</v>
      </c>
      <c r="L1068">
        <v>4.2</v>
      </c>
      <c r="M1068" s="2">
        <v>2891</v>
      </c>
      <c r="N1068" t="s">
        <v>2547</v>
      </c>
      <c r="O1068">
        <f t="shared" si="84"/>
        <v>5</v>
      </c>
      <c r="P1068" s="12" t="e">
        <f>HYPERLINK(#REF!,"Link")</f>
        <v>#REF!</v>
      </c>
      <c r="Q1068" s="12" t="e">
        <f>HYPERLINK(#REF!,"Link")</f>
        <v>#REF!</v>
      </c>
    </row>
    <row r="1069" spans="1:17" x14ac:dyDescent="0.3">
      <c r="A1069" t="s">
        <v>2548</v>
      </c>
      <c r="B1069" t="s">
        <v>2549</v>
      </c>
      <c r="C1069" s="10"/>
      <c r="D1069" s="10"/>
      <c r="E1069" s="14">
        <v>1129</v>
      </c>
      <c r="F1069" s="3">
        <v>749</v>
      </c>
      <c r="G1069" s="3">
        <f t="shared" si="81"/>
        <v>2258</v>
      </c>
      <c r="H1069" s="3">
        <f t="shared" si="80"/>
        <v>1498</v>
      </c>
      <c r="I1069" s="14">
        <f t="shared" si="82"/>
        <v>767.72</v>
      </c>
      <c r="J1069" s="14">
        <f t="shared" si="83"/>
        <v>-760</v>
      </c>
      <c r="K1069" s="1">
        <v>0.34</v>
      </c>
      <c r="L1069">
        <v>4</v>
      </c>
      <c r="M1069" s="2">
        <v>2446</v>
      </c>
      <c r="N1069" t="s">
        <v>2550</v>
      </c>
      <c r="O1069">
        <f t="shared" si="84"/>
        <v>2</v>
      </c>
      <c r="P1069" s="12" t="e">
        <f>HYPERLINK(#REF!,"Link")</f>
        <v>#REF!</v>
      </c>
      <c r="Q1069" s="12" t="e">
        <f>HYPERLINK(#REF!,"Link")</f>
        <v>#REF!</v>
      </c>
    </row>
    <row r="1070" spans="1:17" x14ac:dyDescent="0.3">
      <c r="A1070" t="s">
        <v>2551</v>
      </c>
      <c r="B1070" t="s">
        <v>2552</v>
      </c>
      <c r="C1070" s="9" t="s">
        <v>3779</v>
      </c>
      <c r="D1070" s="9" t="s">
        <v>3780</v>
      </c>
      <c r="E1070" s="14">
        <v>5795</v>
      </c>
      <c r="F1070" s="3">
        <v>3499</v>
      </c>
      <c r="G1070" s="3">
        <f t="shared" si="81"/>
        <v>23180</v>
      </c>
      <c r="H1070" s="3">
        <f t="shared" si="80"/>
        <v>13996</v>
      </c>
      <c r="I1070" s="14">
        <f t="shared" si="82"/>
        <v>9272</v>
      </c>
      <c r="J1070" s="14">
        <f t="shared" si="83"/>
        <v>-9184</v>
      </c>
      <c r="K1070" s="1">
        <v>0.4</v>
      </c>
      <c r="L1070">
        <v>3.9</v>
      </c>
      <c r="M1070" s="2">
        <v>25340</v>
      </c>
      <c r="N1070" t="s">
        <v>2553</v>
      </c>
      <c r="O1070">
        <f t="shared" si="84"/>
        <v>4</v>
      </c>
      <c r="P1070" s="12" t="e">
        <f>HYPERLINK(#REF!,"Link")</f>
        <v>#REF!</v>
      </c>
      <c r="Q1070" s="12" t="e">
        <f>HYPERLINK(#REF!,"Link")</f>
        <v>#REF!</v>
      </c>
    </row>
    <row r="1071" spans="1:17" x14ac:dyDescent="0.3">
      <c r="A1071" t="s">
        <v>2554</v>
      </c>
      <c r="B1071" t="s">
        <v>2555</v>
      </c>
      <c r="C1071" s="10" t="s">
        <v>3803</v>
      </c>
      <c r="D1071" s="10"/>
      <c r="E1071" s="14">
        <v>999</v>
      </c>
      <c r="F1071" s="3">
        <v>379</v>
      </c>
      <c r="G1071" s="3">
        <f t="shared" si="81"/>
        <v>2997</v>
      </c>
      <c r="H1071" s="3">
        <f t="shared" si="80"/>
        <v>1137</v>
      </c>
      <c r="I1071" s="14">
        <f t="shared" si="82"/>
        <v>1858.1399999999999</v>
      </c>
      <c r="J1071" s="14">
        <f t="shared" si="83"/>
        <v>-1860</v>
      </c>
      <c r="K1071" s="1">
        <v>0.62</v>
      </c>
      <c r="L1071">
        <v>4.3</v>
      </c>
      <c r="M1071" s="2">
        <v>3096</v>
      </c>
      <c r="N1071" t="s">
        <v>2556</v>
      </c>
      <c r="O1071">
        <f t="shared" si="84"/>
        <v>3</v>
      </c>
      <c r="P1071" s="12" t="e">
        <f>HYPERLINK(#REF!,"Link")</f>
        <v>#REF!</v>
      </c>
      <c r="Q1071" s="12" t="e">
        <f>HYPERLINK(#REF!,"Link")</f>
        <v>#REF!</v>
      </c>
    </row>
    <row r="1072" spans="1:17" x14ac:dyDescent="0.3">
      <c r="A1072" t="s">
        <v>2557</v>
      </c>
      <c r="B1072" t="s">
        <v>2558</v>
      </c>
      <c r="C1072" s="9" t="s">
        <v>3727</v>
      </c>
      <c r="D1072" s="9" t="s">
        <v>3804</v>
      </c>
      <c r="E1072" s="14">
        <v>2400</v>
      </c>
      <c r="F1072" s="3">
        <v>1099</v>
      </c>
      <c r="G1072" s="3">
        <f t="shared" si="81"/>
        <v>7200</v>
      </c>
      <c r="H1072" s="3">
        <f t="shared" si="80"/>
        <v>3297</v>
      </c>
      <c r="I1072" s="14">
        <f t="shared" si="82"/>
        <v>3888</v>
      </c>
      <c r="J1072" s="14">
        <f t="shared" si="83"/>
        <v>-3903</v>
      </c>
      <c r="K1072" s="1">
        <v>0.54</v>
      </c>
      <c r="L1072">
        <v>3.8</v>
      </c>
      <c r="M1072">
        <v>4</v>
      </c>
      <c r="N1072" t="s">
        <v>2559</v>
      </c>
      <c r="O1072">
        <f t="shared" si="84"/>
        <v>3</v>
      </c>
      <c r="P1072" s="12" t="e">
        <f>HYPERLINK(#REF!,"Link")</f>
        <v>#REF!</v>
      </c>
      <c r="Q1072" s="12" t="e">
        <f>HYPERLINK(#REF!,"Link")</f>
        <v>#REF!</v>
      </c>
    </row>
    <row r="1073" spans="1:17" x14ac:dyDescent="0.3">
      <c r="A1073" t="s">
        <v>2560</v>
      </c>
      <c r="B1073" t="s">
        <v>2561</v>
      </c>
      <c r="C1073" s="10" t="s">
        <v>3738</v>
      </c>
      <c r="D1073" s="10" t="s">
        <v>3805</v>
      </c>
      <c r="E1073" s="14">
        <v>1299</v>
      </c>
      <c r="F1073" s="3">
        <v>749</v>
      </c>
      <c r="G1073" s="3">
        <f t="shared" si="81"/>
        <v>2598</v>
      </c>
      <c r="H1073" s="3">
        <f t="shared" si="80"/>
        <v>1498</v>
      </c>
      <c r="I1073" s="14">
        <f t="shared" si="82"/>
        <v>1091.1599999999999</v>
      </c>
      <c r="J1073" s="14">
        <f t="shared" si="83"/>
        <v>-1100</v>
      </c>
      <c r="K1073" s="1">
        <v>0.42</v>
      </c>
      <c r="L1073">
        <v>4</v>
      </c>
      <c r="M1073">
        <v>119</v>
      </c>
      <c r="N1073" t="s">
        <v>2562</v>
      </c>
      <c r="O1073">
        <f t="shared" si="84"/>
        <v>2</v>
      </c>
      <c r="P1073" s="12" t="e">
        <f>HYPERLINK(#REF!,"Link")</f>
        <v>#REF!</v>
      </c>
      <c r="Q1073" s="12" t="e">
        <f>HYPERLINK(#REF!,"Link")</f>
        <v>#REF!</v>
      </c>
    </row>
    <row r="1074" spans="1:17" x14ac:dyDescent="0.3">
      <c r="A1074" t="s">
        <v>2563</v>
      </c>
      <c r="B1074" t="s">
        <v>2564</v>
      </c>
      <c r="C1074" s="9" t="s">
        <v>3729</v>
      </c>
      <c r="D1074" s="9" t="s">
        <v>3786</v>
      </c>
      <c r="E1074" s="14">
        <v>1299</v>
      </c>
      <c r="F1074" s="3">
        <v>1299</v>
      </c>
      <c r="G1074" s="3">
        <f t="shared" si="81"/>
        <v>2598</v>
      </c>
      <c r="H1074" s="3">
        <f t="shared" si="80"/>
        <v>2598</v>
      </c>
      <c r="I1074" s="14">
        <f t="shared" si="82"/>
        <v>0</v>
      </c>
      <c r="J1074" s="14">
        <f t="shared" si="83"/>
        <v>0</v>
      </c>
      <c r="K1074" s="1">
        <v>0</v>
      </c>
      <c r="L1074">
        <v>4.2</v>
      </c>
      <c r="M1074" s="2">
        <v>40106</v>
      </c>
      <c r="N1074" t="s">
        <v>2565</v>
      </c>
      <c r="O1074">
        <f t="shared" si="84"/>
        <v>2</v>
      </c>
      <c r="P1074" s="12" t="e">
        <f>HYPERLINK(#REF!,"Link")</f>
        <v>#REF!</v>
      </c>
      <c r="Q1074" s="12" t="e">
        <f>HYPERLINK(#REF!,"Link")</f>
        <v>#REF!</v>
      </c>
    </row>
    <row r="1075" spans="1:17" x14ac:dyDescent="0.3">
      <c r="A1075" t="s">
        <v>2566</v>
      </c>
      <c r="B1075" t="s">
        <v>2567</v>
      </c>
      <c r="C1075" s="10" t="s">
        <v>3729</v>
      </c>
      <c r="D1075" s="10" t="s">
        <v>3806</v>
      </c>
      <c r="E1075" s="14">
        <v>1090</v>
      </c>
      <c r="F1075" s="3">
        <v>549</v>
      </c>
      <c r="G1075" s="3">
        <f t="shared" si="81"/>
        <v>4360</v>
      </c>
      <c r="H1075" s="3">
        <f t="shared" si="80"/>
        <v>2196</v>
      </c>
      <c r="I1075" s="14">
        <f t="shared" si="82"/>
        <v>2180</v>
      </c>
      <c r="J1075" s="14">
        <f t="shared" si="83"/>
        <v>-2164</v>
      </c>
      <c r="K1075" s="1">
        <v>0.5</v>
      </c>
      <c r="L1075">
        <v>4.2</v>
      </c>
      <c r="M1075" s="2">
        <v>13029</v>
      </c>
      <c r="N1075" t="s">
        <v>2568</v>
      </c>
      <c r="O1075">
        <f t="shared" si="84"/>
        <v>4</v>
      </c>
      <c r="P1075" s="12" t="e">
        <f>HYPERLINK(#REF!,"Link")</f>
        <v>#REF!</v>
      </c>
      <c r="Q1075" s="12" t="e">
        <f>HYPERLINK(#REF!,"Link")</f>
        <v>#REF!</v>
      </c>
    </row>
    <row r="1076" spans="1:17" x14ac:dyDescent="0.3">
      <c r="A1076" t="s">
        <v>2569</v>
      </c>
      <c r="B1076" t="s">
        <v>2570</v>
      </c>
      <c r="C1076" s="9"/>
      <c r="D1076" s="9"/>
      <c r="E1076" s="14">
        <v>2000</v>
      </c>
      <c r="F1076" s="3">
        <v>899</v>
      </c>
      <c r="G1076" s="3">
        <f t="shared" si="81"/>
        <v>8000</v>
      </c>
      <c r="H1076" s="3">
        <f t="shared" si="80"/>
        <v>3596</v>
      </c>
      <c r="I1076" s="14">
        <f t="shared" si="82"/>
        <v>4400</v>
      </c>
      <c r="J1076" s="14">
        <f t="shared" si="83"/>
        <v>-4404</v>
      </c>
      <c r="K1076" s="1">
        <v>0.55000000000000004</v>
      </c>
      <c r="L1076">
        <v>3.6</v>
      </c>
      <c r="M1076">
        <v>291</v>
      </c>
      <c r="N1076" t="s">
        <v>2571</v>
      </c>
      <c r="O1076">
        <f t="shared" si="84"/>
        <v>4</v>
      </c>
      <c r="P1076" s="12" t="e">
        <f>HYPERLINK(#REF!,"Link")</f>
        <v>#REF!</v>
      </c>
      <c r="Q1076" s="12" t="e">
        <f>HYPERLINK(#REF!,"Link")</f>
        <v>#REF!</v>
      </c>
    </row>
    <row r="1077" spans="1:17" x14ac:dyDescent="0.3">
      <c r="A1077" t="s">
        <v>2572</v>
      </c>
      <c r="B1077" t="s">
        <v>2573</v>
      </c>
      <c r="C1077" s="10" t="s">
        <v>3807</v>
      </c>
      <c r="D1077" s="10" t="s">
        <v>3808</v>
      </c>
      <c r="E1077" s="14">
        <v>1545</v>
      </c>
      <c r="F1077" s="3">
        <v>1321</v>
      </c>
      <c r="G1077" s="3">
        <f t="shared" si="81"/>
        <v>4635</v>
      </c>
      <c r="H1077" s="3">
        <f t="shared" si="80"/>
        <v>3963</v>
      </c>
      <c r="I1077" s="14">
        <f t="shared" si="82"/>
        <v>648.90000000000009</v>
      </c>
      <c r="J1077" s="14">
        <f t="shared" si="83"/>
        <v>-672</v>
      </c>
      <c r="K1077" s="1">
        <v>0.14000000000000001</v>
      </c>
      <c r="L1077">
        <v>4.3</v>
      </c>
      <c r="M1077" s="2">
        <v>15453</v>
      </c>
      <c r="N1077" t="s">
        <v>2574</v>
      </c>
      <c r="O1077">
        <f t="shared" si="84"/>
        <v>3</v>
      </c>
      <c r="P1077" s="12" t="e">
        <f>HYPERLINK(#REF!,"Link")</f>
        <v>#REF!</v>
      </c>
      <c r="Q1077" s="12" t="e">
        <f>HYPERLINK(#REF!,"Link")</f>
        <v>#REF!</v>
      </c>
    </row>
    <row r="1078" spans="1:17" x14ac:dyDescent="0.3">
      <c r="A1078" t="s">
        <v>2575</v>
      </c>
      <c r="B1078" t="s">
        <v>2576</v>
      </c>
      <c r="C1078" s="9" t="s">
        <v>3729</v>
      </c>
      <c r="D1078" s="9" t="s">
        <v>3809</v>
      </c>
      <c r="E1078" s="14">
        <v>1999</v>
      </c>
      <c r="F1078" s="3">
        <v>1099</v>
      </c>
      <c r="G1078" s="3">
        <f t="shared" si="81"/>
        <v>5997</v>
      </c>
      <c r="H1078" s="3">
        <f t="shared" si="80"/>
        <v>3297</v>
      </c>
      <c r="I1078" s="14">
        <f t="shared" si="82"/>
        <v>2698.65</v>
      </c>
      <c r="J1078" s="14">
        <f t="shared" si="83"/>
        <v>-2700</v>
      </c>
      <c r="K1078" s="1">
        <v>0.45</v>
      </c>
      <c r="L1078">
        <v>4</v>
      </c>
      <c r="M1078">
        <v>604</v>
      </c>
      <c r="N1078" t="s">
        <v>2577</v>
      </c>
      <c r="O1078">
        <f t="shared" si="84"/>
        <v>3</v>
      </c>
      <c r="P1078" s="12" t="e">
        <f>HYPERLINK(#REF!,"Link")</f>
        <v>#REF!</v>
      </c>
      <c r="Q1078" s="12" t="e">
        <f>HYPERLINK(#REF!,"Link")</f>
        <v>#REF!</v>
      </c>
    </row>
    <row r="1079" spans="1:17" x14ac:dyDescent="0.3">
      <c r="A1079" t="s">
        <v>2578</v>
      </c>
      <c r="B1079" t="s">
        <v>2579</v>
      </c>
      <c r="C1079" s="10" t="s">
        <v>3810</v>
      </c>
      <c r="D1079" s="10" t="s">
        <v>3811</v>
      </c>
      <c r="E1079" s="14">
        <v>875</v>
      </c>
      <c r="F1079" s="3">
        <v>775</v>
      </c>
      <c r="G1079" s="3">
        <f t="shared" si="81"/>
        <v>875</v>
      </c>
      <c r="H1079" s="3">
        <f t="shared" si="80"/>
        <v>775</v>
      </c>
      <c r="I1079" s="14">
        <f t="shared" si="82"/>
        <v>96.25</v>
      </c>
      <c r="J1079" s="14">
        <f t="shared" si="83"/>
        <v>-100</v>
      </c>
      <c r="K1079" s="1">
        <v>0.11</v>
      </c>
      <c r="L1079">
        <v>4.2</v>
      </c>
      <c r="M1079" s="2">
        <v>46647</v>
      </c>
      <c r="N1079" t="s">
        <v>2580</v>
      </c>
      <c r="O1079">
        <f t="shared" si="84"/>
        <v>1</v>
      </c>
      <c r="P1079" s="12" t="e">
        <f>HYPERLINK(#REF!,"Link")</f>
        <v>#REF!</v>
      </c>
      <c r="Q1079" s="12" t="e">
        <f>HYPERLINK(#REF!,"Link")</f>
        <v>#REF!</v>
      </c>
    </row>
    <row r="1080" spans="1:17" x14ac:dyDescent="0.3">
      <c r="A1080" t="s">
        <v>2581</v>
      </c>
      <c r="B1080" t="s">
        <v>2480</v>
      </c>
      <c r="C1080" s="9" t="s">
        <v>3812</v>
      </c>
      <c r="D1080" s="9" t="s">
        <v>3764</v>
      </c>
      <c r="E1080" s="14">
        <v>15270</v>
      </c>
      <c r="F1080" s="3">
        <v>6299</v>
      </c>
      <c r="G1080" s="3">
        <f t="shared" si="81"/>
        <v>30540</v>
      </c>
      <c r="H1080" s="3">
        <f t="shared" si="80"/>
        <v>12598</v>
      </c>
      <c r="I1080" s="14">
        <f t="shared" si="82"/>
        <v>18018.599999999999</v>
      </c>
      <c r="J1080" s="14">
        <f t="shared" si="83"/>
        <v>-17942</v>
      </c>
      <c r="K1080" s="1">
        <v>0.59</v>
      </c>
      <c r="L1080">
        <v>4.0999999999999996</v>
      </c>
      <c r="M1080" s="2">
        <v>3233</v>
      </c>
      <c r="N1080" t="s">
        <v>2582</v>
      </c>
      <c r="O1080">
        <f t="shared" si="84"/>
        <v>2</v>
      </c>
      <c r="P1080" s="12" t="e">
        <f>HYPERLINK(#REF!,"Link")</f>
        <v>#REF!</v>
      </c>
      <c r="Q1080" s="12" t="e">
        <f>HYPERLINK(#REF!,"Link")</f>
        <v>#REF!</v>
      </c>
    </row>
    <row r="1081" spans="1:17" x14ac:dyDescent="0.3">
      <c r="A1081" t="s">
        <v>2583</v>
      </c>
      <c r="B1081" t="s">
        <v>2584</v>
      </c>
      <c r="C1081" s="10" t="s">
        <v>3793</v>
      </c>
      <c r="D1081" s="10" t="s">
        <v>3813</v>
      </c>
      <c r="E1081" s="14">
        <v>4195</v>
      </c>
      <c r="F1081" s="3">
        <v>3190</v>
      </c>
      <c r="G1081" s="3">
        <f t="shared" si="81"/>
        <v>8390</v>
      </c>
      <c r="H1081" s="3">
        <f t="shared" si="80"/>
        <v>6380</v>
      </c>
      <c r="I1081" s="14">
        <f t="shared" si="82"/>
        <v>2013.6</v>
      </c>
      <c r="J1081" s="14">
        <f t="shared" si="83"/>
        <v>-2010</v>
      </c>
      <c r="K1081" s="1">
        <v>0.24</v>
      </c>
      <c r="L1081">
        <v>4</v>
      </c>
      <c r="M1081" s="2">
        <v>1282</v>
      </c>
      <c r="N1081" t="s">
        <v>2585</v>
      </c>
      <c r="O1081">
        <f t="shared" si="84"/>
        <v>2</v>
      </c>
      <c r="P1081" s="12" t="e">
        <f>HYPERLINK(#REF!,"Link")</f>
        <v>#REF!</v>
      </c>
      <c r="Q1081" s="12" t="e">
        <f>HYPERLINK(#REF!,"Link")</f>
        <v>#REF!</v>
      </c>
    </row>
    <row r="1082" spans="1:17" x14ac:dyDescent="0.3">
      <c r="A1082" t="s">
        <v>2586</v>
      </c>
      <c r="B1082" t="s">
        <v>2587</v>
      </c>
      <c r="C1082" s="9" t="s">
        <v>3787</v>
      </c>
      <c r="D1082" s="9" t="s">
        <v>3814</v>
      </c>
      <c r="E1082" s="14">
        <v>1989</v>
      </c>
      <c r="F1082" s="3">
        <v>799</v>
      </c>
      <c r="G1082" s="3">
        <f t="shared" si="81"/>
        <v>1989</v>
      </c>
      <c r="H1082" s="3">
        <f t="shared" si="80"/>
        <v>799</v>
      </c>
      <c r="I1082" s="14">
        <f t="shared" si="82"/>
        <v>1193.3999999999999</v>
      </c>
      <c r="J1082" s="14">
        <f t="shared" si="83"/>
        <v>-1190</v>
      </c>
      <c r="K1082" s="1">
        <v>0.6</v>
      </c>
      <c r="L1082">
        <v>4.3</v>
      </c>
      <c r="M1082">
        <v>70</v>
      </c>
      <c r="N1082" t="s">
        <v>2588</v>
      </c>
      <c r="O1082">
        <f t="shared" si="84"/>
        <v>1</v>
      </c>
      <c r="P1082" s="12" t="e">
        <f>HYPERLINK(#REF!,"Link")</f>
        <v>#REF!</v>
      </c>
      <c r="Q1082" s="12" t="e">
        <f>HYPERLINK(#REF!,"Link")</f>
        <v>#REF!</v>
      </c>
    </row>
    <row r="1083" spans="1:17" x14ac:dyDescent="0.3">
      <c r="A1083" t="s">
        <v>2589</v>
      </c>
      <c r="B1083" t="s">
        <v>2590</v>
      </c>
      <c r="C1083" s="10" t="s">
        <v>3815</v>
      </c>
      <c r="D1083" s="10"/>
      <c r="E1083" s="14">
        <v>5000</v>
      </c>
      <c r="F1083" s="3">
        <v>2699</v>
      </c>
      <c r="G1083" s="3">
        <f t="shared" si="81"/>
        <v>10000</v>
      </c>
      <c r="H1083" s="3">
        <f t="shared" si="80"/>
        <v>5398</v>
      </c>
      <c r="I1083" s="14">
        <f t="shared" si="82"/>
        <v>4600</v>
      </c>
      <c r="J1083" s="14">
        <f t="shared" si="83"/>
        <v>-4602</v>
      </c>
      <c r="K1083" s="1">
        <v>0.46</v>
      </c>
      <c r="L1083">
        <v>4</v>
      </c>
      <c r="M1083" s="2">
        <v>26164</v>
      </c>
      <c r="N1083" t="s">
        <v>2591</v>
      </c>
      <c r="O1083">
        <f t="shared" si="84"/>
        <v>2</v>
      </c>
      <c r="P1083" s="12" t="e">
        <f>HYPERLINK(#REF!,"Link")</f>
        <v>#REF!</v>
      </c>
      <c r="Q1083" s="12" t="e">
        <f>HYPERLINK(#REF!,"Link")</f>
        <v>#REF!</v>
      </c>
    </row>
    <row r="1084" spans="1:17" x14ac:dyDescent="0.3">
      <c r="A1084" t="s">
        <v>2592</v>
      </c>
      <c r="B1084" t="s">
        <v>2593</v>
      </c>
      <c r="C1084" s="9" t="s">
        <v>3816</v>
      </c>
      <c r="D1084" s="9" t="s">
        <v>3817</v>
      </c>
      <c r="E1084" s="14">
        <v>990</v>
      </c>
      <c r="F1084" s="3">
        <v>599</v>
      </c>
      <c r="G1084" s="3">
        <f t="shared" si="81"/>
        <v>4950</v>
      </c>
      <c r="H1084" s="3">
        <f t="shared" si="80"/>
        <v>2995</v>
      </c>
      <c r="I1084" s="14">
        <f t="shared" si="82"/>
        <v>1930.5</v>
      </c>
      <c r="J1084" s="14">
        <f t="shared" si="83"/>
        <v>-1955</v>
      </c>
      <c r="K1084" s="1">
        <v>0.39</v>
      </c>
      <c r="L1084">
        <v>3.9</v>
      </c>
      <c r="M1084" s="2">
        <v>16166</v>
      </c>
      <c r="N1084" t="s">
        <v>2594</v>
      </c>
      <c r="O1084">
        <f t="shared" si="84"/>
        <v>5</v>
      </c>
      <c r="P1084" s="12" t="e">
        <f>HYPERLINK(#REF!,"Link")</f>
        <v>#REF!</v>
      </c>
      <c r="Q1084" s="12" t="e">
        <f>HYPERLINK(#REF!,"Link")</f>
        <v>#REF!</v>
      </c>
    </row>
    <row r="1085" spans="1:17" x14ac:dyDescent="0.3">
      <c r="A1085" t="s">
        <v>2595</v>
      </c>
      <c r="B1085" t="s">
        <v>2596</v>
      </c>
      <c r="C1085" s="10" t="s">
        <v>3744</v>
      </c>
      <c r="D1085" s="10" t="s">
        <v>3818</v>
      </c>
      <c r="E1085" s="14">
        <v>1111</v>
      </c>
      <c r="F1085" s="3">
        <v>749</v>
      </c>
      <c r="G1085" s="3">
        <f t="shared" si="81"/>
        <v>5555</v>
      </c>
      <c r="H1085" s="3">
        <f t="shared" si="80"/>
        <v>3745</v>
      </c>
      <c r="I1085" s="14">
        <f t="shared" si="82"/>
        <v>1833.15</v>
      </c>
      <c r="J1085" s="14">
        <f t="shared" si="83"/>
        <v>-1810</v>
      </c>
      <c r="K1085" s="1">
        <v>0.33</v>
      </c>
      <c r="L1085">
        <v>4.2</v>
      </c>
      <c r="M1085" s="2">
        <v>35693</v>
      </c>
      <c r="N1085" t="s">
        <v>2597</v>
      </c>
      <c r="O1085">
        <f t="shared" si="84"/>
        <v>5</v>
      </c>
      <c r="P1085" s="12" t="e">
        <f>HYPERLINK(#REF!,"Link")</f>
        <v>#REF!</v>
      </c>
      <c r="Q1085" s="12" t="e">
        <f>HYPERLINK(#REF!,"Link")</f>
        <v>#REF!</v>
      </c>
    </row>
    <row r="1086" spans="1:17" x14ac:dyDescent="0.3">
      <c r="A1086" t="s">
        <v>2598</v>
      </c>
      <c r="B1086" t="s">
        <v>2599</v>
      </c>
      <c r="C1086" s="9" t="s">
        <v>3768</v>
      </c>
      <c r="D1086" s="9" t="s">
        <v>3819</v>
      </c>
      <c r="E1086" s="14">
        <v>10400</v>
      </c>
      <c r="F1086" s="3">
        <v>6199</v>
      </c>
      <c r="G1086" s="3">
        <f t="shared" si="81"/>
        <v>41600</v>
      </c>
      <c r="H1086" s="3">
        <f t="shared" si="80"/>
        <v>24796</v>
      </c>
      <c r="I1086" s="14">
        <f t="shared" si="82"/>
        <v>16640</v>
      </c>
      <c r="J1086" s="14">
        <f t="shared" si="83"/>
        <v>-16804</v>
      </c>
      <c r="K1086" s="1">
        <v>0.4</v>
      </c>
      <c r="L1086">
        <v>4.0999999999999996</v>
      </c>
      <c r="M1086" s="2">
        <v>14391</v>
      </c>
      <c r="N1086" t="s">
        <v>2600</v>
      </c>
      <c r="O1086">
        <f t="shared" si="84"/>
        <v>4</v>
      </c>
      <c r="P1086" s="12" t="e">
        <f>HYPERLINK(#REF!,"Link")</f>
        <v>#REF!</v>
      </c>
      <c r="Q1086" s="12" t="e">
        <f>HYPERLINK(#REF!,"Link")</f>
        <v>#REF!</v>
      </c>
    </row>
    <row r="1087" spans="1:17" x14ac:dyDescent="0.3">
      <c r="A1087" t="s">
        <v>2601</v>
      </c>
      <c r="B1087" t="s">
        <v>2602</v>
      </c>
      <c r="C1087" s="10" t="s">
        <v>3820</v>
      </c>
      <c r="D1087" s="10"/>
      <c r="E1087" s="14">
        <v>2490</v>
      </c>
      <c r="F1087" s="3">
        <v>1819</v>
      </c>
      <c r="G1087" s="3">
        <f t="shared" si="81"/>
        <v>7470</v>
      </c>
      <c r="H1087" s="3">
        <f t="shared" si="80"/>
        <v>5457</v>
      </c>
      <c r="I1087" s="14">
        <f t="shared" si="82"/>
        <v>2016.9</v>
      </c>
      <c r="J1087" s="14">
        <f t="shared" si="83"/>
        <v>-2013</v>
      </c>
      <c r="K1087" s="1">
        <v>0.27</v>
      </c>
      <c r="L1087">
        <v>4.4000000000000004</v>
      </c>
      <c r="M1087" s="2">
        <v>7946</v>
      </c>
      <c r="N1087" t="s">
        <v>2603</v>
      </c>
      <c r="O1087">
        <f t="shared" si="84"/>
        <v>3</v>
      </c>
      <c r="P1087" s="12" t="e">
        <f>HYPERLINK(#REF!,"Link")</f>
        <v>#REF!</v>
      </c>
      <c r="Q1087" s="12" t="e">
        <f>HYPERLINK(#REF!,"Link")</f>
        <v>#REF!</v>
      </c>
    </row>
    <row r="1088" spans="1:17" x14ac:dyDescent="0.3">
      <c r="A1088" t="s">
        <v>2604</v>
      </c>
      <c r="B1088" t="s">
        <v>2605</v>
      </c>
      <c r="C1088" s="9" t="s">
        <v>3725</v>
      </c>
      <c r="D1088" s="9" t="s">
        <v>3726</v>
      </c>
      <c r="E1088" s="14">
        <v>1900</v>
      </c>
      <c r="F1088" s="3">
        <v>1199</v>
      </c>
      <c r="G1088" s="3">
        <f t="shared" si="81"/>
        <v>5700</v>
      </c>
      <c r="H1088" s="3">
        <f t="shared" si="80"/>
        <v>3597</v>
      </c>
      <c r="I1088" s="14">
        <f t="shared" si="82"/>
        <v>2109</v>
      </c>
      <c r="J1088" s="14">
        <f t="shared" si="83"/>
        <v>-2103</v>
      </c>
      <c r="K1088" s="1">
        <v>0.37</v>
      </c>
      <c r="L1088">
        <v>4</v>
      </c>
      <c r="M1088" s="2">
        <v>1765</v>
      </c>
      <c r="N1088" t="s">
        <v>2606</v>
      </c>
      <c r="O1088">
        <f t="shared" si="84"/>
        <v>3</v>
      </c>
      <c r="P1088" s="12" t="e">
        <f>HYPERLINK(#REF!,"Link")</f>
        <v>#REF!</v>
      </c>
      <c r="Q1088" s="12" t="e">
        <f>HYPERLINK(#REF!,"Link")</f>
        <v>#REF!</v>
      </c>
    </row>
    <row r="1089" spans="1:17" x14ac:dyDescent="0.3">
      <c r="A1089" t="s">
        <v>2607</v>
      </c>
      <c r="B1089" t="s">
        <v>2608</v>
      </c>
      <c r="C1089" s="10" t="s">
        <v>3821</v>
      </c>
      <c r="D1089" s="10"/>
      <c r="E1089" s="14">
        <v>6295</v>
      </c>
      <c r="F1089" s="3">
        <v>3249</v>
      </c>
      <c r="G1089" s="3">
        <f t="shared" si="81"/>
        <v>12590</v>
      </c>
      <c r="H1089" s="3">
        <f t="shared" si="80"/>
        <v>6498</v>
      </c>
      <c r="I1089" s="14">
        <f t="shared" si="82"/>
        <v>6043.2</v>
      </c>
      <c r="J1089" s="14">
        <f t="shared" si="83"/>
        <v>-6092</v>
      </c>
      <c r="K1089" s="1">
        <v>0.48</v>
      </c>
      <c r="L1089">
        <v>3.8</v>
      </c>
      <c r="M1089" s="2">
        <v>14062</v>
      </c>
      <c r="N1089" t="s">
        <v>2609</v>
      </c>
      <c r="O1089">
        <f t="shared" si="84"/>
        <v>2</v>
      </c>
      <c r="P1089" s="12" t="e">
        <f>HYPERLINK(#REF!,"Link")</f>
        <v>#REF!</v>
      </c>
      <c r="Q1089" s="12" t="e">
        <f>HYPERLINK(#REF!,"Link")</f>
        <v>#REF!</v>
      </c>
    </row>
    <row r="1090" spans="1:17" x14ac:dyDescent="0.3">
      <c r="A1090" t="s">
        <v>2610</v>
      </c>
      <c r="B1090" t="s">
        <v>2611</v>
      </c>
      <c r="C1090" s="9" t="s">
        <v>3822</v>
      </c>
      <c r="D1090" s="9"/>
      <c r="E1090" s="14">
        <v>999</v>
      </c>
      <c r="F1090" s="3">
        <v>349</v>
      </c>
      <c r="G1090" s="3">
        <f t="shared" si="81"/>
        <v>5994</v>
      </c>
      <c r="H1090" s="3">
        <f t="shared" ref="H1090:H1153" si="85">F1090*O1090</f>
        <v>2094</v>
      </c>
      <c r="I1090" s="14">
        <f t="shared" si="82"/>
        <v>3896.1000000000004</v>
      </c>
      <c r="J1090" s="14">
        <f t="shared" si="83"/>
        <v>-3900</v>
      </c>
      <c r="K1090" s="1">
        <v>0.65</v>
      </c>
      <c r="L1090">
        <v>4</v>
      </c>
      <c r="M1090" s="2">
        <v>15646</v>
      </c>
      <c r="N1090" t="s">
        <v>2612</v>
      </c>
      <c r="O1090">
        <f t="shared" si="84"/>
        <v>6</v>
      </c>
      <c r="P1090" s="12" t="e">
        <f>HYPERLINK(#REF!,"Link")</f>
        <v>#REF!</v>
      </c>
      <c r="Q1090" s="12" t="e">
        <f>HYPERLINK(#REF!,"Link")</f>
        <v>#REF!</v>
      </c>
    </row>
    <row r="1091" spans="1:17" x14ac:dyDescent="0.3">
      <c r="A1091" t="s">
        <v>2613</v>
      </c>
      <c r="B1091" t="s">
        <v>2614</v>
      </c>
      <c r="C1091" s="10" t="s">
        <v>3823</v>
      </c>
      <c r="D1091" s="10"/>
      <c r="E1091" s="14">
        <v>1699</v>
      </c>
      <c r="F1091" s="3">
        <v>1049</v>
      </c>
      <c r="G1091" s="3">
        <f t="shared" ref="G1091:G1154" si="86">E1091*O1091</f>
        <v>3398</v>
      </c>
      <c r="H1091" s="3">
        <f t="shared" si="85"/>
        <v>2098</v>
      </c>
      <c r="I1091" s="14">
        <f t="shared" ref="I1091:I1154" si="87">(E1091*K1091)*O1091</f>
        <v>1291.24</v>
      </c>
      <c r="J1091" s="14">
        <f t="shared" ref="J1091:J1154" si="88">H1091-G1091</f>
        <v>-1300</v>
      </c>
      <c r="K1091" s="1">
        <v>0.38</v>
      </c>
      <c r="L1091">
        <v>3.1</v>
      </c>
      <c r="M1091">
        <v>111</v>
      </c>
      <c r="N1091" t="s">
        <v>2615</v>
      </c>
      <c r="O1091">
        <f t="shared" ref="O1091:O1154" si="89">LEN(N1091)-LEN(SUBSTITUTE(N1091,",",""))+1</f>
        <v>2</v>
      </c>
      <c r="P1091" s="12" t="e">
        <f>HYPERLINK(#REF!,"Link")</f>
        <v>#REF!</v>
      </c>
      <c r="Q1091" s="12" t="e">
        <f>HYPERLINK(#REF!,"Link")</f>
        <v>#REF!</v>
      </c>
    </row>
    <row r="1092" spans="1:17" x14ac:dyDescent="0.3">
      <c r="A1092" t="s">
        <v>2616</v>
      </c>
      <c r="B1092" t="s">
        <v>2617</v>
      </c>
      <c r="C1092" s="9" t="s">
        <v>3752</v>
      </c>
      <c r="D1092" s="9" t="s">
        <v>3824</v>
      </c>
      <c r="E1092" s="14">
        <v>1500</v>
      </c>
      <c r="F1092" s="3">
        <v>799</v>
      </c>
      <c r="G1092" s="3">
        <f t="shared" si="86"/>
        <v>3000</v>
      </c>
      <c r="H1092" s="3">
        <f t="shared" si="85"/>
        <v>1598</v>
      </c>
      <c r="I1092" s="14">
        <f t="shared" si="87"/>
        <v>1410</v>
      </c>
      <c r="J1092" s="14">
        <f t="shared" si="88"/>
        <v>-1402</v>
      </c>
      <c r="K1092" s="1">
        <v>0.47</v>
      </c>
      <c r="L1092">
        <v>4.3</v>
      </c>
      <c r="M1092" s="2">
        <v>9695</v>
      </c>
      <c r="N1092" t="s">
        <v>2618</v>
      </c>
      <c r="O1092">
        <f t="shared" si="89"/>
        <v>2</v>
      </c>
      <c r="P1092" s="12" t="e">
        <f>HYPERLINK(#REF!,"Link")</f>
        <v>#REF!</v>
      </c>
      <c r="Q1092" s="12" t="e">
        <f>HYPERLINK(#REF!,"Link")</f>
        <v>#REF!</v>
      </c>
    </row>
    <row r="1093" spans="1:17" x14ac:dyDescent="0.3">
      <c r="A1093" t="s">
        <v>2619</v>
      </c>
      <c r="B1093" t="s">
        <v>2480</v>
      </c>
      <c r="C1093" s="10" t="s">
        <v>3748</v>
      </c>
      <c r="D1093" s="10" t="s">
        <v>3759</v>
      </c>
      <c r="E1093" s="14">
        <v>9650</v>
      </c>
      <c r="F1093" s="3">
        <v>4999</v>
      </c>
      <c r="G1093" s="3">
        <f t="shared" si="86"/>
        <v>38600</v>
      </c>
      <c r="H1093" s="3">
        <f t="shared" si="85"/>
        <v>19996</v>
      </c>
      <c r="I1093" s="14">
        <f t="shared" si="87"/>
        <v>18528</v>
      </c>
      <c r="J1093" s="14">
        <f t="shared" si="88"/>
        <v>-18604</v>
      </c>
      <c r="K1093" s="1">
        <v>0.48</v>
      </c>
      <c r="L1093">
        <v>4.2</v>
      </c>
      <c r="M1093" s="2">
        <v>1772</v>
      </c>
      <c r="N1093" t="s">
        <v>2620</v>
      </c>
      <c r="O1093">
        <f t="shared" si="89"/>
        <v>4</v>
      </c>
      <c r="P1093" s="12" t="e">
        <f>HYPERLINK(#REF!,"Link")</f>
        <v>#REF!</v>
      </c>
      <c r="Q1093" s="12" t="e">
        <f>HYPERLINK(#REF!,"Link")</f>
        <v>#REF!</v>
      </c>
    </row>
    <row r="1094" spans="1:17" x14ac:dyDescent="0.3">
      <c r="A1094" t="s">
        <v>2621</v>
      </c>
      <c r="B1094" t="s">
        <v>2622</v>
      </c>
      <c r="C1094" s="9" t="s">
        <v>3816</v>
      </c>
      <c r="D1094" s="9" t="s">
        <v>3825</v>
      </c>
      <c r="E1094" s="14">
        <v>10590</v>
      </c>
      <c r="F1094" s="3">
        <v>6999</v>
      </c>
      <c r="G1094" s="3">
        <f t="shared" si="86"/>
        <v>52950</v>
      </c>
      <c r="H1094" s="3">
        <f t="shared" si="85"/>
        <v>34995</v>
      </c>
      <c r="I1094" s="14">
        <f t="shared" si="87"/>
        <v>18003</v>
      </c>
      <c r="J1094" s="14">
        <f t="shared" si="88"/>
        <v>-17955</v>
      </c>
      <c r="K1094" s="1">
        <v>0.34</v>
      </c>
      <c r="L1094">
        <v>4.4000000000000004</v>
      </c>
      <c r="M1094" s="2">
        <v>11499</v>
      </c>
      <c r="N1094" t="s">
        <v>2623</v>
      </c>
      <c r="O1094">
        <f t="shared" si="89"/>
        <v>5</v>
      </c>
      <c r="P1094" s="12" t="e">
        <f>HYPERLINK(#REF!,"Link")</f>
        <v>#REF!</v>
      </c>
      <c r="Q1094" s="12" t="e">
        <f>HYPERLINK(#REF!,"Link")</f>
        <v>#REF!</v>
      </c>
    </row>
    <row r="1095" spans="1:17" x14ac:dyDescent="0.3">
      <c r="A1095" t="s">
        <v>2624</v>
      </c>
      <c r="B1095" t="s">
        <v>2625</v>
      </c>
      <c r="C1095" s="10" t="s">
        <v>3768</v>
      </c>
      <c r="D1095" s="10" t="s">
        <v>3826</v>
      </c>
      <c r="E1095" s="14">
        <v>1999</v>
      </c>
      <c r="F1095" s="3">
        <v>799</v>
      </c>
      <c r="G1095" s="3">
        <f t="shared" si="86"/>
        <v>7996</v>
      </c>
      <c r="H1095" s="3">
        <f t="shared" si="85"/>
        <v>3196</v>
      </c>
      <c r="I1095" s="14">
        <f t="shared" si="87"/>
        <v>4797.5999999999995</v>
      </c>
      <c r="J1095" s="14">
        <f t="shared" si="88"/>
        <v>-4800</v>
      </c>
      <c r="K1095" s="1">
        <v>0.6</v>
      </c>
      <c r="L1095">
        <v>4.0999999999999996</v>
      </c>
      <c r="M1095" s="2">
        <v>2162</v>
      </c>
      <c r="N1095" t="s">
        <v>2626</v>
      </c>
      <c r="O1095">
        <f t="shared" si="89"/>
        <v>4</v>
      </c>
      <c r="P1095" s="12" t="e">
        <f>HYPERLINK(#REF!,"Link")</f>
        <v>#REF!</v>
      </c>
      <c r="Q1095" s="12" t="e">
        <f>HYPERLINK(#REF!,"Link")</f>
        <v>#REF!</v>
      </c>
    </row>
    <row r="1096" spans="1:17" x14ac:dyDescent="0.3">
      <c r="A1096" t="s">
        <v>2627</v>
      </c>
      <c r="B1096" t="s">
        <v>2628</v>
      </c>
      <c r="C1096" s="9" t="s">
        <v>3768</v>
      </c>
      <c r="D1096" s="9"/>
      <c r="E1096" s="14">
        <v>89</v>
      </c>
      <c r="F1096" s="3">
        <v>89</v>
      </c>
      <c r="G1096" s="3">
        <f t="shared" si="86"/>
        <v>267</v>
      </c>
      <c r="H1096" s="3">
        <f t="shared" si="85"/>
        <v>267</v>
      </c>
      <c r="I1096" s="14">
        <f t="shared" si="87"/>
        <v>0</v>
      </c>
      <c r="J1096" s="14">
        <f t="shared" si="88"/>
        <v>0</v>
      </c>
      <c r="K1096" s="1">
        <v>0</v>
      </c>
      <c r="L1096">
        <v>4.2</v>
      </c>
      <c r="M1096" s="2">
        <v>19621</v>
      </c>
      <c r="N1096" t="s">
        <v>2629</v>
      </c>
      <c r="O1096">
        <f t="shared" si="89"/>
        <v>3</v>
      </c>
      <c r="P1096" s="12" t="e">
        <f>HYPERLINK(#REF!,"Link")</f>
        <v>#REF!</v>
      </c>
      <c r="Q1096" s="12" t="e">
        <f>HYPERLINK(#REF!,"Link")</f>
        <v>#REF!</v>
      </c>
    </row>
    <row r="1097" spans="1:17" x14ac:dyDescent="0.3">
      <c r="A1097" t="s">
        <v>2630</v>
      </c>
      <c r="B1097" t="s">
        <v>2631</v>
      </c>
      <c r="C1097" s="10" t="s">
        <v>3812</v>
      </c>
      <c r="D1097" s="10" t="s">
        <v>3760</v>
      </c>
      <c r="E1097" s="14">
        <v>2485</v>
      </c>
      <c r="F1097" s="3">
        <v>1400</v>
      </c>
      <c r="G1097" s="3">
        <f t="shared" si="86"/>
        <v>2485</v>
      </c>
      <c r="H1097" s="3">
        <f t="shared" si="85"/>
        <v>1400</v>
      </c>
      <c r="I1097" s="14">
        <f t="shared" si="87"/>
        <v>1093.4000000000001</v>
      </c>
      <c r="J1097" s="14">
        <f t="shared" si="88"/>
        <v>-1085</v>
      </c>
      <c r="K1097" s="1">
        <v>0.44</v>
      </c>
      <c r="L1097">
        <v>4.0999999999999996</v>
      </c>
      <c r="M1097" s="2">
        <v>19998</v>
      </c>
      <c r="N1097" t="s">
        <v>2632</v>
      </c>
      <c r="O1097">
        <f t="shared" si="89"/>
        <v>1</v>
      </c>
      <c r="P1097" s="12" t="e">
        <f>HYPERLINK(#REF!,"Link")</f>
        <v>#REF!</v>
      </c>
      <c r="Q1097" s="12" t="e">
        <f>HYPERLINK(#REF!,"Link")</f>
        <v>#REF!</v>
      </c>
    </row>
    <row r="1098" spans="1:17" x14ac:dyDescent="0.3">
      <c r="A1098" t="s">
        <v>2633</v>
      </c>
      <c r="B1098" t="s">
        <v>2634</v>
      </c>
      <c r="C1098" s="9" t="s">
        <v>3827</v>
      </c>
      <c r="D1098" s="9"/>
      <c r="E1098" s="14">
        <v>899</v>
      </c>
      <c r="F1098" s="3">
        <v>355</v>
      </c>
      <c r="G1098" s="3">
        <f t="shared" si="86"/>
        <v>1798</v>
      </c>
      <c r="H1098" s="3">
        <f t="shared" si="85"/>
        <v>710</v>
      </c>
      <c r="I1098" s="14">
        <f t="shared" si="87"/>
        <v>1096.78</v>
      </c>
      <c r="J1098" s="14">
        <f t="shared" si="88"/>
        <v>-1088</v>
      </c>
      <c r="K1098" s="1">
        <v>0.61</v>
      </c>
      <c r="L1098">
        <v>4.0999999999999996</v>
      </c>
      <c r="M1098" s="2">
        <v>1051</v>
      </c>
      <c r="N1098" t="s">
        <v>2635</v>
      </c>
      <c r="O1098">
        <f t="shared" si="89"/>
        <v>2</v>
      </c>
      <c r="P1098" s="12" t="e">
        <f>HYPERLINK(#REF!,"Link")</f>
        <v>#REF!</v>
      </c>
      <c r="Q1098" s="12" t="e">
        <f>HYPERLINK(#REF!,"Link")</f>
        <v>#REF!</v>
      </c>
    </row>
    <row r="1099" spans="1:17" x14ac:dyDescent="0.3">
      <c r="A1099" t="s">
        <v>2636</v>
      </c>
      <c r="B1099" t="s">
        <v>2637</v>
      </c>
      <c r="C1099" s="10" t="s">
        <v>3779</v>
      </c>
      <c r="D1099" s="10" t="s">
        <v>3828</v>
      </c>
      <c r="E1099" s="14">
        <v>3279</v>
      </c>
      <c r="F1099" s="3">
        <v>2169</v>
      </c>
      <c r="G1099" s="3">
        <f t="shared" si="86"/>
        <v>6558</v>
      </c>
      <c r="H1099" s="3">
        <f t="shared" si="85"/>
        <v>4338</v>
      </c>
      <c r="I1099" s="14">
        <f t="shared" si="87"/>
        <v>2229.7200000000003</v>
      </c>
      <c r="J1099" s="14">
        <f t="shared" si="88"/>
        <v>-2220</v>
      </c>
      <c r="K1099" s="1">
        <v>0.34</v>
      </c>
      <c r="L1099">
        <v>4.0999999999999996</v>
      </c>
      <c r="M1099" s="2">
        <v>1716</v>
      </c>
      <c r="N1099" t="s">
        <v>2638</v>
      </c>
      <c r="O1099">
        <f t="shared" si="89"/>
        <v>2</v>
      </c>
      <c r="P1099" s="12" t="e">
        <f>HYPERLINK(#REF!,"Link")</f>
        <v>#REF!</v>
      </c>
      <c r="Q1099" s="12" t="e">
        <f>HYPERLINK(#REF!,"Link")</f>
        <v>#REF!</v>
      </c>
    </row>
    <row r="1100" spans="1:17" x14ac:dyDescent="0.3">
      <c r="A1100" t="s">
        <v>2639</v>
      </c>
      <c r="B1100" t="s">
        <v>2640</v>
      </c>
      <c r="C1100" s="9" t="s">
        <v>3829</v>
      </c>
      <c r="D1100" s="9"/>
      <c r="E1100" s="14">
        <v>3799</v>
      </c>
      <c r="F1100" s="3">
        <v>2799</v>
      </c>
      <c r="G1100" s="3">
        <f t="shared" si="86"/>
        <v>11397</v>
      </c>
      <c r="H1100" s="3">
        <f t="shared" si="85"/>
        <v>8397</v>
      </c>
      <c r="I1100" s="14">
        <f t="shared" si="87"/>
        <v>2963.2200000000003</v>
      </c>
      <c r="J1100" s="14">
        <f t="shared" si="88"/>
        <v>-3000</v>
      </c>
      <c r="K1100" s="1">
        <v>0.26</v>
      </c>
      <c r="L1100">
        <v>3.9</v>
      </c>
      <c r="M1100" s="2">
        <v>32931</v>
      </c>
      <c r="N1100" t="s">
        <v>2641</v>
      </c>
      <c r="O1100">
        <f t="shared" si="89"/>
        <v>3</v>
      </c>
      <c r="P1100" s="12" t="e">
        <f>HYPERLINK(#REF!,"Link")</f>
        <v>#REF!</v>
      </c>
      <c r="Q1100" s="12" t="e">
        <f>HYPERLINK(#REF!,"Link")</f>
        <v>#REF!</v>
      </c>
    </row>
    <row r="1101" spans="1:17" x14ac:dyDescent="0.3">
      <c r="A1101" t="s">
        <v>2642</v>
      </c>
      <c r="B1101" t="s">
        <v>2643</v>
      </c>
      <c r="C1101" s="10" t="s">
        <v>3744</v>
      </c>
      <c r="D1101" s="10" t="s">
        <v>3830</v>
      </c>
      <c r="E1101" s="14">
        <v>1249</v>
      </c>
      <c r="F1101" s="3">
        <v>899</v>
      </c>
      <c r="G1101" s="3">
        <f t="shared" si="86"/>
        <v>2498</v>
      </c>
      <c r="H1101" s="3">
        <f t="shared" si="85"/>
        <v>1798</v>
      </c>
      <c r="I1101" s="14">
        <f t="shared" si="87"/>
        <v>699.44</v>
      </c>
      <c r="J1101" s="14">
        <f t="shared" si="88"/>
        <v>-700</v>
      </c>
      <c r="K1101" s="1">
        <v>0.28000000000000003</v>
      </c>
      <c r="L1101">
        <v>3.9</v>
      </c>
      <c r="M1101" s="2">
        <v>17424</v>
      </c>
      <c r="N1101" t="s">
        <v>2644</v>
      </c>
      <c r="O1101">
        <f t="shared" si="89"/>
        <v>2</v>
      </c>
      <c r="P1101" s="12" t="e">
        <f>HYPERLINK(#REF!,"Link")</f>
        <v>#REF!</v>
      </c>
      <c r="Q1101" s="12" t="e">
        <f>HYPERLINK(#REF!,"Link")</f>
        <v>#REF!</v>
      </c>
    </row>
    <row r="1102" spans="1:17" x14ac:dyDescent="0.3">
      <c r="A1102" t="s">
        <v>2645</v>
      </c>
      <c r="B1102" t="s">
        <v>2646</v>
      </c>
      <c r="C1102" s="9" t="s">
        <v>3831</v>
      </c>
      <c r="D1102" s="9"/>
      <c r="E1102" s="14">
        <v>5000</v>
      </c>
      <c r="F1102" s="3">
        <v>2499</v>
      </c>
      <c r="G1102" s="3">
        <f t="shared" si="86"/>
        <v>15000</v>
      </c>
      <c r="H1102" s="3">
        <f t="shared" si="85"/>
        <v>7497</v>
      </c>
      <c r="I1102" s="14">
        <f t="shared" si="87"/>
        <v>7500</v>
      </c>
      <c r="J1102" s="14">
        <f t="shared" si="88"/>
        <v>-7503</v>
      </c>
      <c r="K1102" s="1">
        <v>0.5</v>
      </c>
      <c r="L1102">
        <v>3.8</v>
      </c>
      <c r="M1102" s="2">
        <v>1889</v>
      </c>
      <c r="N1102" t="s">
        <v>2647</v>
      </c>
      <c r="O1102">
        <f t="shared" si="89"/>
        <v>3</v>
      </c>
      <c r="P1102" s="12" t="e">
        <f>HYPERLINK(#REF!,"Link")</f>
        <v>#REF!</v>
      </c>
      <c r="Q1102" s="12" t="e">
        <f>HYPERLINK(#REF!,"Link")</f>
        <v>#REF!</v>
      </c>
    </row>
    <row r="1103" spans="1:17" x14ac:dyDescent="0.3">
      <c r="A1103" t="s">
        <v>2648</v>
      </c>
      <c r="B1103" t="s">
        <v>2649</v>
      </c>
      <c r="C1103" s="10" t="s">
        <v>3768</v>
      </c>
      <c r="D1103" s="10" t="s">
        <v>3832</v>
      </c>
      <c r="E1103" s="14">
        <v>7299</v>
      </c>
      <c r="F1103" s="3">
        <v>3599</v>
      </c>
      <c r="G1103" s="3">
        <f t="shared" si="86"/>
        <v>14598</v>
      </c>
      <c r="H1103" s="3">
        <f t="shared" si="85"/>
        <v>7198</v>
      </c>
      <c r="I1103" s="14">
        <f t="shared" si="87"/>
        <v>7444.9800000000005</v>
      </c>
      <c r="J1103" s="14">
        <f t="shared" si="88"/>
        <v>-7400</v>
      </c>
      <c r="K1103" s="1">
        <v>0.51</v>
      </c>
      <c r="L1103">
        <v>4</v>
      </c>
      <c r="M1103" s="2">
        <v>10324</v>
      </c>
      <c r="N1103" t="s">
        <v>2650</v>
      </c>
      <c r="O1103">
        <f t="shared" si="89"/>
        <v>2</v>
      </c>
      <c r="P1103" s="12" t="e">
        <f>HYPERLINK(#REF!,"Link")</f>
        <v>#REF!</v>
      </c>
      <c r="Q1103" s="12" t="e">
        <f>HYPERLINK(#REF!,"Link")</f>
        <v>#REF!</v>
      </c>
    </row>
    <row r="1104" spans="1:17" x14ac:dyDescent="0.3">
      <c r="A1104" t="s">
        <v>2651</v>
      </c>
      <c r="B1104" t="s">
        <v>2652</v>
      </c>
      <c r="C1104" s="9" t="s">
        <v>3816</v>
      </c>
      <c r="D1104" s="9" t="s">
        <v>3833</v>
      </c>
      <c r="E1104" s="14">
        <v>625</v>
      </c>
      <c r="F1104" s="3">
        <v>499</v>
      </c>
      <c r="G1104" s="3">
        <f t="shared" si="86"/>
        <v>1250</v>
      </c>
      <c r="H1104" s="3">
        <f t="shared" si="85"/>
        <v>998</v>
      </c>
      <c r="I1104" s="14">
        <f t="shared" si="87"/>
        <v>250</v>
      </c>
      <c r="J1104" s="14">
        <f t="shared" si="88"/>
        <v>-252</v>
      </c>
      <c r="K1104" s="1">
        <v>0.2</v>
      </c>
      <c r="L1104">
        <v>4.2</v>
      </c>
      <c r="M1104" s="2">
        <v>5355</v>
      </c>
      <c r="N1104" t="s">
        <v>2653</v>
      </c>
      <c r="O1104">
        <f t="shared" si="89"/>
        <v>2</v>
      </c>
      <c r="P1104" s="12" t="e">
        <f>HYPERLINK(#REF!,"Link")</f>
        <v>#REF!</v>
      </c>
      <c r="Q1104" s="12" t="e">
        <f>HYPERLINK(#REF!,"Link")</f>
        <v>#REF!</v>
      </c>
    </row>
    <row r="1105" spans="1:17" x14ac:dyDescent="0.3">
      <c r="A1105" t="s">
        <v>2654</v>
      </c>
      <c r="B1105" t="s">
        <v>2655</v>
      </c>
      <c r="C1105" s="10" t="s">
        <v>3729</v>
      </c>
      <c r="D1105" s="10" t="s">
        <v>3834</v>
      </c>
      <c r="E1105" s="14">
        <v>1020</v>
      </c>
      <c r="F1105" s="3">
        <v>653</v>
      </c>
      <c r="G1105" s="3">
        <f t="shared" si="86"/>
        <v>2040</v>
      </c>
      <c r="H1105" s="3">
        <f t="shared" si="85"/>
        <v>1306</v>
      </c>
      <c r="I1105" s="14">
        <f t="shared" si="87"/>
        <v>734.4</v>
      </c>
      <c r="J1105" s="14">
        <f t="shared" si="88"/>
        <v>-734</v>
      </c>
      <c r="K1105" s="1">
        <v>0.36</v>
      </c>
      <c r="L1105">
        <v>4.0999999999999996</v>
      </c>
      <c r="M1105" s="2">
        <v>3366</v>
      </c>
      <c r="N1105" t="s">
        <v>2656</v>
      </c>
      <c r="O1105">
        <f t="shared" si="89"/>
        <v>2</v>
      </c>
      <c r="P1105" s="12" t="e">
        <f>HYPERLINK(#REF!,"Link")</f>
        <v>#REF!</v>
      </c>
      <c r="Q1105" s="12" t="e">
        <f>HYPERLINK(#REF!,"Link")</f>
        <v>#REF!</v>
      </c>
    </row>
    <row r="1106" spans="1:17" x14ac:dyDescent="0.3">
      <c r="A1106" t="s">
        <v>2657</v>
      </c>
      <c r="B1106" t="s">
        <v>2658</v>
      </c>
      <c r="C1106" s="9" t="s">
        <v>3812</v>
      </c>
      <c r="D1106" s="9" t="s">
        <v>3835</v>
      </c>
      <c r="E1106" s="14">
        <v>8990</v>
      </c>
      <c r="F1106" s="3">
        <v>4789</v>
      </c>
      <c r="G1106" s="3">
        <f t="shared" si="86"/>
        <v>17980</v>
      </c>
      <c r="H1106" s="3">
        <f t="shared" si="85"/>
        <v>9578</v>
      </c>
      <c r="I1106" s="14">
        <f t="shared" si="87"/>
        <v>8450.6</v>
      </c>
      <c r="J1106" s="14">
        <f t="shared" si="88"/>
        <v>-8402</v>
      </c>
      <c r="K1106" s="1">
        <v>0.47</v>
      </c>
      <c r="L1106">
        <v>4.3</v>
      </c>
      <c r="M1106" s="2">
        <v>1017</v>
      </c>
      <c r="N1106" t="s">
        <v>2659</v>
      </c>
      <c r="O1106">
        <f t="shared" si="89"/>
        <v>2</v>
      </c>
      <c r="P1106" s="12" t="e">
        <f>HYPERLINK(#REF!,"Link")</f>
        <v>#REF!</v>
      </c>
      <c r="Q1106" s="12" t="e">
        <f>HYPERLINK(#REF!,"Link")</f>
        <v>#REF!</v>
      </c>
    </row>
    <row r="1107" spans="1:17" x14ac:dyDescent="0.3">
      <c r="A1107" t="s">
        <v>2660</v>
      </c>
      <c r="B1107" t="s">
        <v>2661</v>
      </c>
      <c r="C1107" s="10" t="s">
        <v>3836</v>
      </c>
      <c r="D1107" s="10" t="s">
        <v>3837</v>
      </c>
      <c r="E1107" s="14">
        <v>1639</v>
      </c>
      <c r="F1107" s="3">
        <v>1409</v>
      </c>
      <c r="G1107" s="3">
        <f t="shared" si="86"/>
        <v>3278</v>
      </c>
      <c r="H1107" s="3">
        <f t="shared" si="85"/>
        <v>2818</v>
      </c>
      <c r="I1107" s="14">
        <f t="shared" si="87"/>
        <v>458.92</v>
      </c>
      <c r="J1107" s="14">
        <f t="shared" si="88"/>
        <v>-460</v>
      </c>
      <c r="K1107" s="1">
        <v>0.14000000000000001</v>
      </c>
      <c r="L1107">
        <v>3.7</v>
      </c>
      <c r="M1107">
        <v>787</v>
      </c>
      <c r="N1107" t="s">
        <v>2662</v>
      </c>
      <c r="O1107">
        <f t="shared" si="89"/>
        <v>2</v>
      </c>
      <c r="P1107" s="12" t="e">
        <f>HYPERLINK(#REF!,"Link")</f>
        <v>#REF!</v>
      </c>
      <c r="Q1107" s="12" t="e">
        <f>HYPERLINK(#REF!,"Link")</f>
        <v>#REF!</v>
      </c>
    </row>
    <row r="1108" spans="1:17" x14ac:dyDescent="0.3">
      <c r="A1108" t="s">
        <v>2663</v>
      </c>
      <c r="B1108" t="s">
        <v>2664</v>
      </c>
      <c r="C1108" s="9" t="s">
        <v>3838</v>
      </c>
      <c r="D1108" s="9"/>
      <c r="E1108" s="14">
        <v>899</v>
      </c>
      <c r="F1108" s="3">
        <v>753</v>
      </c>
      <c r="G1108" s="3">
        <f t="shared" si="86"/>
        <v>2697</v>
      </c>
      <c r="H1108" s="3">
        <f t="shared" si="85"/>
        <v>2259</v>
      </c>
      <c r="I1108" s="14">
        <f t="shared" si="87"/>
        <v>431.52</v>
      </c>
      <c r="J1108" s="14">
        <f t="shared" si="88"/>
        <v>-438</v>
      </c>
      <c r="K1108" s="1">
        <v>0.16</v>
      </c>
      <c r="L1108">
        <v>4.2</v>
      </c>
      <c r="M1108" s="2">
        <v>18462</v>
      </c>
      <c r="N1108" t="s">
        <v>2665</v>
      </c>
      <c r="O1108">
        <f t="shared" si="89"/>
        <v>3</v>
      </c>
      <c r="P1108" s="12" t="e">
        <f>HYPERLINK(#REF!,"Link")</f>
        <v>#REF!</v>
      </c>
      <c r="Q1108" s="12" t="e">
        <f>HYPERLINK(#REF!,"Link")</f>
        <v>#REF!</v>
      </c>
    </row>
    <row r="1109" spans="1:17" x14ac:dyDescent="0.3">
      <c r="A1109" t="s">
        <v>2666</v>
      </c>
      <c r="B1109" t="s">
        <v>2667</v>
      </c>
      <c r="C1109" s="10" t="s">
        <v>3839</v>
      </c>
      <c r="D1109" s="10"/>
      <c r="E1109" s="14">
        <v>1199</v>
      </c>
      <c r="F1109" s="3">
        <v>353</v>
      </c>
      <c r="G1109" s="3">
        <f t="shared" si="86"/>
        <v>2398</v>
      </c>
      <c r="H1109" s="3">
        <f t="shared" si="85"/>
        <v>706</v>
      </c>
      <c r="I1109" s="14">
        <f t="shared" si="87"/>
        <v>1702.58</v>
      </c>
      <c r="J1109" s="14">
        <f t="shared" si="88"/>
        <v>-1692</v>
      </c>
      <c r="K1109" s="1">
        <v>0.71</v>
      </c>
      <c r="L1109">
        <v>4.3</v>
      </c>
      <c r="M1109">
        <v>629</v>
      </c>
      <c r="N1109" t="s">
        <v>2668</v>
      </c>
      <c r="O1109">
        <f t="shared" si="89"/>
        <v>2</v>
      </c>
      <c r="P1109" s="12" t="e">
        <f>HYPERLINK(#REF!,"Link")</f>
        <v>#REF!</v>
      </c>
      <c r="Q1109" s="12" t="e">
        <f>HYPERLINK(#REF!,"Link")</f>
        <v>#REF!</v>
      </c>
    </row>
    <row r="1110" spans="1:17" x14ac:dyDescent="0.3">
      <c r="A1110" t="s">
        <v>2669</v>
      </c>
      <c r="B1110" t="s">
        <v>2670</v>
      </c>
      <c r="C1110" s="9" t="s">
        <v>3836</v>
      </c>
      <c r="D1110" s="9" t="s">
        <v>3837</v>
      </c>
      <c r="E1110" s="14">
        <v>1899</v>
      </c>
      <c r="F1110" s="3">
        <v>1099</v>
      </c>
      <c r="G1110" s="3">
        <f t="shared" si="86"/>
        <v>5697</v>
      </c>
      <c r="H1110" s="3">
        <f t="shared" si="85"/>
        <v>3297</v>
      </c>
      <c r="I1110" s="14">
        <f t="shared" si="87"/>
        <v>2392.7399999999998</v>
      </c>
      <c r="J1110" s="14">
        <f t="shared" si="88"/>
        <v>-2400</v>
      </c>
      <c r="K1110" s="1">
        <v>0.42</v>
      </c>
      <c r="L1110">
        <v>4.3</v>
      </c>
      <c r="M1110" s="2">
        <v>15276</v>
      </c>
      <c r="N1110" t="s">
        <v>2671</v>
      </c>
      <c r="O1110">
        <f t="shared" si="89"/>
        <v>3</v>
      </c>
      <c r="P1110" s="12" t="e">
        <f>HYPERLINK(#REF!,"Link")</f>
        <v>#REF!</v>
      </c>
      <c r="Q1110" s="12" t="e">
        <f>HYPERLINK(#REF!,"Link")</f>
        <v>#REF!</v>
      </c>
    </row>
    <row r="1111" spans="1:17" x14ac:dyDescent="0.3">
      <c r="A1111" t="s">
        <v>2672</v>
      </c>
      <c r="B1111" t="s">
        <v>2673</v>
      </c>
      <c r="C1111" s="10" t="s">
        <v>3725</v>
      </c>
      <c r="D1111" s="10" t="s">
        <v>3726</v>
      </c>
      <c r="E1111" s="14">
        <v>11595</v>
      </c>
      <c r="F1111" s="3">
        <v>8799</v>
      </c>
      <c r="G1111" s="3">
        <f t="shared" si="86"/>
        <v>34785</v>
      </c>
      <c r="H1111" s="3">
        <f t="shared" si="85"/>
        <v>26397</v>
      </c>
      <c r="I1111" s="14">
        <f t="shared" si="87"/>
        <v>8348.4</v>
      </c>
      <c r="J1111" s="14">
        <f t="shared" si="88"/>
        <v>-8388</v>
      </c>
      <c r="K1111" s="1">
        <v>0.24</v>
      </c>
      <c r="L1111">
        <v>4.4000000000000004</v>
      </c>
      <c r="M1111" s="2">
        <v>2981</v>
      </c>
      <c r="N1111" t="s">
        <v>2674</v>
      </c>
      <c r="O1111">
        <f t="shared" si="89"/>
        <v>3</v>
      </c>
      <c r="P1111" s="12" t="e">
        <f>HYPERLINK(#REF!,"Link")</f>
        <v>#REF!</v>
      </c>
      <c r="Q1111" s="12" t="e">
        <f>HYPERLINK(#REF!,"Link")</f>
        <v>#REF!</v>
      </c>
    </row>
    <row r="1112" spans="1:17" x14ac:dyDescent="0.3">
      <c r="A1112" t="s">
        <v>2675</v>
      </c>
      <c r="B1112" t="s">
        <v>2676</v>
      </c>
      <c r="C1112" s="9" t="s">
        <v>3816</v>
      </c>
      <c r="D1112" s="9" t="s">
        <v>3840</v>
      </c>
      <c r="E1112" s="14">
        <v>1750</v>
      </c>
      <c r="F1112" s="3">
        <v>1345</v>
      </c>
      <c r="G1112" s="3">
        <f t="shared" si="86"/>
        <v>3500</v>
      </c>
      <c r="H1112" s="3">
        <f t="shared" si="85"/>
        <v>2690</v>
      </c>
      <c r="I1112" s="14">
        <f t="shared" si="87"/>
        <v>805</v>
      </c>
      <c r="J1112" s="14">
        <f t="shared" si="88"/>
        <v>-810</v>
      </c>
      <c r="K1112" s="1">
        <v>0.23</v>
      </c>
      <c r="L1112">
        <v>3.8</v>
      </c>
      <c r="M1112" s="2">
        <v>2466</v>
      </c>
      <c r="N1112" t="s">
        <v>2677</v>
      </c>
      <c r="O1112">
        <f t="shared" si="89"/>
        <v>2</v>
      </c>
      <c r="P1112" s="12" t="e">
        <f>HYPERLINK(#REF!,"Link")</f>
        <v>#REF!</v>
      </c>
      <c r="Q1112" s="12" t="e">
        <f>HYPERLINK(#REF!,"Link")</f>
        <v>#REF!</v>
      </c>
    </row>
    <row r="1113" spans="1:17" x14ac:dyDescent="0.3">
      <c r="A1113" t="s">
        <v>2678</v>
      </c>
      <c r="B1113" t="s">
        <v>2679</v>
      </c>
      <c r="C1113" s="10" t="s">
        <v>3793</v>
      </c>
      <c r="D1113" s="10" t="s">
        <v>3841</v>
      </c>
      <c r="E1113" s="14">
        <v>2095</v>
      </c>
      <c r="F1113" s="3">
        <v>2095</v>
      </c>
      <c r="G1113" s="3">
        <f t="shared" si="86"/>
        <v>8380</v>
      </c>
      <c r="H1113" s="3">
        <f t="shared" si="85"/>
        <v>8380</v>
      </c>
      <c r="I1113" s="14">
        <f t="shared" si="87"/>
        <v>0</v>
      </c>
      <c r="J1113" s="14">
        <f t="shared" si="88"/>
        <v>0</v>
      </c>
      <c r="K1113" s="1">
        <v>0</v>
      </c>
      <c r="L1113">
        <v>4.5</v>
      </c>
      <c r="M1113" s="2">
        <v>7949</v>
      </c>
      <c r="N1113" t="s">
        <v>2680</v>
      </c>
      <c r="O1113">
        <f t="shared" si="89"/>
        <v>4</v>
      </c>
      <c r="P1113" s="12" t="e">
        <f>HYPERLINK(#REF!,"Link")</f>
        <v>#REF!</v>
      </c>
      <c r="Q1113" s="12" t="e">
        <f>HYPERLINK(#REF!,"Link")</f>
        <v>#REF!</v>
      </c>
    </row>
    <row r="1114" spans="1:17" x14ac:dyDescent="0.3">
      <c r="A1114" t="s">
        <v>2681</v>
      </c>
      <c r="B1114" t="s">
        <v>2682</v>
      </c>
      <c r="C1114" s="9" t="s">
        <v>3744</v>
      </c>
      <c r="D1114" s="9" t="s">
        <v>3842</v>
      </c>
      <c r="E1114" s="14">
        <v>2300</v>
      </c>
      <c r="F1114" s="3">
        <v>1498</v>
      </c>
      <c r="G1114" s="3">
        <f t="shared" si="86"/>
        <v>4600</v>
      </c>
      <c r="H1114" s="3">
        <f t="shared" si="85"/>
        <v>2996</v>
      </c>
      <c r="I1114" s="14">
        <f t="shared" si="87"/>
        <v>1610</v>
      </c>
      <c r="J1114" s="14">
        <f t="shared" si="88"/>
        <v>-1604</v>
      </c>
      <c r="K1114" s="1">
        <v>0.35</v>
      </c>
      <c r="L1114">
        <v>3.8</v>
      </c>
      <c r="M1114">
        <v>95</v>
      </c>
      <c r="N1114" t="s">
        <v>2683</v>
      </c>
      <c r="O1114">
        <f t="shared" si="89"/>
        <v>2</v>
      </c>
      <c r="P1114" s="12" t="e">
        <f>HYPERLINK(#REF!,"Link")</f>
        <v>#REF!</v>
      </c>
      <c r="Q1114" s="12" t="e">
        <f>HYPERLINK(#REF!,"Link")</f>
        <v>#REF!</v>
      </c>
    </row>
    <row r="1115" spans="1:17" x14ac:dyDescent="0.3">
      <c r="A1115" t="s">
        <v>2684</v>
      </c>
      <c r="B1115" t="s">
        <v>2685</v>
      </c>
      <c r="C1115" s="10" t="s">
        <v>3843</v>
      </c>
      <c r="D1115" s="10"/>
      <c r="E1115" s="14">
        <v>2990</v>
      </c>
      <c r="F1115" s="3">
        <v>2199</v>
      </c>
      <c r="G1115" s="3">
        <f t="shared" si="86"/>
        <v>8970</v>
      </c>
      <c r="H1115" s="3">
        <f t="shared" si="85"/>
        <v>6597</v>
      </c>
      <c r="I1115" s="14">
        <f t="shared" si="87"/>
        <v>2332.1999999999998</v>
      </c>
      <c r="J1115" s="14">
        <f t="shared" si="88"/>
        <v>-2373</v>
      </c>
      <c r="K1115" s="1">
        <v>0.26</v>
      </c>
      <c r="L1115">
        <v>3.8</v>
      </c>
      <c r="M1115" s="2">
        <v>1558</v>
      </c>
      <c r="N1115" t="s">
        <v>2686</v>
      </c>
      <c r="O1115">
        <f t="shared" si="89"/>
        <v>3</v>
      </c>
      <c r="P1115" s="12" t="e">
        <f>HYPERLINK(#REF!,"Link")</f>
        <v>#REF!</v>
      </c>
      <c r="Q1115" s="12" t="e">
        <f>HYPERLINK(#REF!,"Link")</f>
        <v>#REF!</v>
      </c>
    </row>
    <row r="1116" spans="1:17" x14ac:dyDescent="0.3">
      <c r="A1116" t="s">
        <v>2687</v>
      </c>
      <c r="B1116" t="s">
        <v>2688</v>
      </c>
      <c r="C1116" s="9" t="s">
        <v>3839</v>
      </c>
      <c r="D1116" s="9" t="s">
        <v>3844</v>
      </c>
      <c r="E1116" s="14">
        <v>4295</v>
      </c>
      <c r="F1116" s="3">
        <v>3699</v>
      </c>
      <c r="G1116" s="3">
        <f t="shared" si="86"/>
        <v>8590</v>
      </c>
      <c r="H1116" s="3">
        <f t="shared" si="85"/>
        <v>7398</v>
      </c>
      <c r="I1116" s="14">
        <f t="shared" si="87"/>
        <v>1202.6000000000001</v>
      </c>
      <c r="J1116" s="14">
        <f t="shared" si="88"/>
        <v>-1192</v>
      </c>
      <c r="K1116" s="1">
        <v>0.14000000000000001</v>
      </c>
      <c r="L1116">
        <v>4.0999999999999996</v>
      </c>
      <c r="M1116" s="2">
        <v>26543</v>
      </c>
      <c r="N1116" t="s">
        <v>2689</v>
      </c>
      <c r="O1116">
        <f t="shared" si="89"/>
        <v>2</v>
      </c>
      <c r="P1116" s="12" t="e">
        <f>HYPERLINK(#REF!,"Link")</f>
        <v>#REF!</v>
      </c>
      <c r="Q1116" s="12" t="e">
        <f>HYPERLINK(#REF!,"Link")</f>
        <v>#REF!</v>
      </c>
    </row>
    <row r="1117" spans="1:17" x14ac:dyDescent="0.3">
      <c r="A1117" t="s">
        <v>2690</v>
      </c>
      <c r="B1117" t="s">
        <v>2691</v>
      </c>
      <c r="C1117" s="10" t="s">
        <v>3845</v>
      </c>
      <c r="D1117" s="10" t="s">
        <v>3846</v>
      </c>
      <c r="E1117" s="14">
        <v>199</v>
      </c>
      <c r="F1117" s="3">
        <v>177</v>
      </c>
      <c r="G1117" s="3">
        <f t="shared" si="86"/>
        <v>995</v>
      </c>
      <c r="H1117" s="3">
        <f t="shared" si="85"/>
        <v>885</v>
      </c>
      <c r="I1117" s="14">
        <f t="shared" si="87"/>
        <v>109.45</v>
      </c>
      <c r="J1117" s="14">
        <f t="shared" si="88"/>
        <v>-110</v>
      </c>
      <c r="K1117" s="1">
        <v>0.11</v>
      </c>
      <c r="L1117">
        <v>4.0999999999999996</v>
      </c>
      <c r="M1117" s="2">
        <v>3688</v>
      </c>
      <c r="N1117" t="s">
        <v>2692</v>
      </c>
      <c r="O1117">
        <f t="shared" si="89"/>
        <v>5</v>
      </c>
      <c r="P1117" s="12" t="e">
        <f>HYPERLINK(#REF!,"Link")</f>
        <v>#REF!</v>
      </c>
      <c r="Q1117" s="12" t="e">
        <f>HYPERLINK(#REF!,"Link")</f>
        <v>#REF!</v>
      </c>
    </row>
    <row r="1118" spans="1:17" x14ac:dyDescent="0.3">
      <c r="A1118" t="s">
        <v>2693</v>
      </c>
      <c r="B1118" t="s">
        <v>2694</v>
      </c>
      <c r="C1118" s="9" t="s">
        <v>3793</v>
      </c>
      <c r="D1118" s="9" t="s">
        <v>3847</v>
      </c>
      <c r="E1118" s="14">
        <v>2499</v>
      </c>
      <c r="F1118" s="3">
        <v>1149</v>
      </c>
      <c r="G1118" s="3">
        <f t="shared" si="86"/>
        <v>4998</v>
      </c>
      <c r="H1118" s="3">
        <f t="shared" si="85"/>
        <v>2298</v>
      </c>
      <c r="I1118" s="14">
        <f t="shared" si="87"/>
        <v>2698.92</v>
      </c>
      <c r="J1118" s="14">
        <f t="shared" si="88"/>
        <v>-2700</v>
      </c>
      <c r="K1118" s="1">
        <v>0.54</v>
      </c>
      <c r="L1118">
        <v>3.8</v>
      </c>
      <c r="M1118" s="2">
        <v>4383</v>
      </c>
      <c r="N1118" t="s">
        <v>2695</v>
      </c>
      <c r="O1118">
        <f t="shared" si="89"/>
        <v>2</v>
      </c>
      <c r="P1118" s="12" t="e">
        <f>HYPERLINK(#REF!,"Link")</f>
        <v>#REF!</v>
      </c>
      <c r="Q1118" s="12" t="e">
        <f>HYPERLINK(#REF!,"Link")</f>
        <v>#REF!</v>
      </c>
    </row>
    <row r="1119" spans="1:17" x14ac:dyDescent="0.3">
      <c r="A1119" t="s">
        <v>2696</v>
      </c>
      <c r="B1119" t="s">
        <v>2697</v>
      </c>
      <c r="C1119" s="10" t="s">
        <v>3848</v>
      </c>
      <c r="D1119" s="10"/>
      <c r="E1119" s="14">
        <v>499</v>
      </c>
      <c r="F1119" s="3">
        <v>244</v>
      </c>
      <c r="G1119" s="3">
        <f t="shared" si="86"/>
        <v>1497</v>
      </c>
      <c r="H1119" s="3">
        <f t="shared" si="85"/>
        <v>732</v>
      </c>
      <c r="I1119" s="14">
        <f t="shared" si="87"/>
        <v>763.47</v>
      </c>
      <c r="J1119" s="14">
        <f t="shared" si="88"/>
        <v>-765</v>
      </c>
      <c r="K1119" s="1">
        <v>0.51</v>
      </c>
      <c r="L1119">
        <v>3.3</v>
      </c>
      <c r="M1119">
        <v>478</v>
      </c>
      <c r="N1119" t="s">
        <v>2698</v>
      </c>
      <c r="O1119">
        <f t="shared" si="89"/>
        <v>3</v>
      </c>
      <c r="P1119" s="12" t="e">
        <f>HYPERLINK(#REF!,"Link")</f>
        <v>#REF!</v>
      </c>
      <c r="Q1119" s="12" t="e">
        <f>HYPERLINK(#REF!,"Link")</f>
        <v>#REF!</v>
      </c>
    </row>
    <row r="1120" spans="1:17" x14ac:dyDescent="0.3">
      <c r="A1120" t="s">
        <v>2699</v>
      </c>
      <c r="B1120" t="s">
        <v>2700</v>
      </c>
      <c r="C1120" s="9" t="s">
        <v>3727</v>
      </c>
      <c r="D1120" s="9" t="s">
        <v>3849</v>
      </c>
      <c r="E1120" s="14">
        <v>2400</v>
      </c>
      <c r="F1120" s="3">
        <v>1959</v>
      </c>
      <c r="G1120" s="3">
        <f t="shared" si="86"/>
        <v>4800</v>
      </c>
      <c r="H1120" s="3">
        <f t="shared" si="85"/>
        <v>3918</v>
      </c>
      <c r="I1120" s="14">
        <f t="shared" si="87"/>
        <v>864</v>
      </c>
      <c r="J1120" s="14">
        <f t="shared" si="88"/>
        <v>-882</v>
      </c>
      <c r="K1120" s="1">
        <v>0.18</v>
      </c>
      <c r="L1120">
        <v>4</v>
      </c>
      <c r="M1120">
        <v>237</v>
      </c>
      <c r="N1120" t="s">
        <v>2701</v>
      </c>
      <c r="O1120">
        <f t="shared" si="89"/>
        <v>2</v>
      </c>
      <c r="P1120" s="12" t="e">
        <f>HYPERLINK(#REF!,"Link")</f>
        <v>#REF!</v>
      </c>
      <c r="Q1120" s="12" t="e">
        <f>HYPERLINK(#REF!,"Link")</f>
        <v>#REF!</v>
      </c>
    </row>
    <row r="1121" spans="1:17" x14ac:dyDescent="0.3">
      <c r="A1121" t="s">
        <v>2702</v>
      </c>
      <c r="B1121" t="s">
        <v>2703</v>
      </c>
      <c r="C1121" s="10" t="s">
        <v>3790</v>
      </c>
      <c r="D1121" s="10" t="s">
        <v>3850</v>
      </c>
      <c r="E1121" s="14">
        <v>749</v>
      </c>
      <c r="F1121" s="3">
        <v>319</v>
      </c>
      <c r="G1121" s="3">
        <f t="shared" si="86"/>
        <v>1498</v>
      </c>
      <c r="H1121" s="3">
        <f t="shared" si="85"/>
        <v>638</v>
      </c>
      <c r="I1121" s="14">
        <f t="shared" si="87"/>
        <v>853.8599999999999</v>
      </c>
      <c r="J1121" s="14">
        <f t="shared" si="88"/>
        <v>-860</v>
      </c>
      <c r="K1121" s="1">
        <v>0.56999999999999995</v>
      </c>
      <c r="L1121">
        <v>4.5999999999999996</v>
      </c>
      <c r="M1121">
        <v>124</v>
      </c>
      <c r="N1121" t="s">
        <v>2704</v>
      </c>
      <c r="O1121">
        <f t="shared" si="89"/>
        <v>2</v>
      </c>
      <c r="P1121" s="12" t="e">
        <f>HYPERLINK(#REF!,"Link")</f>
        <v>#REF!</v>
      </c>
      <c r="Q1121" s="12" t="e">
        <f>HYPERLINK(#REF!,"Link")</f>
        <v>#REF!</v>
      </c>
    </row>
    <row r="1122" spans="1:17" x14ac:dyDescent="0.3">
      <c r="A1122" t="s">
        <v>2705</v>
      </c>
      <c r="B1122" t="s">
        <v>2706</v>
      </c>
      <c r="C1122" s="9" t="s">
        <v>3729</v>
      </c>
      <c r="D1122" s="9" t="s">
        <v>3851</v>
      </c>
      <c r="E1122" s="14">
        <v>1775</v>
      </c>
      <c r="F1122" s="3">
        <v>1499</v>
      </c>
      <c r="G1122" s="3">
        <f t="shared" si="86"/>
        <v>5325</v>
      </c>
      <c r="H1122" s="3">
        <f t="shared" si="85"/>
        <v>4497</v>
      </c>
      <c r="I1122" s="14">
        <f t="shared" si="87"/>
        <v>852</v>
      </c>
      <c r="J1122" s="14">
        <f t="shared" si="88"/>
        <v>-828</v>
      </c>
      <c r="K1122" s="1">
        <v>0.16</v>
      </c>
      <c r="L1122">
        <v>3.9</v>
      </c>
      <c r="M1122" s="2">
        <v>14667</v>
      </c>
      <c r="N1122" t="s">
        <v>2707</v>
      </c>
      <c r="O1122">
        <f t="shared" si="89"/>
        <v>3</v>
      </c>
      <c r="P1122" s="12" t="e">
        <f>HYPERLINK(#REF!,"Link")</f>
        <v>#REF!</v>
      </c>
      <c r="Q1122" s="12" t="e">
        <f>HYPERLINK(#REF!,"Link")</f>
        <v>#REF!</v>
      </c>
    </row>
    <row r="1123" spans="1:17" x14ac:dyDescent="0.3">
      <c r="A1123" t="s">
        <v>2708</v>
      </c>
      <c r="B1123" t="s">
        <v>2709</v>
      </c>
      <c r="C1123" s="10" t="s">
        <v>3787</v>
      </c>
      <c r="D1123" s="10" t="s">
        <v>3852</v>
      </c>
      <c r="E1123" s="14">
        <v>1599</v>
      </c>
      <c r="F1123" s="3">
        <v>469</v>
      </c>
      <c r="G1123" s="3">
        <f t="shared" si="86"/>
        <v>3198</v>
      </c>
      <c r="H1123" s="3">
        <f t="shared" si="85"/>
        <v>938</v>
      </c>
      <c r="I1123" s="14">
        <f t="shared" si="87"/>
        <v>2270.58</v>
      </c>
      <c r="J1123" s="14">
        <f t="shared" si="88"/>
        <v>-2260</v>
      </c>
      <c r="K1123" s="1">
        <v>0.71</v>
      </c>
      <c r="L1123">
        <v>3.7</v>
      </c>
      <c r="M1123">
        <v>6</v>
      </c>
      <c r="N1123" t="s">
        <v>2710</v>
      </c>
      <c r="O1123">
        <f t="shared" si="89"/>
        <v>2</v>
      </c>
      <c r="P1123" s="12" t="e">
        <f>HYPERLINK(#REF!,"Link")</f>
        <v>#REF!</v>
      </c>
      <c r="Q1123" s="12" t="e">
        <f>HYPERLINK(#REF!,"Link")</f>
        <v>#REF!</v>
      </c>
    </row>
    <row r="1124" spans="1:17" x14ac:dyDescent="0.3">
      <c r="A1124" t="s">
        <v>2711</v>
      </c>
      <c r="B1124" t="s">
        <v>2712</v>
      </c>
      <c r="C1124" s="9" t="s">
        <v>3853</v>
      </c>
      <c r="D1124" s="9"/>
      <c r="E1124" s="14">
        <v>1795</v>
      </c>
      <c r="F1124" s="3">
        <v>1099</v>
      </c>
      <c r="G1124" s="3">
        <f t="shared" si="86"/>
        <v>3590</v>
      </c>
      <c r="H1124" s="3">
        <f t="shared" si="85"/>
        <v>2198</v>
      </c>
      <c r="I1124" s="14">
        <f t="shared" si="87"/>
        <v>1400.1000000000001</v>
      </c>
      <c r="J1124" s="14">
        <f t="shared" si="88"/>
        <v>-1392</v>
      </c>
      <c r="K1124" s="1">
        <v>0.39</v>
      </c>
      <c r="L1124">
        <v>4.2</v>
      </c>
      <c r="M1124" s="2">
        <v>4244</v>
      </c>
      <c r="N1124" t="s">
        <v>2713</v>
      </c>
      <c r="O1124">
        <f t="shared" si="89"/>
        <v>2</v>
      </c>
      <c r="P1124" s="12" t="e">
        <f>HYPERLINK(#REF!,"Link")</f>
        <v>#REF!</v>
      </c>
      <c r="Q1124" s="12" t="e">
        <f>HYPERLINK(#REF!,"Link")</f>
        <v>#REF!</v>
      </c>
    </row>
    <row r="1125" spans="1:17" x14ac:dyDescent="0.3">
      <c r="A1125" t="s">
        <v>2714</v>
      </c>
      <c r="B1125" t="s">
        <v>2715</v>
      </c>
      <c r="C1125" s="10"/>
      <c r="D1125" s="10"/>
      <c r="E1125" s="14">
        <v>15999</v>
      </c>
      <c r="F1125" s="3">
        <v>9590</v>
      </c>
      <c r="G1125" s="3">
        <f t="shared" si="86"/>
        <v>47997</v>
      </c>
      <c r="H1125" s="3">
        <f t="shared" si="85"/>
        <v>28770</v>
      </c>
      <c r="I1125" s="14">
        <f t="shared" si="87"/>
        <v>19198.800000000003</v>
      </c>
      <c r="J1125" s="14">
        <f t="shared" si="88"/>
        <v>-19227</v>
      </c>
      <c r="K1125" s="1">
        <v>0.4</v>
      </c>
      <c r="L1125">
        <v>4.0999999999999996</v>
      </c>
      <c r="M1125" s="2">
        <v>1017</v>
      </c>
      <c r="N1125" t="s">
        <v>2716</v>
      </c>
      <c r="O1125">
        <f t="shared" si="89"/>
        <v>3</v>
      </c>
      <c r="P1125" s="12" t="e">
        <f>HYPERLINK(#REF!,"Link")</f>
        <v>#REF!</v>
      </c>
      <c r="Q1125" s="12" t="e">
        <f>HYPERLINK(#REF!,"Link")</f>
        <v>#REF!</v>
      </c>
    </row>
    <row r="1126" spans="1:17" x14ac:dyDescent="0.3">
      <c r="A1126" t="s">
        <v>2717</v>
      </c>
      <c r="B1126" t="s">
        <v>2718</v>
      </c>
      <c r="C1126" s="9" t="s">
        <v>3854</v>
      </c>
      <c r="D1126" s="9"/>
      <c r="E1126" s="14">
        <v>1490</v>
      </c>
      <c r="F1126" s="3">
        <v>999</v>
      </c>
      <c r="G1126" s="3">
        <f t="shared" si="86"/>
        <v>1490</v>
      </c>
      <c r="H1126" s="3">
        <f t="shared" si="85"/>
        <v>999</v>
      </c>
      <c r="I1126" s="14">
        <f t="shared" si="87"/>
        <v>491.70000000000005</v>
      </c>
      <c r="J1126" s="14">
        <f t="shared" si="88"/>
        <v>-491</v>
      </c>
      <c r="K1126" s="1">
        <v>0.33</v>
      </c>
      <c r="L1126">
        <v>4.0999999999999996</v>
      </c>
      <c r="M1126" s="2">
        <v>12999</v>
      </c>
      <c r="N1126" t="s">
        <v>2719</v>
      </c>
      <c r="O1126">
        <f t="shared" si="89"/>
        <v>1</v>
      </c>
      <c r="P1126" s="12" t="e">
        <f>HYPERLINK(#REF!,"Link")</f>
        <v>#REF!</v>
      </c>
      <c r="Q1126" s="12" t="e">
        <f>HYPERLINK(#REF!,"Link")</f>
        <v>#REF!</v>
      </c>
    </row>
    <row r="1127" spans="1:17" x14ac:dyDescent="0.3">
      <c r="A1127" t="s">
        <v>2720</v>
      </c>
      <c r="B1127" t="s">
        <v>2721</v>
      </c>
      <c r="C1127" s="10" t="s">
        <v>3795</v>
      </c>
      <c r="D1127" s="10"/>
      <c r="E1127" s="14">
        <v>1999</v>
      </c>
      <c r="F1127" s="3">
        <v>1299</v>
      </c>
      <c r="G1127" s="3">
        <f t="shared" si="86"/>
        <v>7996</v>
      </c>
      <c r="H1127" s="3">
        <f t="shared" si="85"/>
        <v>5196</v>
      </c>
      <c r="I1127" s="14">
        <f t="shared" si="87"/>
        <v>2798.6</v>
      </c>
      <c r="J1127" s="14">
        <f t="shared" si="88"/>
        <v>-2800</v>
      </c>
      <c r="K1127" s="1">
        <v>0.35</v>
      </c>
      <c r="L1127">
        <v>3.8</v>
      </c>
      <c r="M1127">
        <v>311</v>
      </c>
      <c r="N1127" t="s">
        <v>2722</v>
      </c>
      <c r="O1127">
        <f t="shared" si="89"/>
        <v>4</v>
      </c>
      <c r="P1127" s="12" t="e">
        <f>HYPERLINK(#REF!,"Link")</f>
        <v>#REF!</v>
      </c>
      <c r="Q1127" s="12" t="e">
        <f>HYPERLINK(#REF!,"Link")</f>
        <v>#REF!</v>
      </c>
    </row>
    <row r="1128" spans="1:17" x14ac:dyDescent="0.3">
      <c r="A1128" t="s">
        <v>2723</v>
      </c>
      <c r="B1128" t="s">
        <v>2724</v>
      </c>
      <c r="C1128" s="9" t="s">
        <v>3790</v>
      </c>
      <c r="D1128" s="9" t="s">
        <v>3855</v>
      </c>
      <c r="E1128" s="14">
        <v>499</v>
      </c>
      <c r="F1128" s="3">
        <v>292</v>
      </c>
      <c r="G1128" s="3">
        <f t="shared" si="86"/>
        <v>998</v>
      </c>
      <c r="H1128" s="3">
        <f t="shared" si="85"/>
        <v>584</v>
      </c>
      <c r="I1128" s="14">
        <f t="shared" si="87"/>
        <v>409.17999999999995</v>
      </c>
      <c r="J1128" s="14">
        <f t="shared" si="88"/>
        <v>-414</v>
      </c>
      <c r="K1128" s="1">
        <v>0.41</v>
      </c>
      <c r="L1128">
        <v>4.0999999999999996</v>
      </c>
      <c r="M1128" s="2">
        <v>4238</v>
      </c>
      <c r="N1128" t="s">
        <v>2725</v>
      </c>
      <c r="O1128">
        <f t="shared" si="89"/>
        <v>2</v>
      </c>
      <c r="P1128" s="12" t="e">
        <f>HYPERLINK(#REF!,"Link")</f>
        <v>#REF!</v>
      </c>
      <c r="Q1128" s="12" t="e">
        <f>HYPERLINK(#REF!,"Link")</f>
        <v>#REF!</v>
      </c>
    </row>
    <row r="1129" spans="1:17" x14ac:dyDescent="0.3">
      <c r="A1129" t="s">
        <v>2726</v>
      </c>
      <c r="B1129" t="s">
        <v>2727</v>
      </c>
      <c r="C1129" s="10" t="s">
        <v>3856</v>
      </c>
      <c r="D1129" s="10" t="s">
        <v>3857</v>
      </c>
      <c r="E1129" s="14">
        <v>299</v>
      </c>
      <c r="F1129" s="3">
        <v>160</v>
      </c>
      <c r="G1129" s="3">
        <f t="shared" si="86"/>
        <v>299</v>
      </c>
      <c r="H1129" s="3">
        <f t="shared" si="85"/>
        <v>160</v>
      </c>
      <c r="I1129" s="14">
        <f t="shared" si="87"/>
        <v>137.54</v>
      </c>
      <c r="J1129" s="14">
        <f t="shared" si="88"/>
        <v>-139</v>
      </c>
      <c r="K1129" s="1">
        <v>0.46</v>
      </c>
      <c r="L1129">
        <v>4.5999999999999996</v>
      </c>
      <c r="M1129" s="2">
        <v>2781</v>
      </c>
      <c r="N1129" t="s">
        <v>2728</v>
      </c>
      <c r="O1129">
        <f t="shared" si="89"/>
        <v>1</v>
      </c>
      <c r="P1129" s="12" t="e">
        <f>HYPERLINK(#REF!,"Link")</f>
        <v>#REF!</v>
      </c>
      <c r="Q1129" s="12" t="e">
        <f>HYPERLINK(#REF!,"Link")</f>
        <v>#REF!</v>
      </c>
    </row>
    <row r="1130" spans="1:17" x14ac:dyDescent="0.3">
      <c r="A1130" t="s">
        <v>2729</v>
      </c>
      <c r="B1130" t="s">
        <v>2730</v>
      </c>
      <c r="C1130" s="9" t="s">
        <v>3858</v>
      </c>
      <c r="D1130" s="9"/>
      <c r="E1130" s="14">
        <v>600</v>
      </c>
      <c r="F1130" s="3">
        <v>600</v>
      </c>
      <c r="G1130" s="3">
        <f t="shared" si="86"/>
        <v>1200</v>
      </c>
      <c r="H1130" s="3">
        <f t="shared" si="85"/>
        <v>1200</v>
      </c>
      <c r="I1130" s="14">
        <f t="shared" si="87"/>
        <v>0</v>
      </c>
      <c r="J1130" s="14">
        <f t="shared" si="88"/>
        <v>0</v>
      </c>
      <c r="K1130" s="1">
        <v>0</v>
      </c>
      <c r="L1130">
        <v>4.0999999999999996</v>
      </c>
      <c r="M1130" s="2">
        <v>10907</v>
      </c>
      <c r="N1130" t="s">
        <v>2731</v>
      </c>
      <c r="O1130">
        <f t="shared" si="89"/>
        <v>2</v>
      </c>
      <c r="P1130" s="12" t="e">
        <f>HYPERLINK(#REF!,"Link")</f>
        <v>#REF!</v>
      </c>
      <c r="Q1130" s="12" t="e">
        <f>HYPERLINK(#REF!,"Link")</f>
        <v>#REF!</v>
      </c>
    </row>
    <row r="1131" spans="1:17" x14ac:dyDescent="0.3">
      <c r="A1131" t="s">
        <v>2732</v>
      </c>
      <c r="B1131" t="s">
        <v>2730</v>
      </c>
      <c r="C1131" s="10" t="s">
        <v>3859</v>
      </c>
      <c r="D1131" s="10" t="s">
        <v>3860</v>
      </c>
      <c r="E1131" s="14">
        <v>1130</v>
      </c>
      <c r="F1131" s="3">
        <v>1130</v>
      </c>
      <c r="G1131" s="3">
        <f t="shared" si="86"/>
        <v>2260</v>
      </c>
      <c r="H1131" s="3">
        <f t="shared" si="85"/>
        <v>2260</v>
      </c>
      <c r="I1131" s="14">
        <f t="shared" si="87"/>
        <v>0</v>
      </c>
      <c r="J1131" s="14">
        <f t="shared" si="88"/>
        <v>0</v>
      </c>
      <c r="K1131" s="1">
        <v>0</v>
      </c>
      <c r="L1131">
        <v>4.2</v>
      </c>
      <c r="M1131" s="2">
        <v>13250</v>
      </c>
      <c r="N1131" t="s">
        <v>2733</v>
      </c>
      <c r="O1131">
        <f t="shared" si="89"/>
        <v>2</v>
      </c>
      <c r="P1131" s="12" t="e">
        <f>HYPERLINK(#REF!,"Link")</f>
        <v>#REF!</v>
      </c>
      <c r="Q1131" s="12" t="e">
        <f>HYPERLINK(#REF!,"Link")</f>
        <v>#REF!</v>
      </c>
    </row>
    <row r="1132" spans="1:17" x14ac:dyDescent="0.3">
      <c r="A1132" t="s">
        <v>2734</v>
      </c>
      <c r="B1132" t="s">
        <v>2735</v>
      </c>
      <c r="C1132" s="9" t="s">
        <v>3861</v>
      </c>
      <c r="D1132" s="9" t="s">
        <v>3862</v>
      </c>
      <c r="E1132" s="14">
        <v>6295</v>
      </c>
      <c r="F1132" s="3">
        <v>3249</v>
      </c>
      <c r="G1132" s="3">
        <f t="shared" si="86"/>
        <v>50360</v>
      </c>
      <c r="H1132" s="3">
        <f t="shared" si="85"/>
        <v>25992</v>
      </c>
      <c r="I1132" s="14">
        <f t="shared" si="87"/>
        <v>24172.799999999999</v>
      </c>
      <c r="J1132" s="14">
        <f t="shared" si="88"/>
        <v>-24368</v>
      </c>
      <c r="K1132" s="1">
        <v>0.48</v>
      </c>
      <c r="L1132">
        <v>3.9</v>
      </c>
      <c r="M1132" s="2">
        <v>43070</v>
      </c>
      <c r="N1132" t="s">
        <v>2736</v>
      </c>
      <c r="O1132">
        <f t="shared" si="89"/>
        <v>8</v>
      </c>
      <c r="P1132" s="12" t="e">
        <f>HYPERLINK(#REF!,"Link")</f>
        <v>#REF!</v>
      </c>
      <c r="Q1132" s="12" t="e">
        <f>HYPERLINK(#REF!,"Link")</f>
        <v>#REF!</v>
      </c>
    </row>
    <row r="1133" spans="1:17" x14ac:dyDescent="0.3">
      <c r="A1133" t="s">
        <v>2737</v>
      </c>
      <c r="B1133" t="s">
        <v>2738</v>
      </c>
      <c r="C1133" s="10" t="s">
        <v>3861</v>
      </c>
      <c r="D1133" s="10" t="s">
        <v>3863</v>
      </c>
      <c r="E1133" s="14">
        <v>9455</v>
      </c>
      <c r="F1133" s="3">
        <v>3599</v>
      </c>
      <c r="G1133" s="3">
        <f t="shared" si="86"/>
        <v>75640</v>
      </c>
      <c r="H1133" s="3">
        <f t="shared" si="85"/>
        <v>28792</v>
      </c>
      <c r="I1133" s="14">
        <f t="shared" si="87"/>
        <v>46896.800000000003</v>
      </c>
      <c r="J1133" s="14">
        <f t="shared" si="88"/>
        <v>-46848</v>
      </c>
      <c r="K1133" s="1">
        <v>0.62</v>
      </c>
      <c r="L1133">
        <v>4.0999999999999996</v>
      </c>
      <c r="M1133" s="2">
        <v>11828</v>
      </c>
      <c r="N1133" t="s">
        <v>2739</v>
      </c>
      <c r="O1133">
        <f t="shared" si="89"/>
        <v>8</v>
      </c>
      <c r="P1133" s="12" t="e">
        <f>HYPERLINK(#REF!,"Link")</f>
        <v>#REF!</v>
      </c>
      <c r="Q1133" s="12" t="e">
        <f>HYPERLINK(#REF!,"Link")</f>
        <v>#REF!</v>
      </c>
    </row>
    <row r="1134" spans="1:17" x14ac:dyDescent="0.3">
      <c r="A1134" t="s">
        <v>2740</v>
      </c>
      <c r="B1134" t="s">
        <v>2741</v>
      </c>
      <c r="C1134" s="9" t="s">
        <v>3864</v>
      </c>
      <c r="D1134" s="9" t="s">
        <v>3865</v>
      </c>
      <c r="E1134" s="14">
        <v>699</v>
      </c>
      <c r="F1134" s="3">
        <v>368</v>
      </c>
      <c r="G1134" s="3">
        <f t="shared" si="86"/>
        <v>1398</v>
      </c>
      <c r="H1134" s="3">
        <f t="shared" si="85"/>
        <v>736</v>
      </c>
      <c r="I1134" s="14">
        <f t="shared" si="87"/>
        <v>657.06</v>
      </c>
      <c r="J1134" s="14">
        <f t="shared" si="88"/>
        <v>-662</v>
      </c>
      <c r="K1134" s="1">
        <v>0.47</v>
      </c>
      <c r="L1134">
        <v>4.0999999999999996</v>
      </c>
      <c r="M1134" s="2">
        <v>1240</v>
      </c>
      <c r="N1134" t="s">
        <v>2742</v>
      </c>
      <c r="O1134">
        <f t="shared" si="89"/>
        <v>2</v>
      </c>
      <c r="P1134" s="12" t="e">
        <f>HYPERLINK(#REF!,"Link")</f>
        <v>#REF!</v>
      </c>
      <c r="Q1134" s="12" t="e">
        <f>HYPERLINK(#REF!,"Link")</f>
        <v>#REF!</v>
      </c>
    </row>
    <row r="1135" spans="1:17" x14ac:dyDescent="0.3">
      <c r="A1135" t="s">
        <v>2743</v>
      </c>
      <c r="B1135" t="s">
        <v>2744</v>
      </c>
      <c r="C1135" s="10" t="s">
        <v>3859</v>
      </c>
      <c r="D1135" s="10" t="s">
        <v>3866</v>
      </c>
      <c r="E1135" s="14">
        <v>4999</v>
      </c>
      <c r="F1135" s="3">
        <v>3199</v>
      </c>
      <c r="G1135" s="3">
        <f t="shared" si="86"/>
        <v>9998</v>
      </c>
      <c r="H1135" s="3">
        <f t="shared" si="85"/>
        <v>6398</v>
      </c>
      <c r="I1135" s="14">
        <f t="shared" si="87"/>
        <v>3599.2799999999997</v>
      </c>
      <c r="J1135" s="14">
        <f t="shared" si="88"/>
        <v>-3600</v>
      </c>
      <c r="K1135" s="1">
        <v>0.36</v>
      </c>
      <c r="L1135">
        <v>4</v>
      </c>
      <c r="M1135" s="2">
        <v>20869</v>
      </c>
      <c r="N1135" t="s">
        <v>2745</v>
      </c>
      <c r="O1135">
        <f t="shared" si="89"/>
        <v>2</v>
      </c>
      <c r="P1135" s="12" t="e">
        <f>HYPERLINK(#REF!,"Link")</f>
        <v>#REF!</v>
      </c>
      <c r="Q1135" s="12" t="e">
        <f>HYPERLINK(#REF!,"Link")</f>
        <v>#REF!</v>
      </c>
    </row>
    <row r="1136" spans="1:17" x14ac:dyDescent="0.3">
      <c r="A1136" t="s">
        <v>2746</v>
      </c>
      <c r="B1136" t="s">
        <v>2747</v>
      </c>
      <c r="C1136" s="9" t="s">
        <v>3867</v>
      </c>
      <c r="D1136" s="9" t="s">
        <v>3868</v>
      </c>
      <c r="E1136" s="14">
        <v>2900</v>
      </c>
      <c r="F1136" s="3">
        <v>1599</v>
      </c>
      <c r="G1136" s="3">
        <f t="shared" si="86"/>
        <v>8700</v>
      </c>
      <c r="H1136" s="3">
        <f t="shared" si="85"/>
        <v>4797</v>
      </c>
      <c r="I1136" s="14">
        <f t="shared" si="87"/>
        <v>3915</v>
      </c>
      <c r="J1136" s="14">
        <f t="shared" si="88"/>
        <v>-3903</v>
      </c>
      <c r="K1136" s="1">
        <v>0.45</v>
      </c>
      <c r="L1136">
        <v>3.7</v>
      </c>
      <c r="M1136">
        <v>441</v>
      </c>
      <c r="N1136" t="s">
        <v>2748</v>
      </c>
      <c r="O1136">
        <f t="shared" si="89"/>
        <v>3</v>
      </c>
      <c r="P1136" s="12" t="e">
        <f>HYPERLINK(#REF!,"Link")</f>
        <v>#REF!</v>
      </c>
      <c r="Q1136" s="12" t="e">
        <f>HYPERLINK(#REF!,"Link")</f>
        <v>#REF!</v>
      </c>
    </row>
    <row r="1137" spans="1:17" x14ac:dyDescent="0.3">
      <c r="A1137" t="s">
        <v>2749</v>
      </c>
      <c r="B1137" t="s">
        <v>2750</v>
      </c>
      <c r="C1137" s="10" t="s">
        <v>3859</v>
      </c>
      <c r="D1137" s="10" t="s">
        <v>3869</v>
      </c>
      <c r="E1137" s="14">
        <v>2499</v>
      </c>
      <c r="F1137" s="3">
        <v>1999</v>
      </c>
      <c r="G1137" s="3">
        <f t="shared" si="86"/>
        <v>7497</v>
      </c>
      <c r="H1137" s="3">
        <f t="shared" si="85"/>
        <v>5997</v>
      </c>
      <c r="I1137" s="14">
        <f t="shared" si="87"/>
        <v>1499.4</v>
      </c>
      <c r="J1137" s="14">
        <f t="shared" si="88"/>
        <v>-1500</v>
      </c>
      <c r="K1137" s="1">
        <v>0.2</v>
      </c>
      <c r="L1137">
        <v>4.0999999999999996</v>
      </c>
      <c r="M1137" s="2">
        <v>1034</v>
      </c>
      <c r="N1137" t="s">
        <v>2751</v>
      </c>
      <c r="O1137">
        <f t="shared" si="89"/>
        <v>3</v>
      </c>
      <c r="P1137" s="12" t="e">
        <f>HYPERLINK(#REF!,"Link")</f>
        <v>#REF!</v>
      </c>
      <c r="Q1137" s="12" t="e">
        <f>HYPERLINK(#REF!,"Link")</f>
        <v>#REF!</v>
      </c>
    </row>
    <row r="1138" spans="1:17" x14ac:dyDescent="0.3">
      <c r="A1138" t="s">
        <v>2752</v>
      </c>
      <c r="B1138" t="s">
        <v>2753</v>
      </c>
      <c r="C1138" s="9" t="s">
        <v>3859</v>
      </c>
      <c r="D1138" s="9" t="s">
        <v>3870</v>
      </c>
      <c r="E1138" s="14">
        <v>1190</v>
      </c>
      <c r="F1138" s="3">
        <v>616</v>
      </c>
      <c r="G1138" s="3">
        <f t="shared" si="86"/>
        <v>2380</v>
      </c>
      <c r="H1138" s="3">
        <f t="shared" si="85"/>
        <v>1232</v>
      </c>
      <c r="I1138" s="14">
        <f t="shared" si="87"/>
        <v>1142.3999999999999</v>
      </c>
      <c r="J1138" s="14">
        <f t="shared" si="88"/>
        <v>-1148</v>
      </c>
      <c r="K1138" s="1">
        <v>0.48</v>
      </c>
      <c r="L1138">
        <v>4.0999999999999996</v>
      </c>
      <c r="M1138" s="2">
        <v>37126</v>
      </c>
      <c r="N1138" t="s">
        <v>2754</v>
      </c>
      <c r="O1138">
        <f t="shared" si="89"/>
        <v>2</v>
      </c>
      <c r="P1138" s="12" t="e">
        <f>HYPERLINK(#REF!,"Link")</f>
        <v>#REF!</v>
      </c>
      <c r="Q1138" s="12" t="e">
        <f>HYPERLINK(#REF!,"Link")</f>
        <v>#REF!</v>
      </c>
    </row>
    <row r="1139" spans="1:17" x14ac:dyDescent="0.3">
      <c r="A1139" t="s">
        <v>2755</v>
      </c>
      <c r="B1139" t="s">
        <v>2756</v>
      </c>
      <c r="C1139" s="10" t="s">
        <v>3864</v>
      </c>
      <c r="D1139" s="10" t="s">
        <v>3865</v>
      </c>
      <c r="E1139" s="14">
        <v>2100</v>
      </c>
      <c r="F1139" s="3">
        <v>1499</v>
      </c>
      <c r="G1139" s="3">
        <f t="shared" si="86"/>
        <v>4200</v>
      </c>
      <c r="H1139" s="3">
        <f t="shared" si="85"/>
        <v>2998</v>
      </c>
      <c r="I1139" s="14">
        <f t="shared" si="87"/>
        <v>1218</v>
      </c>
      <c r="J1139" s="14">
        <f t="shared" si="88"/>
        <v>-1202</v>
      </c>
      <c r="K1139" s="1">
        <v>0.28999999999999998</v>
      </c>
      <c r="L1139">
        <v>4.0999999999999996</v>
      </c>
      <c r="M1139" s="2">
        <v>6355</v>
      </c>
      <c r="N1139" t="s">
        <v>2757</v>
      </c>
      <c r="O1139">
        <f t="shared" si="89"/>
        <v>2</v>
      </c>
      <c r="P1139" s="12" t="e">
        <f>HYPERLINK(#REF!,"Link")</f>
        <v>#REF!</v>
      </c>
      <c r="Q1139" s="12" t="e">
        <f>HYPERLINK(#REF!,"Link")</f>
        <v>#REF!</v>
      </c>
    </row>
    <row r="1140" spans="1:17" x14ac:dyDescent="0.3">
      <c r="A1140" t="s">
        <v>2758</v>
      </c>
      <c r="B1140" t="s">
        <v>2759</v>
      </c>
      <c r="C1140" s="9" t="s">
        <v>3859</v>
      </c>
      <c r="D1140" s="9" t="s">
        <v>3871</v>
      </c>
      <c r="E1140" s="14">
        <v>499</v>
      </c>
      <c r="F1140" s="3">
        <v>199</v>
      </c>
      <c r="G1140" s="3">
        <f t="shared" si="86"/>
        <v>998</v>
      </c>
      <c r="H1140" s="3">
        <f t="shared" si="85"/>
        <v>398</v>
      </c>
      <c r="I1140" s="14">
        <f t="shared" si="87"/>
        <v>598.79999999999995</v>
      </c>
      <c r="J1140" s="14">
        <f t="shared" si="88"/>
        <v>-600</v>
      </c>
      <c r="K1140" s="1">
        <v>0.6</v>
      </c>
      <c r="L1140">
        <v>3.3</v>
      </c>
      <c r="M1140">
        <v>12</v>
      </c>
      <c r="N1140" t="s">
        <v>2760</v>
      </c>
      <c r="O1140">
        <f t="shared" si="89"/>
        <v>2</v>
      </c>
      <c r="P1140" s="12" t="e">
        <f>HYPERLINK(#REF!,"Link")</f>
        <v>#REF!</v>
      </c>
      <c r="Q1140" s="12" t="e">
        <f>HYPERLINK(#REF!,"Link")</f>
        <v>#REF!</v>
      </c>
    </row>
    <row r="1141" spans="1:17" x14ac:dyDescent="0.3">
      <c r="A1141" t="s">
        <v>2761</v>
      </c>
      <c r="B1141" t="s">
        <v>2762</v>
      </c>
      <c r="C1141" s="10" t="s">
        <v>3872</v>
      </c>
      <c r="D1141" s="10" t="s">
        <v>3873</v>
      </c>
      <c r="E1141" s="14">
        <v>825</v>
      </c>
      <c r="F1141" s="3">
        <v>610</v>
      </c>
      <c r="G1141" s="3">
        <f t="shared" si="86"/>
        <v>6600</v>
      </c>
      <c r="H1141" s="3">
        <f t="shared" si="85"/>
        <v>4880</v>
      </c>
      <c r="I1141" s="14">
        <f t="shared" si="87"/>
        <v>1716</v>
      </c>
      <c r="J1141" s="14">
        <f t="shared" si="88"/>
        <v>-1720</v>
      </c>
      <c r="K1141" s="1">
        <v>0.26</v>
      </c>
      <c r="L1141">
        <v>4.0999999999999996</v>
      </c>
      <c r="M1141" s="2">
        <v>13165</v>
      </c>
      <c r="N1141" t="s">
        <v>2763</v>
      </c>
      <c r="O1141">
        <f t="shared" si="89"/>
        <v>8</v>
      </c>
      <c r="P1141" s="12" t="e">
        <f>HYPERLINK(#REF!,"Link")</f>
        <v>#REF!</v>
      </c>
      <c r="Q1141" s="12" t="e">
        <f>HYPERLINK(#REF!,"Link")</f>
        <v>#REF!</v>
      </c>
    </row>
    <row r="1142" spans="1:17" x14ac:dyDescent="0.3">
      <c r="A1142" t="s">
        <v>2764</v>
      </c>
      <c r="B1142" t="s">
        <v>2765</v>
      </c>
      <c r="C1142" s="9" t="s">
        <v>3861</v>
      </c>
      <c r="D1142" s="9"/>
      <c r="E1142" s="14">
        <v>1499</v>
      </c>
      <c r="F1142" s="3">
        <v>999</v>
      </c>
      <c r="G1142" s="3">
        <f t="shared" si="86"/>
        <v>8994</v>
      </c>
      <c r="H1142" s="3">
        <f t="shared" si="85"/>
        <v>5994</v>
      </c>
      <c r="I1142" s="14">
        <f t="shared" si="87"/>
        <v>2968.02</v>
      </c>
      <c r="J1142" s="14">
        <f t="shared" si="88"/>
        <v>-3000</v>
      </c>
      <c r="K1142" s="1">
        <v>0.33</v>
      </c>
      <c r="L1142">
        <v>4.0999999999999996</v>
      </c>
      <c r="M1142" s="2">
        <v>1646</v>
      </c>
      <c r="N1142" t="s">
        <v>2766</v>
      </c>
      <c r="O1142">
        <f t="shared" si="89"/>
        <v>6</v>
      </c>
      <c r="P1142" s="12" t="e">
        <f>HYPERLINK(#REF!,"Link")</f>
        <v>#REF!</v>
      </c>
      <c r="Q1142" s="12" t="e">
        <f>HYPERLINK(#REF!,"Link")</f>
        <v>#REF!</v>
      </c>
    </row>
    <row r="1143" spans="1:17" x14ac:dyDescent="0.3">
      <c r="A1143" t="s">
        <v>2767</v>
      </c>
      <c r="B1143" t="s">
        <v>2768</v>
      </c>
      <c r="C1143" s="10" t="s">
        <v>3859</v>
      </c>
      <c r="D1143" s="10" t="s">
        <v>3860</v>
      </c>
      <c r="E1143" s="14">
        <v>9995</v>
      </c>
      <c r="F1143" s="3">
        <v>8999</v>
      </c>
      <c r="G1143" s="3">
        <f t="shared" si="86"/>
        <v>9995</v>
      </c>
      <c r="H1143" s="3">
        <f t="shared" si="85"/>
        <v>8999</v>
      </c>
      <c r="I1143" s="14">
        <f t="shared" si="87"/>
        <v>999.5</v>
      </c>
      <c r="J1143" s="14">
        <f t="shared" si="88"/>
        <v>-996</v>
      </c>
      <c r="K1143" s="1">
        <v>0.1</v>
      </c>
      <c r="L1143">
        <v>4.4000000000000004</v>
      </c>
      <c r="M1143" s="2">
        <v>17994</v>
      </c>
      <c r="N1143" t="s">
        <v>2769</v>
      </c>
      <c r="O1143">
        <f t="shared" si="89"/>
        <v>1</v>
      </c>
      <c r="P1143" s="12" t="e">
        <f>HYPERLINK(#REF!,"Link")</f>
        <v>#REF!</v>
      </c>
      <c r="Q1143" s="12" t="e">
        <f>HYPERLINK(#REF!,"Link")</f>
        <v>#REF!</v>
      </c>
    </row>
    <row r="1144" spans="1:17" x14ac:dyDescent="0.3">
      <c r="A1144" t="s">
        <v>2770</v>
      </c>
      <c r="B1144" t="s">
        <v>2771</v>
      </c>
      <c r="C1144" s="9" t="s">
        <v>3872</v>
      </c>
      <c r="D1144" s="9" t="s">
        <v>3874</v>
      </c>
      <c r="E1144" s="14">
        <v>999</v>
      </c>
      <c r="F1144" s="3">
        <v>453</v>
      </c>
      <c r="G1144" s="3">
        <f t="shared" si="86"/>
        <v>999</v>
      </c>
      <c r="H1144" s="3">
        <f t="shared" si="85"/>
        <v>453</v>
      </c>
      <c r="I1144" s="14">
        <f t="shared" si="87"/>
        <v>549.45000000000005</v>
      </c>
      <c r="J1144" s="14">
        <f t="shared" si="88"/>
        <v>-546</v>
      </c>
      <c r="K1144" s="1">
        <v>0.55000000000000004</v>
      </c>
      <c r="L1144">
        <v>4.3</v>
      </c>
      <c r="M1144">
        <v>610</v>
      </c>
      <c r="N1144" t="s">
        <v>2772</v>
      </c>
      <c r="O1144">
        <f t="shared" si="89"/>
        <v>1</v>
      </c>
      <c r="P1144" s="12" t="e">
        <f>HYPERLINK(#REF!,"Link")</f>
        <v>#REF!</v>
      </c>
      <c r="Q1144" s="12" t="e">
        <f>HYPERLINK(#REF!,"Link")</f>
        <v>#REF!</v>
      </c>
    </row>
    <row r="1145" spans="1:17" x14ac:dyDescent="0.3">
      <c r="A1145" t="s">
        <v>2773</v>
      </c>
      <c r="B1145" t="s">
        <v>2774</v>
      </c>
      <c r="C1145" s="10" t="s">
        <v>3872</v>
      </c>
      <c r="D1145" s="10" t="s">
        <v>3875</v>
      </c>
      <c r="E1145" s="14">
        <v>6000</v>
      </c>
      <c r="F1145" s="3">
        <v>2464</v>
      </c>
      <c r="G1145" s="3">
        <f t="shared" si="86"/>
        <v>12000</v>
      </c>
      <c r="H1145" s="3">
        <f t="shared" si="85"/>
        <v>4928</v>
      </c>
      <c r="I1145" s="14">
        <f t="shared" si="87"/>
        <v>7080</v>
      </c>
      <c r="J1145" s="14">
        <f t="shared" si="88"/>
        <v>-7072</v>
      </c>
      <c r="K1145" s="1">
        <v>0.59</v>
      </c>
      <c r="L1145">
        <v>4.0999999999999996</v>
      </c>
      <c r="M1145" s="2">
        <v>8866</v>
      </c>
      <c r="N1145" t="s">
        <v>2775</v>
      </c>
      <c r="O1145">
        <f t="shared" si="89"/>
        <v>2</v>
      </c>
      <c r="P1145" s="12" t="e">
        <f>HYPERLINK(#REF!,"Link")</f>
        <v>#REF!</v>
      </c>
      <c r="Q1145" s="12" t="e">
        <f>HYPERLINK(#REF!,"Link")</f>
        <v>#REF!</v>
      </c>
    </row>
    <row r="1146" spans="1:17" x14ac:dyDescent="0.3">
      <c r="A1146" t="s">
        <v>2776</v>
      </c>
      <c r="B1146" t="s">
        <v>2777</v>
      </c>
      <c r="C1146" s="9" t="s">
        <v>3859</v>
      </c>
      <c r="D1146" s="9" t="s">
        <v>3876</v>
      </c>
      <c r="E1146" s="14">
        <v>3945</v>
      </c>
      <c r="F1146" s="3">
        <v>2719</v>
      </c>
      <c r="G1146" s="3">
        <f t="shared" si="86"/>
        <v>11835</v>
      </c>
      <c r="H1146" s="3">
        <f t="shared" si="85"/>
        <v>8157</v>
      </c>
      <c r="I1146" s="14">
        <f t="shared" si="87"/>
        <v>3668.8500000000004</v>
      </c>
      <c r="J1146" s="14">
        <f t="shared" si="88"/>
        <v>-3678</v>
      </c>
      <c r="K1146" s="1">
        <v>0.31</v>
      </c>
      <c r="L1146">
        <v>3.7</v>
      </c>
      <c r="M1146" s="2">
        <v>13406</v>
      </c>
      <c r="N1146" t="s">
        <v>2778</v>
      </c>
      <c r="O1146">
        <f t="shared" si="89"/>
        <v>3</v>
      </c>
      <c r="P1146" s="12" t="e">
        <f>HYPERLINK(#REF!,"Link")</f>
        <v>#REF!</v>
      </c>
      <c r="Q1146" s="12" t="e">
        <f>HYPERLINK(#REF!,"Link")</f>
        <v>#REF!</v>
      </c>
    </row>
    <row r="1147" spans="1:17" x14ac:dyDescent="0.3">
      <c r="A1147" t="s">
        <v>2779</v>
      </c>
      <c r="B1147" t="s">
        <v>2780</v>
      </c>
      <c r="C1147" s="10" t="s">
        <v>3877</v>
      </c>
      <c r="D1147" s="10" t="s">
        <v>3878</v>
      </c>
      <c r="E1147" s="14">
        <v>1999</v>
      </c>
      <c r="F1147" s="3">
        <v>1439</v>
      </c>
      <c r="G1147" s="3">
        <f t="shared" si="86"/>
        <v>3998</v>
      </c>
      <c r="H1147" s="3">
        <f t="shared" si="85"/>
        <v>2878</v>
      </c>
      <c r="I1147" s="14">
        <f t="shared" si="87"/>
        <v>1119.44</v>
      </c>
      <c r="J1147" s="14">
        <f t="shared" si="88"/>
        <v>-1120</v>
      </c>
      <c r="K1147" s="1">
        <v>0.28000000000000003</v>
      </c>
      <c r="L1147">
        <v>4.8</v>
      </c>
      <c r="M1147" s="2">
        <v>53803</v>
      </c>
      <c r="N1147" t="s">
        <v>2781</v>
      </c>
      <c r="O1147">
        <f t="shared" si="89"/>
        <v>2</v>
      </c>
      <c r="P1147" s="12" t="e">
        <f>HYPERLINK(#REF!,"Link")</f>
        <v>#REF!</v>
      </c>
      <c r="Q1147" s="12" t="e">
        <f>HYPERLINK(#REF!,"Link")</f>
        <v>#REF!</v>
      </c>
    </row>
    <row r="1148" spans="1:17" x14ac:dyDescent="0.3">
      <c r="A1148" t="s">
        <v>2782</v>
      </c>
      <c r="B1148" t="s">
        <v>2750</v>
      </c>
      <c r="C1148" s="9" t="s">
        <v>3859</v>
      </c>
      <c r="D1148" s="9" t="s">
        <v>3879</v>
      </c>
      <c r="E1148" s="14">
        <v>3499</v>
      </c>
      <c r="F1148" s="3">
        <v>2799</v>
      </c>
      <c r="G1148" s="3">
        <f t="shared" si="86"/>
        <v>10497</v>
      </c>
      <c r="H1148" s="3">
        <f t="shared" si="85"/>
        <v>8397</v>
      </c>
      <c r="I1148" s="14">
        <f t="shared" si="87"/>
        <v>2099.4</v>
      </c>
      <c r="J1148" s="14">
        <f t="shared" si="88"/>
        <v>-2100</v>
      </c>
      <c r="K1148" s="1">
        <v>0.2</v>
      </c>
      <c r="L1148">
        <v>4.5</v>
      </c>
      <c r="M1148">
        <v>546</v>
      </c>
      <c r="N1148" t="s">
        <v>2783</v>
      </c>
      <c r="O1148">
        <f t="shared" si="89"/>
        <v>3</v>
      </c>
      <c r="P1148" s="12" t="e">
        <f>HYPERLINK(#REF!,"Link")</f>
        <v>#REF!</v>
      </c>
      <c r="Q1148" s="12" t="e">
        <f>HYPERLINK(#REF!,"Link")</f>
        <v>#REF!</v>
      </c>
    </row>
    <row r="1149" spans="1:17" x14ac:dyDescent="0.3">
      <c r="A1149" t="s">
        <v>2784</v>
      </c>
      <c r="B1149" t="s">
        <v>2785</v>
      </c>
      <c r="C1149" s="10" t="s">
        <v>3864</v>
      </c>
      <c r="D1149" s="10" t="s">
        <v>3880</v>
      </c>
      <c r="E1149" s="14">
        <v>5550</v>
      </c>
      <c r="F1149" s="3">
        <v>2088</v>
      </c>
      <c r="G1149" s="3">
        <f t="shared" si="86"/>
        <v>11100</v>
      </c>
      <c r="H1149" s="3">
        <f t="shared" si="85"/>
        <v>4176</v>
      </c>
      <c r="I1149" s="14">
        <f t="shared" si="87"/>
        <v>6882</v>
      </c>
      <c r="J1149" s="14">
        <f t="shared" si="88"/>
        <v>-6924</v>
      </c>
      <c r="K1149" s="1">
        <v>0.62</v>
      </c>
      <c r="L1149">
        <v>4</v>
      </c>
      <c r="M1149" s="2">
        <v>5292</v>
      </c>
      <c r="N1149" t="s">
        <v>2786</v>
      </c>
      <c r="O1149">
        <f t="shared" si="89"/>
        <v>2</v>
      </c>
      <c r="P1149" s="12" t="e">
        <f>HYPERLINK(#REF!,"Link")</f>
        <v>#REF!</v>
      </c>
      <c r="Q1149" s="12" t="e">
        <f>HYPERLINK(#REF!,"Link")</f>
        <v>#REF!</v>
      </c>
    </row>
    <row r="1150" spans="1:17" x14ac:dyDescent="0.3">
      <c r="A1150" t="s">
        <v>2787</v>
      </c>
      <c r="B1150" t="s">
        <v>2788</v>
      </c>
      <c r="C1150" s="9" t="s">
        <v>3859</v>
      </c>
      <c r="D1150" s="9" t="s">
        <v>3881</v>
      </c>
      <c r="E1150" s="14">
        <v>4590</v>
      </c>
      <c r="F1150" s="3">
        <v>2399</v>
      </c>
      <c r="G1150" s="3">
        <f t="shared" si="86"/>
        <v>9180</v>
      </c>
      <c r="H1150" s="3">
        <f t="shared" si="85"/>
        <v>4798</v>
      </c>
      <c r="I1150" s="14">
        <f t="shared" si="87"/>
        <v>4406.3999999999996</v>
      </c>
      <c r="J1150" s="14">
        <f t="shared" si="88"/>
        <v>-4382</v>
      </c>
      <c r="K1150" s="1">
        <v>0.48</v>
      </c>
      <c r="L1150">
        <v>4.0999999999999996</v>
      </c>
      <c r="M1150">
        <v>444</v>
      </c>
      <c r="N1150" t="s">
        <v>2789</v>
      </c>
      <c r="O1150">
        <f t="shared" si="89"/>
        <v>2</v>
      </c>
      <c r="P1150" s="12" t="e">
        <f>HYPERLINK(#REF!,"Link")</f>
        <v>#REF!</v>
      </c>
      <c r="Q1150" s="12" t="e">
        <f>HYPERLINK(#REF!,"Link")</f>
        <v>#REF!</v>
      </c>
    </row>
    <row r="1151" spans="1:17" x14ac:dyDescent="0.3">
      <c r="A1151" t="s">
        <v>2790</v>
      </c>
      <c r="B1151" t="s">
        <v>2791</v>
      </c>
      <c r="C1151" s="10" t="s">
        <v>3859</v>
      </c>
      <c r="D1151" s="10" t="s">
        <v>3882</v>
      </c>
      <c r="E1151" s="14">
        <v>499</v>
      </c>
      <c r="F1151" s="3">
        <v>308</v>
      </c>
      <c r="G1151" s="3">
        <f t="shared" si="86"/>
        <v>3493</v>
      </c>
      <c r="H1151" s="3">
        <f t="shared" si="85"/>
        <v>2156</v>
      </c>
      <c r="I1151" s="14">
        <f t="shared" si="87"/>
        <v>1327.3400000000001</v>
      </c>
      <c r="J1151" s="14">
        <f t="shared" si="88"/>
        <v>-1337</v>
      </c>
      <c r="K1151" s="1">
        <v>0.38</v>
      </c>
      <c r="L1151">
        <v>3.9</v>
      </c>
      <c r="M1151" s="2">
        <v>4584</v>
      </c>
      <c r="N1151" t="s">
        <v>2792</v>
      </c>
      <c r="O1151">
        <f t="shared" si="89"/>
        <v>7</v>
      </c>
      <c r="P1151" s="12" t="e">
        <f>HYPERLINK(#REF!,"Link")</f>
        <v>#REF!</v>
      </c>
      <c r="Q1151" s="12" t="e">
        <f>HYPERLINK(#REF!,"Link")</f>
        <v>#REF!</v>
      </c>
    </row>
    <row r="1152" spans="1:17" x14ac:dyDescent="0.3">
      <c r="A1152" t="s">
        <v>2793</v>
      </c>
      <c r="B1152" t="s">
        <v>2794</v>
      </c>
      <c r="C1152" s="9" t="s">
        <v>3859</v>
      </c>
      <c r="D1152" s="9" t="s">
        <v>3883</v>
      </c>
      <c r="E1152" s="14">
        <v>4400</v>
      </c>
      <c r="F1152" s="3">
        <v>2599</v>
      </c>
      <c r="G1152" s="3">
        <f t="shared" si="86"/>
        <v>8800</v>
      </c>
      <c r="H1152" s="3">
        <f t="shared" si="85"/>
        <v>5198</v>
      </c>
      <c r="I1152" s="14">
        <f t="shared" si="87"/>
        <v>3608</v>
      </c>
      <c r="J1152" s="14">
        <f t="shared" si="88"/>
        <v>-3602</v>
      </c>
      <c r="K1152" s="1">
        <v>0.41</v>
      </c>
      <c r="L1152">
        <v>4.0999999999999996</v>
      </c>
      <c r="M1152" s="2">
        <v>14947</v>
      </c>
      <c r="N1152" t="s">
        <v>2795</v>
      </c>
      <c r="O1152">
        <f t="shared" si="89"/>
        <v>2</v>
      </c>
      <c r="P1152" s="12" t="e">
        <f>HYPERLINK(#REF!,"Link")</f>
        <v>#REF!</v>
      </c>
      <c r="Q1152" s="12" t="e">
        <f>HYPERLINK(#REF!,"Link")</f>
        <v>#REF!</v>
      </c>
    </row>
    <row r="1153" spans="1:17" x14ac:dyDescent="0.3">
      <c r="A1153" t="s">
        <v>2796</v>
      </c>
      <c r="B1153" t="s">
        <v>2797</v>
      </c>
      <c r="C1153" s="10" t="s">
        <v>3859</v>
      </c>
      <c r="D1153" s="10" t="s">
        <v>3866</v>
      </c>
      <c r="E1153" s="14">
        <v>1000</v>
      </c>
      <c r="F1153" s="3">
        <v>479</v>
      </c>
      <c r="G1153" s="3">
        <f t="shared" si="86"/>
        <v>3000</v>
      </c>
      <c r="H1153" s="3">
        <f t="shared" si="85"/>
        <v>1437</v>
      </c>
      <c r="I1153" s="14">
        <f t="shared" si="87"/>
        <v>1560</v>
      </c>
      <c r="J1153" s="14">
        <f t="shared" si="88"/>
        <v>-1563</v>
      </c>
      <c r="K1153" s="1">
        <v>0.52</v>
      </c>
      <c r="L1153">
        <v>4.2</v>
      </c>
      <c r="M1153" s="2">
        <v>1559</v>
      </c>
      <c r="N1153" t="s">
        <v>2798</v>
      </c>
      <c r="O1153">
        <f t="shared" si="89"/>
        <v>3</v>
      </c>
      <c r="P1153" s="12" t="e">
        <f>HYPERLINK(#REF!,"Link")</f>
        <v>#REF!</v>
      </c>
      <c r="Q1153" s="12" t="e">
        <f>HYPERLINK(#REF!,"Link")</f>
        <v>#REF!</v>
      </c>
    </row>
    <row r="1154" spans="1:17" x14ac:dyDescent="0.3">
      <c r="A1154" t="s">
        <v>2799</v>
      </c>
      <c r="B1154" t="s">
        <v>2800</v>
      </c>
      <c r="C1154" s="9" t="s">
        <v>3859</v>
      </c>
      <c r="D1154" s="9" t="s">
        <v>3884</v>
      </c>
      <c r="E1154" s="14">
        <v>299</v>
      </c>
      <c r="F1154" s="3">
        <v>245</v>
      </c>
      <c r="G1154" s="3">
        <f t="shared" si="86"/>
        <v>897</v>
      </c>
      <c r="H1154" s="3">
        <f t="shared" ref="H1154:H1217" si="90">F1154*O1154</f>
        <v>735</v>
      </c>
      <c r="I1154" s="14">
        <f t="shared" si="87"/>
        <v>161.46</v>
      </c>
      <c r="J1154" s="14">
        <f t="shared" si="88"/>
        <v>-162</v>
      </c>
      <c r="K1154" s="1">
        <v>0.18</v>
      </c>
      <c r="L1154">
        <v>4.0999999999999996</v>
      </c>
      <c r="M1154" s="2">
        <v>1660</v>
      </c>
      <c r="N1154" t="s">
        <v>2801</v>
      </c>
      <c r="O1154">
        <f t="shared" si="89"/>
        <v>3</v>
      </c>
      <c r="P1154" s="12" t="e">
        <f>HYPERLINK(#REF!,"Link")</f>
        <v>#REF!</v>
      </c>
      <c r="Q1154" s="12" t="e">
        <f>HYPERLINK(#REF!,"Link")</f>
        <v>#REF!</v>
      </c>
    </row>
    <row r="1155" spans="1:17" x14ac:dyDescent="0.3">
      <c r="A1155" t="s">
        <v>2802</v>
      </c>
      <c r="B1155" t="s">
        <v>2803</v>
      </c>
      <c r="C1155" s="10" t="s">
        <v>3885</v>
      </c>
      <c r="D1155" s="10" t="s">
        <v>3886</v>
      </c>
      <c r="E1155" s="14">
        <v>799</v>
      </c>
      <c r="F1155" s="3">
        <v>179</v>
      </c>
      <c r="G1155" s="3">
        <f t="shared" ref="G1155:G1218" si="91">E1155*O1155</f>
        <v>2397</v>
      </c>
      <c r="H1155" s="3">
        <f t="shared" si="90"/>
        <v>537</v>
      </c>
      <c r="I1155" s="14">
        <f t="shared" ref="I1155:I1218" si="92">(E1155*K1155)*O1155</f>
        <v>1869.66</v>
      </c>
      <c r="J1155" s="14">
        <f t="shared" ref="J1155:J1218" si="93">H1155-G1155</f>
        <v>-1860</v>
      </c>
      <c r="K1155" s="1">
        <v>0.78</v>
      </c>
      <c r="L1155">
        <v>3.5</v>
      </c>
      <c r="M1155">
        <v>132</v>
      </c>
      <c r="N1155" t="s">
        <v>2804</v>
      </c>
      <c r="O1155">
        <f t="shared" ref="O1155:O1218" si="94">LEN(N1155)-LEN(SUBSTITUTE(N1155,",",""))+1</f>
        <v>3</v>
      </c>
      <c r="P1155" s="12" t="e">
        <f>HYPERLINK(#REF!,"Link")</f>
        <v>#REF!</v>
      </c>
      <c r="Q1155" s="12" t="e">
        <f>HYPERLINK(#REF!,"Link")</f>
        <v>#REF!</v>
      </c>
    </row>
    <row r="1156" spans="1:17" x14ac:dyDescent="0.3">
      <c r="A1156" t="s">
        <v>2805</v>
      </c>
      <c r="B1156" t="s">
        <v>2806</v>
      </c>
      <c r="C1156" s="9" t="s">
        <v>3864</v>
      </c>
      <c r="D1156" s="9" t="s">
        <v>3887</v>
      </c>
      <c r="E1156" s="14">
        <v>5190</v>
      </c>
      <c r="F1156" s="3">
        <v>3569</v>
      </c>
      <c r="G1156" s="3">
        <f t="shared" si="91"/>
        <v>10380</v>
      </c>
      <c r="H1156" s="3">
        <f t="shared" si="90"/>
        <v>7138</v>
      </c>
      <c r="I1156" s="14">
        <f t="shared" si="92"/>
        <v>3217.8</v>
      </c>
      <c r="J1156" s="14">
        <f t="shared" si="93"/>
        <v>-3242</v>
      </c>
      <c r="K1156" s="1">
        <v>0.31</v>
      </c>
      <c r="L1156">
        <v>4.3</v>
      </c>
      <c r="M1156" s="2">
        <v>28629</v>
      </c>
      <c r="N1156" t="s">
        <v>2807</v>
      </c>
      <c r="O1156">
        <f t="shared" si="94"/>
        <v>2</v>
      </c>
      <c r="P1156" s="12" t="e">
        <f>HYPERLINK(#REF!,"Link")</f>
        <v>#REF!</v>
      </c>
      <c r="Q1156" s="12" t="e">
        <f>HYPERLINK(#REF!,"Link")</f>
        <v>#REF!</v>
      </c>
    </row>
    <row r="1157" spans="1:17" x14ac:dyDescent="0.3">
      <c r="A1157" t="s">
        <v>2808</v>
      </c>
      <c r="B1157" t="s">
        <v>2416</v>
      </c>
      <c r="C1157" s="10" t="s">
        <v>3861</v>
      </c>
      <c r="D1157" s="10" t="s">
        <v>3888</v>
      </c>
      <c r="E1157" s="14">
        <v>1345</v>
      </c>
      <c r="F1157" s="3">
        <v>699</v>
      </c>
      <c r="G1157" s="3">
        <f t="shared" si="91"/>
        <v>5380</v>
      </c>
      <c r="H1157" s="3">
        <f t="shared" si="90"/>
        <v>2796</v>
      </c>
      <c r="I1157" s="14">
        <f t="shared" si="92"/>
        <v>2582.4</v>
      </c>
      <c r="J1157" s="14">
        <f t="shared" si="93"/>
        <v>-2584</v>
      </c>
      <c r="K1157" s="1">
        <v>0.48</v>
      </c>
      <c r="L1157">
        <v>3.9</v>
      </c>
      <c r="M1157" s="2">
        <v>8446</v>
      </c>
      <c r="N1157" t="s">
        <v>2809</v>
      </c>
      <c r="O1157">
        <f t="shared" si="94"/>
        <v>4</v>
      </c>
      <c r="P1157" s="12" t="e">
        <f>HYPERLINK(#REF!,"Link")</f>
        <v>#REF!</v>
      </c>
      <c r="Q1157" s="12" t="e">
        <f>HYPERLINK(#REF!,"Link")</f>
        <v>#REF!</v>
      </c>
    </row>
    <row r="1158" spans="1:17" x14ac:dyDescent="0.3">
      <c r="A1158" t="s">
        <v>2810</v>
      </c>
      <c r="B1158" t="s">
        <v>2811</v>
      </c>
      <c r="C1158" s="9" t="s">
        <v>3859</v>
      </c>
      <c r="D1158" s="9" t="s">
        <v>3889</v>
      </c>
      <c r="E1158" s="14">
        <v>4000</v>
      </c>
      <c r="F1158" s="3">
        <v>2089</v>
      </c>
      <c r="G1158" s="3">
        <f t="shared" si="91"/>
        <v>16000</v>
      </c>
      <c r="H1158" s="3">
        <f t="shared" si="90"/>
        <v>8356</v>
      </c>
      <c r="I1158" s="14">
        <f t="shared" si="92"/>
        <v>7680</v>
      </c>
      <c r="J1158" s="14">
        <f t="shared" si="93"/>
        <v>-7644</v>
      </c>
      <c r="K1158" s="1">
        <v>0.48</v>
      </c>
      <c r="L1158">
        <v>4.2</v>
      </c>
      <c r="M1158" s="2">
        <v>11199</v>
      </c>
      <c r="N1158" t="s">
        <v>2812</v>
      </c>
      <c r="O1158">
        <f t="shared" si="94"/>
        <v>4</v>
      </c>
      <c r="P1158" s="12" t="e">
        <f>HYPERLINK(#REF!,"Link")</f>
        <v>#REF!</v>
      </c>
      <c r="Q1158" s="12" t="e">
        <f>HYPERLINK(#REF!,"Link")</f>
        <v>#REF!</v>
      </c>
    </row>
    <row r="1159" spans="1:17" x14ac:dyDescent="0.3">
      <c r="A1159" t="s">
        <v>2813</v>
      </c>
      <c r="B1159" t="s">
        <v>2814</v>
      </c>
      <c r="C1159" s="10" t="s">
        <v>3861</v>
      </c>
      <c r="D1159" s="10" t="s">
        <v>3890</v>
      </c>
      <c r="E1159" s="14">
        <v>4000</v>
      </c>
      <c r="F1159" s="3">
        <v>2339</v>
      </c>
      <c r="G1159" s="3">
        <f t="shared" si="91"/>
        <v>16000</v>
      </c>
      <c r="H1159" s="3">
        <f t="shared" si="90"/>
        <v>9356</v>
      </c>
      <c r="I1159" s="14">
        <f t="shared" si="92"/>
        <v>6720</v>
      </c>
      <c r="J1159" s="14">
        <f t="shared" si="93"/>
        <v>-6644</v>
      </c>
      <c r="K1159" s="1">
        <v>0.42</v>
      </c>
      <c r="L1159">
        <v>3.8</v>
      </c>
      <c r="M1159" s="2">
        <v>1118</v>
      </c>
      <c r="N1159" t="s">
        <v>2815</v>
      </c>
      <c r="O1159">
        <f t="shared" si="94"/>
        <v>4</v>
      </c>
      <c r="P1159" s="12" t="e">
        <f>HYPERLINK(#REF!,"Link")</f>
        <v>#REF!</v>
      </c>
      <c r="Q1159" s="12" t="e">
        <f>HYPERLINK(#REF!,"Link")</f>
        <v>#REF!</v>
      </c>
    </row>
    <row r="1160" spans="1:17" x14ac:dyDescent="0.3">
      <c r="A1160" t="s">
        <v>2816</v>
      </c>
      <c r="B1160" t="s">
        <v>2817</v>
      </c>
      <c r="C1160" s="9" t="s">
        <v>3891</v>
      </c>
      <c r="D1160" s="9" t="s">
        <v>3892</v>
      </c>
      <c r="E1160" s="14">
        <v>1599</v>
      </c>
      <c r="F1160" s="3">
        <v>784</v>
      </c>
      <c r="G1160" s="3">
        <f t="shared" si="91"/>
        <v>4797</v>
      </c>
      <c r="H1160" s="3">
        <f t="shared" si="90"/>
        <v>2352</v>
      </c>
      <c r="I1160" s="14">
        <f t="shared" si="92"/>
        <v>2446.4700000000003</v>
      </c>
      <c r="J1160" s="14">
        <f t="shared" si="93"/>
        <v>-2445</v>
      </c>
      <c r="K1160" s="1">
        <v>0.51</v>
      </c>
      <c r="L1160">
        <v>4.5</v>
      </c>
      <c r="M1160">
        <v>11</v>
      </c>
      <c r="N1160" t="s">
        <v>2818</v>
      </c>
      <c r="O1160">
        <f t="shared" si="94"/>
        <v>3</v>
      </c>
      <c r="P1160" s="12" t="e">
        <f>HYPERLINK(#REF!,"Link")</f>
        <v>#REF!</v>
      </c>
      <c r="Q1160" s="12" t="e">
        <f>HYPERLINK(#REF!,"Link")</f>
        <v>#REF!</v>
      </c>
    </row>
    <row r="1161" spans="1:17" x14ac:dyDescent="0.3">
      <c r="A1161" t="s">
        <v>2819</v>
      </c>
      <c r="B1161" t="s">
        <v>2820</v>
      </c>
      <c r="C1161" s="10" t="s">
        <v>3885</v>
      </c>
      <c r="D1161" s="10" t="s">
        <v>3893</v>
      </c>
      <c r="E1161" s="14">
        <v>9999</v>
      </c>
      <c r="F1161" s="3">
        <v>5499</v>
      </c>
      <c r="G1161" s="3">
        <f t="shared" si="91"/>
        <v>39996</v>
      </c>
      <c r="H1161" s="3">
        <f t="shared" si="90"/>
        <v>21996</v>
      </c>
      <c r="I1161" s="14">
        <f t="shared" si="92"/>
        <v>17998.2</v>
      </c>
      <c r="J1161" s="14">
        <f t="shared" si="93"/>
        <v>-18000</v>
      </c>
      <c r="K1161" s="1">
        <v>0.45</v>
      </c>
      <c r="L1161">
        <v>3.8</v>
      </c>
      <c r="M1161" s="2">
        <v>4353</v>
      </c>
      <c r="N1161" t="s">
        <v>2821</v>
      </c>
      <c r="O1161">
        <f t="shared" si="94"/>
        <v>4</v>
      </c>
      <c r="P1161" s="12" t="e">
        <f>HYPERLINK(#REF!,"Link")</f>
        <v>#REF!</v>
      </c>
      <c r="Q1161" s="12" t="e">
        <f>HYPERLINK(#REF!,"Link")</f>
        <v>#REF!</v>
      </c>
    </row>
    <row r="1162" spans="1:17" x14ac:dyDescent="0.3">
      <c r="A1162" t="s">
        <v>2822</v>
      </c>
      <c r="B1162" t="s">
        <v>2823</v>
      </c>
      <c r="C1162" s="9" t="s">
        <v>3891</v>
      </c>
      <c r="D1162" s="9" t="s">
        <v>3894</v>
      </c>
      <c r="E1162" s="14">
        <v>1990</v>
      </c>
      <c r="F1162" s="3">
        <v>899</v>
      </c>
      <c r="G1162" s="3">
        <f t="shared" si="91"/>
        <v>9950</v>
      </c>
      <c r="H1162" s="3">
        <f t="shared" si="90"/>
        <v>4495</v>
      </c>
      <c r="I1162" s="14">
        <f t="shared" si="92"/>
        <v>5472.5</v>
      </c>
      <c r="J1162" s="14">
        <f t="shared" si="93"/>
        <v>-5455</v>
      </c>
      <c r="K1162" s="1">
        <v>0.55000000000000004</v>
      </c>
      <c r="L1162">
        <v>4.0999999999999996</v>
      </c>
      <c r="M1162">
        <v>185</v>
      </c>
      <c r="N1162" t="s">
        <v>2824</v>
      </c>
      <c r="O1162">
        <f t="shared" si="94"/>
        <v>5</v>
      </c>
      <c r="P1162" s="12" t="e">
        <f>HYPERLINK(#REF!,"Link")</f>
        <v>#REF!</v>
      </c>
      <c r="Q1162" s="12" t="e">
        <f>HYPERLINK(#REF!,"Link")</f>
        <v>#REF!</v>
      </c>
    </row>
    <row r="1163" spans="1:17" x14ac:dyDescent="0.3">
      <c r="A1163" t="s">
        <v>2825</v>
      </c>
      <c r="B1163" t="s">
        <v>2826</v>
      </c>
      <c r="C1163" s="10" t="s">
        <v>3895</v>
      </c>
      <c r="D1163" s="10" t="s">
        <v>3896</v>
      </c>
      <c r="E1163" s="14">
        <v>1695</v>
      </c>
      <c r="F1163" s="3">
        <v>1695</v>
      </c>
      <c r="G1163" s="3">
        <f t="shared" si="91"/>
        <v>5085</v>
      </c>
      <c r="H1163" s="3">
        <f t="shared" si="90"/>
        <v>5085</v>
      </c>
      <c r="I1163" s="14">
        <f t="shared" si="92"/>
        <v>0</v>
      </c>
      <c r="J1163" s="14">
        <f t="shared" si="93"/>
        <v>0</v>
      </c>
      <c r="K1163" s="1">
        <v>0</v>
      </c>
      <c r="L1163">
        <v>4.2</v>
      </c>
      <c r="M1163" s="2">
        <v>14290</v>
      </c>
      <c r="N1163" t="s">
        <v>2827</v>
      </c>
      <c r="O1163">
        <f t="shared" si="94"/>
        <v>3</v>
      </c>
      <c r="P1163" s="12" t="e">
        <f>HYPERLINK(#REF!,"Link")</f>
        <v>#REF!</v>
      </c>
      <c r="Q1163" s="12" t="e">
        <f>HYPERLINK(#REF!,"Link")</f>
        <v>#REF!</v>
      </c>
    </row>
    <row r="1164" spans="1:17" x14ac:dyDescent="0.3">
      <c r="A1164" t="s">
        <v>2828</v>
      </c>
      <c r="B1164" t="s">
        <v>2652</v>
      </c>
      <c r="C1164" s="9" t="s">
        <v>3895</v>
      </c>
      <c r="D1164" s="9" t="s">
        <v>3897</v>
      </c>
      <c r="E1164" s="14">
        <v>940</v>
      </c>
      <c r="F1164" s="3">
        <v>499</v>
      </c>
      <c r="G1164" s="3">
        <f t="shared" si="91"/>
        <v>1880</v>
      </c>
      <c r="H1164" s="3">
        <f t="shared" si="90"/>
        <v>998</v>
      </c>
      <c r="I1164" s="14">
        <f t="shared" si="92"/>
        <v>883.59999999999991</v>
      </c>
      <c r="J1164" s="14">
        <f t="shared" si="93"/>
        <v>-882</v>
      </c>
      <c r="K1164" s="1">
        <v>0.47</v>
      </c>
      <c r="L1164">
        <v>4.0999999999999996</v>
      </c>
      <c r="M1164" s="2">
        <v>3036</v>
      </c>
      <c r="N1164" t="s">
        <v>2829</v>
      </c>
      <c r="O1164">
        <f t="shared" si="94"/>
        <v>2</v>
      </c>
      <c r="P1164" s="12" t="e">
        <f>HYPERLINK(#REF!,"Link")</f>
        <v>#REF!</v>
      </c>
      <c r="Q1164" s="12" t="e">
        <f>HYPERLINK(#REF!,"Link")</f>
        <v>#REF!</v>
      </c>
    </row>
    <row r="1165" spans="1:17" x14ac:dyDescent="0.3">
      <c r="A1165" t="s">
        <v>2830</v>
      </c>
      <c r="B1165" t="s">
        <v>2831</v>
      </c>
      <c r="C1165" s="10" t="s">
        <v>3859</v>
      </c>
      <c r="D1165" s="10" t="s">
        <v>3898</v>
      </c>
      <c r="E1165" s="14">
        <v>4700</v>
      </c>
      <c r="F1165" s="3">
        <v>2699</v>
      </c>
      <c r="G1165" s="3">
        <f t="shared" si="91"/>
        <v>14100</v>
      </c>
      <c r="H1165" s="3">
        <f t="shared" si="90"/>
        <v>8097</v>
      </c>
      <c r="I1165" s="14">
        <f t="shared" si="92"/>
        <v>6063</v>
      </c>
      <c r="J1165" s="14">
        <f t="shared" si="93"/>
        <v>-6003</v>
      </c>
      <c r="K1165" s="1">
        <v>0.43</v>
      </c>
      <c r="L1165">
        <v>4.2</v>
      </c>
      <c r="M1165" s="2">
        <v>1296</v>
      </c>
      <c r="N1165" t="s">
        <v>2832</v>
      </c>
      <c r="O1165">
        <f t="shared" si="94"/>
        <v>3</v>
      </c>
      <c r="P1165" s="12" t="e">
        <f>HYPERLINK(#REF!,"Link")</f>
        <v>#REF!</v>
      </c>
      <c r="Q1165" s="12" t="e">
        <f>HYPERLINK(#REF!,"Link")</f>
        <v>#REF!</v>
      </c>
    </row>
    <row r="1166" spans="1:17" x14ac:dyDescent="0.3">
      <c r="A1166" t="s">
        <v>2833</v>
      </c>
      <c r="B1166" t="s">
        <v>2834</v>
      </c>
      <c r="C1166" s="9" t="s">
        <v>3899</v>
      </c>
      <c r="D1166" s="9" t="s">
        <v>3900</v>
      </c>
      <c r="E1166" s="14">
        <v>2999</v>
      </c>
      <c r="F1166" s="3">
        <v>1448</v>
      </c>
      <c r="G1166" s="3">
        <f t="shared" si="91"/>
        <v>8997</v>
      </c>
      <c r="H1166" s="3">
        <f t="shared" si="90"/>
        <v>4344</v>
      </c>
      <c r="I1166" s="14">
        <f t="shared" si="92"/>
        <v>4678.4400000000005</v>
      </c>
      <c r="J1166" s="14">
        <f t="shared" si="93"/>
        <v>-4653</v>
      </c>
      <c r="K1166" s="1">
        <v>0.52</v>
      </c>
      <c r="L1166">
        <v>4.5</v>
      </c>
      <c r="M1166">
        <v>19</v>
      </c>
      <c r="N1166" t="s">
        <v>2835</v>
      </c>
      <c r="O1166">
        <f t="shared" si="94"/>
        <v>3</v>
      </c>
      <c r="P1166" s="12" t="e">
        <f>HYPERLINK(#REF!,"Link")</f>
        <v>#REF!</v>
      </c>
      <c r="Q1166" s="12" t="e">
        <f>HYPERLINK(#REF!,"Link")</f>
        <v>#REF!</v>
      </c>
    </row>
    <row r="1167" spans="1:17" x14ac:dyDescent="0.3">
      <c r="A1167" t="s">
        <v>2836</v>
      </c>
      <c r="B1167" t="s">
        <v>2837</v>
      </c>
      <c r="C1167" s="10" t="s">
        <v>3901</v>
      </c>
      <c r="D1167" s="10" t="s">
        <v>3902</v>
      </c>
      <c r="E1167" s="14">
        <v>79</v>
      </c>
      <c r="F1167" s="3">
        <v>79</v>
      </c>
      <c r="G1167" s="3">
        <f t="shared" si="91"/>
        <v>316</v>
      </c>
      <c r="H1167" s="3">
        <f t="shared" si="90"/>
        <v>316</v>
      </c>
      <c r="I1167" s="14">
        <f t="shared" si="92"/>
        <v>0</v>
      </c>
      <c r="J1167" s="14">
        <f t="shared" si="93"/>
        <v>0</v>
      </c>
      <c r="K1167" s="1">
        <v>0</v>
      </c>
      <c r="L1167">
        <v>4</v>
      </c>
      <c r="M1167">
        <v>97</v>
      </c>
      <c r="N1167" t="s">
        <v>2838</v>
      </c>
      <c r="O1167">
        <f t="shared" si="94"/>
        <v>4</v>
      </c>
      <c r="P1167" s="12" t="e">
        <f>HYPERLINK(#REF!,"Link")</f>
        <v>#REF!</v>
      </c>
      <c r="Q1167" s="12" t="e">
        <f>HYPERLINK(#REF!,"Link")</f>
        <v>#REF!</v>
      </c>
    </row>
    <row r="1168" spans="1:17" x14ac:dyDescent="0.3">
      <c r="A1168" t="s">
        <v>2839</v>
      </c>
      <c r="B1168" t="s">
        <v>2840</v>
      </c>
      <c r="C1168" s="9" t="s">
        <v>3895</v>
      </c>
      <c r="D1168" s="9" t="s">
        <v>3903</v>
      </c>
      <c r="E1168" s="14">
        <v>14290</v>
      </c>
      <c r="F1168" s="3">
        <v>6990</v>
      </c>
      <c r="G1168" s="3">
        <f t="shared" si="91"/>
        <v>42870</v>
      </c>
      <c r="H1168" s="3">
        <f t="shared" si="90"/>
        <v>20970</v>
      </c>
      <c r="I1168" s="14">
        <f t="shared" si="92"/>
        <v>21863.7</v>
      </c>
      <c r="J1168" s="14">
        <f t="shared" si="93"/>
        <v>-21900</v>
      </c>
      <c r="K1168" s="1">
        <v>0.51</v>
      </c>
      <c r="L1168">
        <v>4.4000000000000004</v>
      </c>
      <c r="M1168" s="2">
        <v>1771</v>
      </c>
      <c r="N1168" t="s">
        <v>2841</v>
      </c>
      <c r="O1168">
        <f t="shared" si="94"/>
        <v>3</v>
      </c>
      <c r="P1168" s="12" t="e">
        <f>HYPERLINK(#REF!,"Link")</f>
        <v>#REF!</v>
      </c>
      <c r="Q1168" s="12" t="e">
        <f>HYPERLINK(#REF!,"Link")</f>
        <v>#REF!</v>
      </c>
    </row>
    <row r="1169" spans="1:17" x14ac:dyDescent="0.3">
      <c r="A1169" t="s">
        <v>2842</v>
      </c>
      <c r="B1169" t="s">
        <v>2843</v>
      </c>
      <c r="C1169" s="10" t="s">
        <v>3877</v>
      </c>
      <c r="D1169" s="10" t="s">
        <v>3904</v>
      </c>
      <c r="E1169" s="14">
        <v>3945</v>
      </c>
      <c r="F1169" s="3">
        <v>2698</v>
      </c>
      <c r="G1169" s="3">
        <f t="shared" si="91"/>
        <v>11835</v>
      </c>
      <c r="H1169" s="3">
        <f t="shared" si="90"/>
        <v>8094</v>
      </c>
      <c r="I1169" s="14">
        <f t="shared" si="92"/>
        <v>3787.2000000000003</v>
      </c>
      <c r="J1169" s="14">
        <f t="shared" si="93"/>
        <v>-3741</v>
      </c>
      <c r="K1169" s="1">
        <v>0.32</v>
      </c>
      <c r="L1169">
        <v>4</v>
      </c>
      <c r="M1169" s="2">
        <v>15034</v>
      </c>
      <c r="N1169" t="s">
        <v>2844</v>
      </c>
      <c r="O1169">
        <f t="shared" si="94"/>
        <v>3</v>
      </c>
      <c r="P1169" s="12" t="e">
        <f>HYPERLINK(#REF!,"Link")</f>
        <v>#REF!</v>
      </c>
      <c r="Q1169" s="12" t="e">
        <f>HYPERLINK(#REF!,"Link")</f>
        <v>#REF!</v>
      </c>
    </row>
    <row r="1170" spans="1:17" x14ac:dyDescent="0.3">
      <c r="A1170" t="s">
        <v>2845</v>
      </c>
      <c r="B1170" t="s">
        <v>2846</v>
      </c>
      <c r="C1170" s="9" t="s">
        <v>3905</v>
      </c>
      <c r="D1170" s="9" t="s">
        <v>3906</v>
      </c>
      <c r="E1170" s="14">
        <v>5999</v>
      </c>
      <c r="F1170" s="3">
        <v>3199</v>
      </c>
      <c r="G1170" s="3">
        <f t="shared" si="91"/>
        <v>11998</v>
      </c>
      <c r="H1170" s="3">
        <f t="shared" si="90"/>
        <v>6398</v>
      </c>
      <c r="I1170" s="14">
        <f t="shared" si="92"/>
        <v>5639.0599999999995</v>
      </c>
      <c r="J1170" s="14">
        <f t="shared" si="93"/>
        <v>-5600</v>
      </c>
      <c r="K1170" s="1">
        <v>0.47</v>
      </c>
      <c r="L1170">
        <v>4</v>
      </c>
      <c r="M1170" s="2">
        <v>3242</v>
      </c>
      <c r="N1170" t="s">
        <v>2847</v>
      </c>
      <c r="O1170">
        <f t="shared" si="94"/>
        <v>2</v>
      </c>
      <c r="P1170" s="12" t="e">
        <f>HYPERLINK(#REF!,"Link")</f>
        <v>#REF!</v>
      </c>
      <c r="Q1170" s="12" t="e">
        <f>HYPERLINK(#REF!,"Link")</f>
        <v>#REF!</v>
      </c>
    </row>
    <row r="1171" spans="1:17" x14ac:dyDescent="0.3">
      <c r="A1171" t="s">
        <v>2848</v>
      </c>
      <c r="B1171" t="s">
        <v>2849</v>
      </c>
      <c r="C1171" s="10" t="s">
        <v>3877</v>
      </c>
      <c r="D1171" s="10" t="s">
        <v>3907</v>
      </c>
      <c r="E1171" s="14">
        <v>1950</v>
      </c>
      <c r="F1171" s="3">
        <v>1199</v>
      </c>
      <c r="G1171" s="3">
        <f t="shared" si="91"/>
        <v>1950</v>
      </c>
      <c r="H1171" s="3">
        <f t="shared" si="90"/>
        <v>1199</v>
      </c>
      <c r="I1171" s="14">
        <f t="shared" si="92"/>
        <v>760.5</v>
      </c>
      <c r="J1171" s="14">
        <f t="shared" si="93"/>
        <v>-751</v>
      </c>
      <c r="K1171" s="1">
        <v>0.39</v>
      </c>
      <c r="L1171">
        <v>3.9</v>
      </c>
      <c r="M1171" s="2">
        <v>2832</v>
      </c>
      <c r="N1171" t="s">
        <v>2850</v>
      </c>
      <c r="O1171">
        <f t="shared" si="94"/>
        <v>1</v>
      </c>
      <c r="P1171" s="12" t="e">
        <f>HYPERLINK(#REF!,"Link")</f>
        <v>#REF!</v>
      </c>
      <c r="Q1171" s="12" t="e">
        <f>HYPERLINK(#REF!,"Link")</f>
        <v>#REF!</v>
      </c>
    </row>
    <row r="1172" spans="1:17" x14ac:dyDescent="0.3">
      <c r="A1172" t="s">
        <v>2851</v>
      </c>
      <c r="B1172" t="s">
        <v>2852</v>
      </c>
      <c r="C1172" s="9" t="s">
        <v>3859</v>
      </c>
      <c r="D1172" s="9" t="s">
        <v>3908</v>
      </c>
      <c r="E1172" s="14">
        <v>2799</v>
      </c>
      <c r="F1172" s="3">
        <v>1414</v>
      </c>
      <c r="G1172" s="3">
        <f t="shared" si="91"/>
        <v>5598</v>
      </c>
      <c r="H1172" s="3">
        <f t="shared" si="90"/>
        <v>2828</v>
      </c>
      <c r="I1172" s="14">
        <f t="shared" si="92"/>
        <v>2743.02</v>
      </c>
      <c r="J1172" s="14">
        <f t="shared" si="93"/>
        <v>-2770</v>
      </c>
      <c r="K1172" s="1">
        <v>0.49</v>
      </c>
      <c r="L1172">
        <v>4</v>
      </c>
      <c r="M1172" s="2">
        <v>1498</v>
      </c>
      <c r="N1172" t="s">
        <v>2853</v>
      </c>
      <c r="O1172">
        <f t="shared" si="94"/>
        <v>2</v>
      </c>
      <c r="P1172" s="12" t="e">
        <f>HYPERLINK(#REF!,"Link")</f>
        <v>#REF!</v>
      </c>
      <c r="Q1172" s="12" t="e">
        <f>HYPERLINK(#REF!,"Link")</f>
        <v>#REF!</v>
      </c>
    </row>
    <row r="1173" spans="1:17" x14ac:dyDescent="0.3">
      <c r="A1173" t="s">
        <v>2854</v>
      </c>
      <c r="B1173" t="s">
        <v>2855</v>
      </c>
      <c r="C1173" s="10" t="s">
        <v>3859</v>
      </c>
      <c r="D1173" s="10" t="s">
        <v>3909</v>
      </c>
      <c r="E1173" s="14">
        <v>1950</v>
      </c>
      <c r="F1173" s="3">
        <v>999</v>
      </c>
      <c r="G1173" s="3">
        <f t="shared" si="91"/>
        <v>7800</v>
      </c>
      <c r="H1173" s="3">
        <f t="shared" si="90"/>
        <v>3996</v>
      </c>
      <c r="I1173" s="14">
        <f t="shared" si="92"/>
        <v>3822</v>
      </c>
      <c r="J1173" s="14">
        <f t="shared" si="93"/>
        <v>-3804</v>
      </c>
      <c r="K1173" s="1">
        <v>0.49</v>
      </c>
      <c r="L1173">
        <v>3.8</v>
      </c>
      <c r="M1173">
        <v>305</v>
      </c>
      <c r="N1173" t="s">
        <v>2856</v>
      </c>
      <c r="O1173">
        <f t="shared" si="94"/>
        <v>4</v>
      </c>
      <c r="P1173" s="12" t="e">
        <f>HYPERLINK(#REF!,"Link")</f>
        <v>#REF!</v>
      </c>
      <c r="Q1173" s="12" t="e">
        <f>HYPERLINK(#REF!,"Link")</f>
        <v>#REF!</v>
      </c>
    </row>
    <row r="1174" spans="1:17" x14ac:dyDescent="0.3">
      <c r="A1174" t="s">
        <v>2857</v>
      </c>
      <c r="B1174" t="s">
        <v>2858</v>
      </c>
      <c r="C1174" s="9" t="s">
        <v>3859</v>
      </c>
      <c r="D1174" s="9" t="s">
        <v>3910</v>
      </c>
      <c r="E1174" s="14">
        <v>9999</v>
      </c>
      <c r="F1174" s="3">
        <v>5999</v>
      </c>
      <c r="G1174" s="3">
        <f t="shared" si="91"/>
        <v>29997</v>
      </c>
      <c r="H1174" s="3">
        <f t="shared" si="90"/>
        <v>17997</v>
      </c>
      <c r="I1174" s="14">
        <f t="shared" si="92"/>
        <v>11998.800000000001</v>
      </c>
      <c r="J1174" s="14">
        <f t="shared" si="93"/>
        <v>-12000</v>
      </c>
      <c r="K1174" s="1">
        <v>0.4</v>
      </c>
      <c r="L1174">
        <v>4.2</v>
      </c>
      <c r="M1174" s="2">
        <v>1191</v>
      </c>
      <c r="N1174" t="s">
        <v>2859</v>
      </c>
      <c r="O1174">
        <f t="shared" si="94"/>
        <v>3</v>
      </c>
      <c r="P1174" s="12" t="e">
        <f>HYPERLINK(#REF!,"Link")</f>
        <v>#REF!</v>
      </c>
      <c r="Q1174" s="12" t="e">
        <f>HYPERLINK(#REF!,"Link")</f>
        <v>#REF!</v>
      </c>
    </row>
    <row r="1175" spans="1:17" x14ac:dyDescent="0.3">
      <c r="A1175" t="s">
        <v>2860</v>
      </c>
      <c r="B1175" t="s">
        <v>2861</v>
      </c>
      <c r="C1175" s="10" t="s">
        <v>3859</v>
      </c>
      <c r="D1175" s="10" t="s">
        <v>3911</v>
      </c>
      <c r="E1175" s="14">
        <v>12999</v>
      </c>
      <c r="F1175" s="3">
        <v>9970</v>
      </c>
      <c r="G1175" s="3">
        <f t="shared" si="91"/>
        <v>38997</v>
      </c>
      <c r="H1175" s="3">
        <f t="shared" si="90"/>
        <v>29910</v>
      </c>
      <c r="I1175" s="14">
        <f t="shared" si="92"/>
        <v>8969.31</v>
      </c>
      <c r="J1175" s="14">
        <f t="shared" si="93"/>
        <v>-9087</v>
      </c>
      <c r="K1175" s="1">
        <v>0.23</v>
      </c>
      <c r="L1175">
        <v>4.3</v>
      </c>
      <c r="M1175" s="2">
        <v>4049</v>
      </c>
      <c r="N1175" t="s">
        <v>2862</v>
      </c>
      <c r="O1175">
        <f t="shared" si="94"/>
        <v>3</v>
      </c>
      <c r="P1175" s="12" t="e">
        <f>HYPERLINK(#REF!,"Link")</f>
        <v>#REF!</v>
      </c>
      <c r="Q1175" s="12" t="e">
        <f>HYPERLINK(#REF!,"Link")</f>
        <v>#REF!</v>
      </c>
    </row>
    <row r="1176" spans="1:17" x14ac:dyDescent="0.3">
      <c r="A1176" t="s">
        <v>2863</v>
      </c>
      <c r="B1176" t="s">
        <v>2864</v>
      </c>
      <c r="C1176" s="9" t="s">
        <v>3859</v>
      </c>
      <c r="D1176" s="9"/>
      <c r="E1176" s="14">
        <v>699</v>
      </c>
      <c r="F1176" s="3">
        <v>698</v>
      </c>
      <c r="G1176" s="3">
        <f t="shared" si="91"/>
        <v>1398</v>
      </c>
      <c r="H1176" s="3">
        <f t="shared" si="90"/>
        <v>1396</v>
      </c>
      <c r="I1176" s="14">
        <f t="shared" si="92"/>
        <v>0</v>
      </c>
      <c r="J1176" s="14">
        <f t="shared" si="93"/>
        <v>-2</v>
      </c>
      <c r="K1176" s="1">
        <v>0</v>
      </c>
      <c r="L1176">
        <v>4.2</v>
      </c>
      <c r="M1176" s="2">
        <v>3160</v>
      </c>
      <c r="N1176" t="s">
        <v>2865</v>
      </c>
      <c r="O1176">
        <f t="shared" si="94"/>
        <v>2</v>
      </c>
      <c r="P1176" s="12" t="e">
        <f>HYPERLINK(#REF!,"Link")</f>
        <v>#REF!</v>
      </c>
      <c r="Q1176" s="12" t="e">
        <f>HYPERLINK(#REF!,"Link")</f>
        <v>#REF!</v>
      </c>
    </row>
    <row r="1177" spans="1:17" x14ac:dyDescent="0.3">
      <c r="A1177" t="s">
        <v>2866</v>
      </c>
      <c r="B1177" t="s">
        <v>2867</v>
      </c>
      <c r="C1177" s="10" t="s">
        <v>3912</v>
      </c>
      <c r="D1177" s="10" t="s">
        <v>3913</v>
      </c>
      <c r="E1177" s="14">
        <v>3190</v>
      </c>
      <c r="F1177" s="3">
        <v>2199</v>
      </c>
      <c r="G1177" s="3">
        <f t="shared" si="91"/>
        <v>6380</v>
      </c>
      <c r="H1177" s="3">
        <f t="shared" si="90"/>
        <v>4398</v>
      </c>
      <c r="I1177" s="14">
        <f t="shared" si="92"/>
        <v>1977.8</v>
      </c>
      <c r="J1177" s="14">
        <f t="shared" si="93"/>
        <v>-1982</v>
      </c>
      <c r="K1177" s="1">
        <v>0.31</v>
      </c>
      <c r="L1177">
        <v>4.3</v>
      </c>
      <c r="M1177" s="2">
        <v>9650</v>
      </c>
      <c r="N1177" t="s">
        <v>2868</v>
      </c>
      <c r="O1177">
        <f t="shared" si="94"/>
        <v>2</v>
      </c>
      <c r="P1177" s="12" t="e">
        <f>HYPERLINK(#REF!,"Link")</f>
        <v>#REF!</v>
      </c>
      <c r="Q1177" s="12" t="e">
        <f>HYPERLINK(#REF!,"Link")</f>
        <v>#REF!</v>
      </c>
    </row>
    <row r="1178" spans="1:17" x14ac:dyDescent="0.3">
      <c r="A1178" t="s">
        <v>2869</v>
      </c>
      <c r="B1178" t="s">
        <v>2870</v>
      </c>
      <c r="C1178" s="9" t="s">
        <v>3891</v>
      </c>
      <c r="D1178" s="9" t="s">
        <v>3914</v>
      </c>
      <c r="E1178" s="14">
        <v>799</v>
      </c>
      <c r="F1178" s="3">
        <v>320</v>
      </c>
      <c r="G1178" s="3">
        <f t="shared" si="91"/>
        <v>1598</v>
      </c>
      <c r="H1178" s="3">
        <f t="shared" si="90"/>
        <v>640</v>
      </c>
      <c r="I1178" s="14">
        <f t="shared" si="92"/>
        <v>958.8</v>
      </c>
      <c r="J1178" s="14">
        <f t="shared" si="93"/>
        <v>-958</v>
      </c>
      <c r="K1178" s="1">
        <v>0.6</v>
      </c>
      <c r="L1178">
        <v>4.2</v>
      </c>
      <c r="M1178" s="2">
        <v>3846</v>
      </c>
      <c r="N1178" t="s">
        <v>2871</v>
      </c>
      <c r="O1178">
        <f t="shared" si="94"/>
        <v>2</v>
      </c>
      <c r="P1178" s="12" t="e">
        <f>HYPERLINK(#REF!,"Link")</f>
        <v>#REF!</v>
      </c>
      <c r="Q1178" s="12" t="e">
        <f>HYPERLINK(#REF!,"Link")</f>
        <v>#REF!</v>
      </c>
    </row>
    <row r="1179" spans="1:17" x14ac:dyDescent="0.3">
      <c r="A1179" t="s">
        <v>2872</v>
      </c>
      <c r="B1179" t="s">
        <v>2873</v>
      </c>
      <c r="C1179" s="10" t="s">
        <v>3885</v>
      </c>
      <c r="D1179" s="10" t="s">
        <v>3915</v>
      </c>
      <c r="E1179" s="14">
        <v>499</v>
      </c>
      <c r="F1179" s="3">
        <v>298</v>
      </c>
      <c r="G1179" s="3">
        <f t="shared" si="91"/>
        <v>998</v>
      </c>
      <c r="H1179" s="3">
        <f t="shared" si="90"/>
        <v>596</v>
      </c>
      <c r="I1179" s="14">
        <f t="shared" si="92"/>
        <v>399.20000000000005</v>
      </c>
      <c r="J1179" s="14">
        <f t="shared" si="93"/>
        <v>-402</v>
      </c>
      <c r="K1179" s="1">
        <v>0.4</v>
      </c>
      <c r="L1179">
        <v>4.4000000000000004</v>
      </c>
      <c r="M1179">
        <v>290</v>
      </c>
      <c r="N1179" t="s">
        <v>2874</v>
      </c>
      <c r="O1179">
        <f t="shared" si="94"/>
        <v>2</v>
      </c>
      <c r="P1179" s="12" t="e">
        <f>HYPERLINK(#REF!,"Link")</f>
        <v>#REF!</v>
      </c>
      <c r="Q1179" s="12" t="e">
        <f>HYPERLINK(#REF!,"Link")</f>
        <v>#REF!</v>
      </c>
    </row>
    <row r="1180" spans="1:17" x14ac:dyDescent="0.3">
      <c r="A1180" t="s">
        <v>2875</v>
      </c>
      <c r="B1180" t="s">
        <v>2876</v>
      </c>
      <c r="C1180" s="9" t="s">
        <v>3891</v>
      </c>
      <c r="D1180" s="9" t="s">
        <v>3916</v>
      </c>
      <c r="E1180" s="14">
        <v>1499</v>
      </c>
      <c r="F1180" s="3">
        <v>1199</v>
      </c>
      <c r="G1180" s="3">
        <f t="shared" si="91"/>
        <v>2998</v>
      </c>
      <c r="H1180" s="3">
        <f t="shared" si="90"/>
        <v>2398</v>
      </c>
      <c r="I1180" s="14">
        <f t="shared" si="92"/>
        <v>599.6</v>
      </c>
      <c r="J1180" s="14">
        <f t="shared" si="93"/>
        <v>-600</v>
      </c>
      <c r="K1180" s="1">
        <v>0.2</v>
      </c>
      <c r="L1180">
        <v>3.8</v>
      </c>
      <c r="M1180" s="2">
        <v>2206</v>
      </c>
      <c r="N1180" t="s">
        <v>2877</v>
      </c>
      <c r="O1180">
        <f t="shared" si="94"/>
        <v>2</v>
      </c>
      <c r="P1180" s="12" t="e">
        <f>HYPERLINK(#REF!,"Link")</f>
        <v>#REF!</v>
      </c>
      <c r="Q1180" s="12" t="e">
        <f>HYPERLINK(#REF!,"Link")</f>
        <v>#REF!</v>
      </c>
    </row>
    <row r="1181" spans="1:17" x14ac:dyDescent="0.3">
      <c r="A1181" t="s">
        <v>2878</v>
      </c>
      <c r="B1181" t="s">
        <v>2879</v>
      </c>
      <c r="C1181" s="10" t="s">
        <v>3917</v>
      </c>
      <c r="D1181" s="10"/>
      <c r="E1181" s="14">
        <v>2660</v>
      </c>
      <c r="F1181" s="3">
        <v>1399</v>
      </c>
      <c r="G1181" s="3">
        <f t="shared" si="91"/>
        <v>7980</v>
      </c>
      <c r="H1181" s="3">
        <f t="shared" si="90"/>
        <v>4197</v>
      </c>
      <c r="I1181" s="14">
        <f t="shared" si="92"/>
        <v>3750.5999999999995</v>
      </c>
      <c r="J1181" s="14">
        <f t="shared" si="93"/>
        <v>-3783</v>
      </c>
      <c r="K1181" s="1">
        <v>0.47</v>
      </c>
      <c r="L1181">
        <v>4.0999999999999996</v>
      </c>
      <c r="M1181" s="2">
        <v>9349</v>
      </c>
      <c r="N1181" t="s">
        <v>2880</v>
      </c>
      <c r="O1181">
        <f t="shared" si="94"/>
        <v>3</v>
      </c>
      <c r="P1181" s="12" t="e">
        <f>HYPERLINK(#REF!,"Link")</f>
        <v>#REF!</v>
      </c>
      <c r="Q1181" s="12" t="e">
        <f>HYPERLINK(#REF!,"Link")</f>
        <v>#REF!</v>
      </c>
    </row>
    <row r="1182" spans="1:17" x14ac:dyDescent="0.3">
      <c r="A1182" t="s">
        <v>2881</v>
      </c>
      <c r="B1182" t="s">
        <v>2882</v>
      </c>
      <c r="C1182" s="9" t="s">
        <v>3859</v>
      </c>
      <c r="D1182" s="9" t="s">
        <v>3918</v>
      </c>
      <c r="E1182" s="14">
        <v>2799</v>
      </c>
      <c r="F1182" s="3">
        <v>599</v>
      </c>
      <c r="G1182" s="3">
        <f t="shared" si="91"/>
        <v>8397</v>
      </c>
      <c r="H1182" s="3">
        <f t="shared" si="90"/>
        <v>1797</v>
      </c>
      <c r="I1182" s="14">
        <f t="shared" si="92"/>
        <v>6633.63</v>
      </c>
      <c r="J1182" s="14">
        <f t="shared" si="93"/>
        <v>-6600</v>
      </c>
      <c r="K1182" s="1">
        <v>0.79</v>
      </c>
      <c r="L1182">
        <v>3.9</v>
      </c>
      <c r="M1182">
        <v>578</v>
      </c>
      <c r="N1182" t="s">
        <v>2883</v>
      </c>
      <c r="O1182">
        <f t="shared" si="94"/>
        <v>3</v>
      </c>
      <c r="P1182" s="12" t="e">
        <f>HYPERLINK(#REF!,"Link")</f>
        <v>#REF!</v>
      </c>
      <c r="Q1182" s="12" t="e">
        <f>HYPERLINK(#REF!,"Link")</f>
        <v>#REF!</v>
      </c>
    </row>
    <row r="1183" spans="1:17" x14ac:dyDescent="0.3">
      <c r="A1183" t="s">
        <v>2884</v>
      </c>
      <c r="B1183" t="s">
        <v>2885</v>
      </c>
      <c r="C1183" s="10" t="s">
        <v>3859</v>
      </c>
      <c r="D1183" s="10" t="s">
        <v>3919</v>
      </c>
      <c r="E1183" s="14">
        <v>1499</v>
      </c>
      <c r="F1183" s="3">
        <v>1499</v>
      </c>
      <c r="G1183" s="3">
        <f t="shared" si="91"/>
        <v>5996</v>
      </c>
      <c r="H1183" s="3">
        <f t="shared" si="90"/>
        <v>5996</v>
      </c>
      <c r="I1183" s="14">
        <f t="shared" si="92"/>
        <v>0</v>
      </c>
      <c r="J1183" s="14">
        <f t="shared" si="93"/>
        <v>0</v>
      </c>
      <c r="K1183" s="1">
        <v>0</v>
      </c>
      <c r="L1183">
        <v>4.3</v>
      </c>
      <c r="M1183" s="2">
        <v>9331</v>
      </c>
      <c r="N1183" t="s">
        <v>2886</v>
      </c>
      <c r="O1183">
        <f t="shared" si="94"/>
        <v>4</v>
      </c>
      <c r="P1183" s="12" t="e">
        <f>HYPERLINK(#REF!,"Link")</f>
        <v>#REF!</v>
      </c>
      <c r="Q1183" s="12" t="e">
        <f>HYPERLINK(#REF!,"Link")</f>
        <v>#REF!</v>
      </c>
    </row>
    <row r="1184" spans="1:17" x14ac:dyDescent="0.3">
      <c r="A1184" t="s">
        <v>2887</v>
      </c>
      <c r="B1184" t="s">
        <v>2888</v>
      </c>
      <c r="C1184" s="9" t="s">
        <v>3859</v>
      </c>
      <c r="D1184" s="9" t="s">
        <v>3911</v>
      </c>
      <c r="E1184" s="14">
        <v>59900</v>
      </c>
      <c r="F1184" s="3">
        <v>14400</v>
      </c>
      <c r="G1184" s="3">
        <f t="shared" si="91"/>
        <v>179700</v>
      </c>
      <c r="H1184" s="3">
        <f t="shared" si="90"/>
        <v>43200</v>
      </c>
      <c r="I1184" s="14">
        <f t="shared" si="92"/>
        <v>136572</v>
      </c>
      <c r="J1184" s="14">
        <f t="shared" si="93"/>
        <v>-136500</v>
      </c>
      <c r="K1184" s="1">
        <v>0.76</v>
      </c>
      <c r="L1184">
        <v>4.4000000000000004</v>
      </c>
      <c r="M1184" s="2">
        <v>3837</v>
      </c>
      <c r="N1184" t="s">
        <v>2889</v>
      </c>
      <c r="O1184">
        <f t="shared" si="94"/>
        <v>3</v>
      </c>
      <c r="P1184" s="12" t="e">
        <f>HYPERLINK(#REF!,"Link")</f>
        <v>#REF!</v>
      </c>
      <c r="Q1184" s="12" t="e">
        <f>HYPERLINK(#REF!,"Link")</f>
        <v>#REF!</v>
      </c>
    </row>
    <row r="1185" spans="1:17" x14ac:dyDescent="0.3">
      <c r="A1185" t="s">
        <v>2890</v>
      </c>
      <c r="B1185" t="s">
        <v>2891</v>
      </c>
      <c r="C1185" s="10" t="s">
        <v>3920</v>
      </c>
      <c r="D1185" s="10" t="s">
        <v>3921</v>
      </c>
      <c r="E1185" s="14">
        <v>1900</v>
      </c>
      <c r="F1185" s="3">
        <v>1699</v>
      </c>
      <c r="G1185" s="3">
        <f t="shared" si="91"/>
        <v>3800</v>
      </c>
      <c r="H1185" s="3">
        <f t="shared" si="90"/>
        <v>3398</v>
      </c>
      <c r="I1185" s="14">
        <f t="shared" si="92"/>
        <v>418</v>
      </c>
      <c r="J1185" s="14">
        <f t="shared" si="93"/>
        <v>-402</v>
      </c>
      <c r="K1185" s="1">
        <v>0.11</v>
      </c>
      <c r="L1185">
        <v>3.6</v>
      </c>
      <c r="M1185" s="2">
        <v>11456</v>
      </c>
      <c r="N1185" t="s">
        <v>2892</v>
      </c>
      <c r="O1185">
        <f t="shared" si="94"/>
        <v>2</v>
      </c>
      <c r="P1185" s="12" t="e">
        <f>HYPERLINK(#REF!,"Link")</f>
        <v>#REF!</v>
      </c>
      <c r="Q1185" s="12" t="e">
        <f>HYPERLINK(#REF!,"Link")</f>
        <v>#REF!</v>
      </c>
    </row>
    <row r="1186" spans="1:17" x14ac:dyDescent="0.3">
      <c r="A1186" t="s">
        <v>2893</v>
      </c>
      <c r="B1186" t="s">
        <v>2894</v>
      </c>
      <c r="C1186" s="9" t="s">
        <v>3859</v>
      </c>
      <c r="D1186" s="9" t="s">
        <v>3918</v>
      </c>
      <c r="E1186" s="14">
        <v>999</v>
      </c>
      <c r="F1186" s="3">
        <v>649</v>
      </c>
      <c r="G1186" s="3">
        <f t="shared" si="91"/>
        <v>3996</v>
      </c>
      <c r="H1186" s="3">
        <f t="shared" si="90"/>
        <v>2596</v>
      </c>
      <c r="I1186" s="14">
        <f t="shared" si="92"/>
        <v>1398.6</v>
      </c>
      <c r="J1186" s="14">
        <f t="shared" si="93"/>
        <v>-1400</v>
      </c>
      <c r="K1186" s="1">
        <v>0.35</v>
      </c>
      <c r="L1186">
        <v>3.8</v>
      </c>
      <c r="M1186">
        <v>49</v>
      </c>
      <c r="N1186" t="s">
        <v>2895</v>
      </c>
      <c r="O1186">
        <f t="shared" si="94"/>
        <v>4</v>
      </c>
      <c r="P1186" s="12" t="e">
        <f>HYPERLINK(#REF!,"Link")</f>
        <v>#REF!</v>
      </c>
      <c r="Q1186" s="12" t="e">
        <f>HYPERLINK(#REF!,"Link")</f>
        <v>#REF!</v>
      </c>
    </row>
    <row r="1187" spans="1:17" x14ac:dyDescent="0.3">
      <c r="A1187" t="s">
        <v>2896</v>
      </c>
      <c r="B1187" t="s">
        <v>2897</v>
      </c>
      <c r="C1187" s="10" t="s">
        <v>3859</v>
      </c>
      <c r="D1187" s="10" t="s">
        <v>3922</v>
      </c>
      <c r="E1187" s="14">
        <v>6375</v>
      </c>
      <c r="F1187" s="3">
        <v>3249</v>
      </c>
      <c r="G1187" s="3">
        <f t="shared" si="91"/>
        <v>12750</v>
      </c>
      <c r="H1187" s="3">
        <f t="shared" si="90"/>
        <v>6498</v>
      </c>
      <c r="I1187" s="14">
        <f t="shared" si="92"/>
        <v>6247.5</v>
      </c>
      <c r="J1187" s="14">
        <f t="shared" si="93"/>
        <v>-6252</v>
      </c>
      <c r="K1187" s="1">
        <v>0.49</v>
      </c>
      <c r="L1187">
        <v>4</v>
      </c>
      <c r="M1187" s="2">
        <v>4978</v>
      </c>
      <c r="N1187" t="s">
        <v>2898</v>
      </c>
      <c r="O1187">
        <f t="shared" si="94"/>
        <v>2</v>
      </c>
      <c r="P1187" s="12" t="e">
        <f>HYPERLINK(#REF!,"Link")</f>
        <v>#REF!</v>
      </c>
      <c r="Q1187" s="12" t="e">
        <f>HYPERLINK(#REF!,"Link")</f>
        <v>#REF!</v>
      </c>
    </row>
    <row r="1188" spans="1:17" x14ac:dyDescent="0.3">
      <c r="A1188" t="s">
        <v>2899</v>
      </c>
      <c r="B1188" t="s">
        <v>2900</v>
      </c>
      <c r="C1188" s="9" t="s">
        <v>3891</v>
      </c>
      <c r="D1188" s="9" t="s">
        <v>3923</v>
      </c>
      <c r="E1188" s="14">
        <v>499</v>
      </c>
      <c r="F1188" s="3">
        <v>199</v>
      </c>
      <c r="G1188" s="3">
        <f t="shared" si="91"/>
        <v>998</v>
      </c>
      <c r="H1188" s="3">
        <f t="shared" si="90"/>
        <v>398</v>
      </c>
      <c r="I1188" s="14">
        <f t="shared" si="92"/>
        <v>598.79999999999995</v>
      </c>
      <c r="J1188" s="14">
        <f t="shared" si="93"/>
        <v>-600</v>
      </c>
      <c r="K1188" s="1">
        <v>0.6</v>
      </c>
      <c r="L1188">
        <v>4.0999999999999996</v>
      </c>
      <c r="M1188" s="2">
        <v>1996</v>
      </c>
      <c r="N1188" t="s">
        <v>2901</v>
      </c>
      <c r="O1188">
        <f t="shared" si="94"/>
        <v>2</v>
      </c>
      <c r="P1188" s="12" t="e">
        <f>HYPERLINK(#REF!,"Link")</f>
        <v>#REF!</v>
      </c>
      <c r="Q1188" s="12" t="e">
        <f>HYPERLINK(#REF!,"Link")</f>
        <v>#REF!</v>
      </c>
    </row>
    <row r="1189" spans="1:17" x14ac:dyDescent="0.3">
      <c r="A1189" t="s">
        <v>2902</v>
      </c>
      <c r="B1189" t="s">
        <v>2903</v>
      </c>
      <c r="C1189" s="10" t="s">
        <v>3891</v>
      </c>
      <c r="D1189" s="10" t="s">
        <v>3924</v>
      </c>
      <c r="E1189" s="14">
        <v>1899</v>
      </c>
      <c r="F1189" s="3">
        <v>1099</v>
      </c>
      <c r="G1189" s="3">
        <f t="shared" si="91"/>
        <v>3798</v>
      </c>
      <c r="H1189" s="3">
        <f t="shared" si="90"/>
        <v>2198</v>
      </c>
      <c r="I1189" s="14">
        <f t="shared" si="92"/>
        <v>1595.1599999999999</v>
      </c>
      <c r="J1189" s="14">
        <f t="shared" si="93"/>
        <v>-1600</v>
      </c>
      <c r="K1189" s="1">
        <v>0.42</v>
      </c>
      <c r="L1189">
        <v>4.3</v>
      </c>
      <c r="M1189" s="2">
        <v>1811</v>
      </c>
      <c r="N1189" t="s">
        <v>2904</v>
      </c>
      <c r="O1189">
        <f t="shared" si="94"/>
        <v>2</v>
      </c>
      <c r="P1189" s="12" t="e">
        <f>HYPERLINK(#REF!,"Link")</f>
        <v>#REF!</v>
      </c>
      <c r="Q1189" s="12" t="e">
        <f>HYPERLINK(#REF!,"Link")</f>
        <v>#REF!</v>
      </c>
    </row>
    <row r="1190" spans="1:17" x14ac:dyDescent="0.3">
      <c r="A1190" t="s">
        <v>2905</v>
      </c>
      <c r="B1190" t="s">
        <v>2906</v>
      </c>
      <c r="C1190" s="9" t="s">
        <v>3891</v>
      </c>
      <c r="D1190" s="9" t="s">
        <v>3925</v>
      </c>
      <c r="E1190" s="14">
        <v>1490</v>
      </c>
      <c r="F1190" s="3">
        <v>664</v>
      </c>
      <c r="G1190" s="3">
        <f t="shared" si="91"/>
        <v>4470</v>
      </c>
      <c r="H1190" s="3">
        <f t="shared" si="90"/>
        <v>1992</v>
      </c>
      <c r="I1190" s="14">
        <f t="shared" si="92"/>
        <v>2458.5000000000005</v>
      </c>
      <c r="J1190" s="14">
        <f t="shared" si="93"/>
        <v>-2478</v>
      </c>
      <c r="K1190" s="1">
        <v>0.55000000000000004</v>
      </c>
      <c r="L1190">
        <v>4</v>
      </c>
      <c r="M1190" s="2">
        <v>2198</v>
      </c>
      <c r="N1190" t="s">
        <v>2907</v>
      </c>
      <c r="O1190">
        <f t="shared" si="94"/>
        <v>3</v>
      </c>
      <c r="P1190" s="12" t="e">
        <f>HYPERLINK(#REF!,"Link")</f>
        <v>#REF!</v>
      </c>
      <c r="Q1190" s="12" t="e">
        <f>HYPERLINK(#REF!,"Link")</f>
        <v>#REF!</v>
      </c>
    </row>
    <row r="1191" spans="1:17" x14ac:dyDescent="0.3">
      <c r="A1191" t="s">
        <v>2908</v>
      </c>
      <c r="B1191" t="s">
        <v>2909</v>
      </c>
      <c r="C1191" s="10" t="s">
        <v>3859</v>
      </c>
      <c r="D1191" s="10" t="s">
        <v>3926</v>
      </c>
      <c r="E1191" s="14">
        <v>350</v>
      </c>
      <c r="F1191" s="3">
        <v>260</v>
      </c>
      <c r="G1191" s="3">
        <f t="shared" si="91"/>
        <v>700</v>
      </c>
      <c r="H1191" s="3">
        <f t="shared" si="90"/>
        <v>520</v>
      </c>
      <c r="I1191" s="14">
        <f t="shared" si="92"/>
        <v>182</v>
      </c>
      <c r="J1191" s="14">
        <f t="shared" si="93"/>
        <v>-180</v>
      </c>
      <c r="K1191" s="1">
        <v>0.26</v>
      </c>
      <c r="L1191">
        <v>3.9</v>
      </c>
      <c r="M1191" s="2">
        <v>13127</v>
      </c>
      <c r="N1191" t="s">
        <v>2910</v>
      </c>
      <c r="O1191">
        <f t="shared" si="94"/>
        <v>2</v>
      </c>
      <c r="P1191" s="12" t="e">
        <f>HYPERLINK(#REF!,"Link")</f>
        <v>#REF!</v>
      </c>
      <c r="Q1191" s="12" t="e">
        <f>HYPERLINK(#REF!,"Link")</f>
        <v>#REF!</v>
      </c>
    </row>
    <row r="1192" spans="1:17" x14ac:dyDescent="0.3">
      <c r="A1192" t="s">
        <v>2911</v>
      </c>
      <c r="B1192" t="s">
        <v>2912</v>
      </c>
      <c r="C1192" s="9" t="s">
        <v>3927</v>
      </c>
      <c r="D1192" s="9" t="s">
        <v>3928</v>
      </c>
      <c r="E1192" s="14">
        <v>8500</v>
      </c>
      <c r="F1192" s="3">
        <v>6499</v>
      </c>
      <c r="G1192" s="3">
        <f t="shared" si="91"/>
        <v>42500</v>
      </c>
      <c r="H1192" s="3">
        <f t="shared" si="90"/>
        <v>32495</v>
      </c>
      <c r="I1192" s="14">
        <f t="shared" si="92"/>
        <v>10200</v>
      </c>
      <c r="J1192" s="14">
        <f t="shared" si="93"/>
        <v>-10005</v>
      </c>
      <c r="K1192" s="1">
        <v>0.24</v>
      </c>
      <c r="L1192">
        <v>4.4000000000000004</v>
      </c>
      <c r="M1192" s="2">
        <v>5865</v>
      </c>
      <c r="N1192" t="s">
        <v>2913</v>
      </c>
      <c r="O1192">
        <f t="shared" si="94"/>
        <v>5</v>
      </c>
      <c r="P1192" s="12" t="e">
        <f>HYPERLINK(#REF!,"Link")</f>
        <v>#REF!</v>
      </c>
      <c r="Q1192" s="12" t="e">
        <f>HYPERLINK(#REF!,"Link")</f>
        <v>#REF!</v>
      </c>
    </row>
    <row r="1193" spans="1:17" x14ac:dyDescent="0.3">
      <c r="A1193" t="s">
        <v>2914</v>
      </c>
      <c r="B1193" t="s">
        <v>2915</v>
      </c>
      <c r="C1193" s="10" t="s">
        <v>3859</v>
      </c>
      <c r="D1193" s="10" t="s">
        <v>3929</v>
      </c>
      <c r="E1193" s="14">
        <v>2499</v>
      </c>
      <c r="F1193" s="3">
        <v>1484</v>
      </c>
      <c r="G1193" s="3">
        <f t="shared" si="91"/>
        <v>2499</v>
      </c>
      <c r="H1193" s="3">
        <f t="shared" si="90"/>
        <v>1484</v>
      </c>
      <c r="I1193" s="14">
        <f t="shared" si="92"/>
        <v>1024.5899999999999</v>
      </c>
      <c r="J1193" s="14">
        <f t="shared" si="93"/>
        <v>-1015</v>
      </c>
      <c r="K1193" s="1">
        <v>0.41</v>
      </c>
      <c r="L1193">
        <v>3.7</v>
      </c>
      <c r="M1193" s="2">
        <v>1067</v>
      </c>
      <c r="N1193" t="s">
        <v>2916</v>
      </c>
      <c r="O1193">
        <f t="shared" si="94"/>
        <v>1</v>
      </c>
      <c r="P1193" s="12" t="e">
        <f>HYPERLINK(#REF!,"Link")</f>
        <v>#REF!</v>
      </c>
      <c r="Q1193" s="12" t="e">
        <f>HYPERLINK(#REF!,"Link")</f>
        <v>#REF!</v>
      </c>
    </row>
    <row r="1194" spans="1:17" x14ac:dyDescent="0.3">
      <c r="A1194" t="s">
        <v>2917</v>
      </c>
      <c r="B1194" t="s">
        <v>2918</v>
      </c>
      <c r="C1194" s="9" t="s">
        <v>3885</v>
      </c>
      <c r="D1194" s="9" t="s">
        <v>3930</v>
      </c>
      <c r="E1194" s="14">
        <v>1560</v>
      </c>
      <c r="F1194" s="3">
        <v>999</v>
      </c>
      <c r="G1194" s="3">
        <f t="shared" si="91"/>
        <v>3120</v>
      </c>
      <c r="H1194" s="3">
        <f t="shared" si="90"/>
        <v>1998</v>
      </c>
      <c r="I1194" s="14">
        <f t="shared" si="92"/>
        <v>1123.2</v>
      </c>
      <c r="J1194" s="14">
        <f t="shared" si="93"/>
        <v>-1122</v>
      </c>
      <c r="K1194" s="1">
        <v>0.36</v>
      </c>
      <c r="L1194">
        <v>3.6</v>
      </c>
      <c r="M1194" s="2">
        <v>4881</v>
      </c>
      <c r="N1194" t="s">
        <v>2919</v>
      </c>
      <c r="O1194">
        <f t="shared" si="94"/>
        <v>2</v>
      </c>
      <c r="P1194" s="12" t="e">
        <f>HYPERLINK(#REF!,"Link")</f>
        <v>#REF!</v>
      </c>
      <c r="Q1194" s="12" t="e">
        <f>HYPERLINK(#REF!,"Link")</f>
        <v>#REF!</v>
      </c>
    </row>
    <row r="1195" spans="1:17" x14ac:dyDescent="0.3">
      <c r="A1195" t="s">
        <v>2920</v>
      </c>
      <c r="B1195" t="s">
        <v>2921</v>
      </c>
      <c r="C1195" s="10" t="s">
        <v>3864</v>
      </c>
      <c r="D1195" s="10" t="s">
        <v>3880</v>
      </c>
      <c r="E1195" s="14">
        <v>6500</v>
      </c>
      <c r="F1195" s="3">
        <v>3299</v>
      </c>
      <c r="G1195" s="3">
        <f t="shared" si="91"/>
        <v>13000</v>
      </c>
      <c r="H1195" s="3">
        <f t="shared" si="90"/>
        <v>6598</v>
      </c>
      <c r="I1195" s="14">
        <f t="shared" si="92"/>
        <v>6370</v>
      </c>
      <c r="J1195" s="14">
        <f t="shared" si="93"/>
        <v>-6402</v>
      </c>
      <c r="K1195" s="1">
        <v>0.49</v>
      </c>
      <c r="L1195">
        <v>3.7</v>
      </c>
      <c r="M1195" s="2">
        <v>11217</v>
      </c>
      <c r="N1195" t="s">
        <v>2922</v>
      </c>
      <c r="O1195">
        <f t="shared" si="94"/>
        <v>2</v>
      </c>
      <c r="P1195" s="12" t="e">
        <f>HYPERLINK(#REF!,"Link")</f>
        <v>#REF!</v>
      </c>
      <c r="Q1195" s="12" t="e">
        <f>HYPERLINK(#REF!,"Link")</f>
        <v>#REF!</v>
      </c>
    </row>
    <row r="1196" spans="1:17" x14ac:dyDescent="0.3">
      <c r="A1196" t="s">
        <v>2923</v>
      </c>
      <c r="B1196" t="s">
        <v>2924</v>
      </c>
      <c r="C1196" s="10" t="s">
        <v>3725</v>
      </c>
      <c r="D1196" s="10" t="s">
        <v>3726</v>
      </c>
      <c r="E1196" s="14">
        <v>999</v>
      </c>
      <c r="F1196" s="3">
        <v>259</v>
      </c>
      <c r="G1196" s="3">
        <f t="shared" si="91"/>
        <v>7992</v>
      </c>
      <c r="H1196" s="3">
        <f t="shared" si="90"/>
        <v>2072</v>
      </c>
      <c r="I1196" s="14">
        <f t="shared" si="92"/>
        <v>5914.08</v>
      </c>
      <c r="J1196" s="14">
        <f t="shared" si="93"/>
        <v>-5920</v>
      </c>
      <c r="K1196" s="1">
        <v>0.74</v>
      </c>
      <c r="L1196">
        <v>4</v>
      </c>
      <c r="M1196">
        <v>43</v>
      </c>
      <c r="N1196" t="s">
        <v>2925</v>
      </c>
      <c r="O1196">
        <f t="shared" si="94"/>
        <v>8</v>
      </c>
      <c r="P1196" s="12" t="e">
        <f>HYPERLINK(#REF!,"Link")</f>
        <v>#REF!</v>
      </c>
      <c r="Q1196" s="12" t="e">
        <f>HYPERLINK(#REF!,"Link")</f>
        <v>#REF!</v>
      </c>
    </row>
    <row r="1197" spans="1:17" x14ac:dyDescent="0.3">
      <c r="A1197" t="s">
        <v>2926</v>
      </c>
      <c r="B1197" t="s">
        <v>2927</v>
      </c>
      <c r="C1197" s="9" t="s">
        <v>3727</v>
      </c>
      <c r="D1197" s="9" t="s">
        <v>3728</v>
      </c>
      <c r="E1197" s="14">
        <v>7795</v>
      </c>
      <c r="F1197" s="3">
        <v>3249</v>
      </c>
      <c r="G1197" s="3">
        <f t="shared" si="91"/>
        <v>46770</v>
      </c>
      <c r="H1197" s="3">
        <f t="shared" si="90"/>
        <v>19494</v>
      </c>
      <c r="I1197" s="14">
        <f t="shared" si="92"/>
        <v>27126.6</v>
      </c>
      <c r="J1197" s="14">
        <f t="shared" si="93"/>
        <v>-27276</v>
      </c>
      <c r="K1197" s="1">
        <v>0.57999999999999996</v>
      </c>
      <c r="L1197">
        <v>4.2</v>
      </c>
      <c r="M1197" s="2">
        <v>4664</v>
      </c>
      <c r="N1197" t="s">
        <v>2928</v>
      </c>
      <c r="O1197">
        <f t="shared" si="94"/>
        <v>6</v>
      </c>
      <c r="P1197" s="12" t="e">
        <f>HYPERLINK(#REF!,"Link")</f>
        <v>#REF!</v>
      </c>
      <c r="Q1197" s="12" t="e">
        <f>HYPERLINK(#REF!,"Link")</f>
        <v>#REF!</v>
      </c>
    </row>
    <row r="1198" spans="1:17" x14ac:dyDescent="0.3">
      <c r="A1198" t="s">
        <v>2929</v>
      </c>
      <c r="B1198" t="s">
        <v>2930</v>
      </c>
      <c r="C1198" s="10" t="s">
        <v>3729</v>
      </c>
      <c r="D1198" s="10" t="s">
        <v>3726</v>
      </c>
      <c r="E1198" s="14">
        <v>5995</v>
      </c>
      <c r="F1198" s="3">
        <v>4280</v>
      </c>
      <c r="G1198" s="3">
        <f t="shared" si="91"/>
        <v>17985</v>
      </c>
      <c r="H1198" s="3">
        <f t="shared" si="90"/>
        <v>12840</v>
      </c>
      <c r="I1198" s="14">
        <f t="shared" si="92"/>
        <v>5215.6499999999996</v>
      </c>
      <c r="J1198" s="14">
        <f t="shared" si="93"/>
        <v>-5145</v>
      </c>
      <c r="K1198" s="1">
        <v>0.28999999999999998</v>
      </c>
      <c r="L1198">
        <v>3.8</v>
      </c>
      <c r="M1198" s="2">
        <v>2112</v>
      </c>
      <c r="N1198" t="s">
        <v>2931</v>
      </c>
      <c r="O1198">
        <f t="shared" si="94"/>
        <v>3</v>
      </c>
      <c r="P1198" s="12" t="e">
        <f>HYPERLINK(#REF!,"Link")</f>
        <v>#REF!</v>
      </c>
      <c r="Q1198" s="12" t="e">
        <f>HYPERLINK(#REF!,"Link")</f>
        <v>#REF!</v>
      </c>
    </row>
    <row r="1199" spans="1:17" x14ac:dyDescent="0.3">
      <c r="A1199" t="s">
        <v>2932</v>
      </c>
      <c r="B1199" t="s">
        <v>2933</v>
      </c>
      <c r="C1199" s="9" t="s">
        <v>3730</v>
      </c>
      <c r="D1199" s="9" t="s">
        <v>3731</v>
      </c>
      <c r="E1199" s="14">
        <v>299</v>
      </c>
      <c r="F1199" s="3">
        <v>189</v>
      </c>
      <c r="G1199" s="3">
        <f t="shared" si="91"/>
        <v>598</v>
      </c>
      <c r="H1199" s="3">
        <f t="shared" si="90"/>
        <v>378</v>
      </c>
      <c r="I1199" s="14">
        <f t="shared" si="92"/>
        <v>221.26</v>
      </c>
      <c r="J1199" s="14">
        <f t="shared" si="93"/>
        <v>-220</v>
      </c>
      <c r="K1199" s="1">
        <v>0.37</v>
      </c>
      <c r="L1199">
        <v>4.2</v>
      </c>
      <c r="M1199" s="2">
        <v>2737</v>
      </c>
      <c r="N1199" t="s">
        <v>2934</v>
      </c>
      <c r="O1199">
        <f t="shared" si="94"/>
        <v>2</v>
      </c>
      <c r="P1199" s="12" t="e">
        <f>HYPERLINK(#REF!,"Link")</f>
        <v>#REF!</v>
      </c>
      <c r="Q1199" s="12" t="e">
        <f>HYPERLINK(#REF!,"Link")</f>
        <v>#REF!</v>
      </c>
    </row>
    <row r="1200" spans="1:17" x14ac:dyDescent="0.3">
      <c r="A1200" t="s">
        <v>2935</v>
      </c>
      <c r="B1200" t="s">
        <v>2936</v>
      </c>
      <c r="C1200" s="10" t="s">
        <v>3729</v>
      </c>
      <c r="D1200" s="10" t="s">
        <v>3732</v>
      </c>
      <c r="E1200" s="14">
        <v>2349</v>
      </c>
      <c r="F1200" s="3">
        <v>1449</v>
      </c>
      <c r="G1200" s="3">
        <f t="shared" si="91"/>
        <v>7047</v>
      </c>
      <c r="H1200" s="3">
        <f t="shared" si="90"/>
        <v>4347</v>
      </c>
      <c r="I1200" s="14">
        <f t="shared" si="92"/>
        <v>2677.86</v>
      </c>
      <c r="J1200" s="14">
        <f t="shared" si="93"/>
        <v>-2700</v>
      </c>
      <c r="K1200" s="1">
        <v>0.38</v>
      </c>
      <c r="L1200">
        <v>3.9</v>
      </c>
      <c r="M1200" s="2">
        <v>9019</v>
      </c>
      <c r="N1200" t="s">
        <v>2937</v>
      </c>
      <c r="O1200">
        <f t="shared" si="94"/>
        <v>3</v>
      </c>
      <c r="P1200" s="12" t="e">
        <f>HYPERLINK(#REF!,"Link")</f>
        <v>#REF!</v>
      </c>
      <c r="Q1200" s="12" t="e">
        <f>HYPERLINK(#REF!,"Link")</f>
        <v>#REF!</v>
      </c>
    </row>
    <row r="1201" spans="1:17" x14ac:dyDescent="0.3">
      <c r="A1201" t="s">
        <v>2938</v>
      </c>
      <c r="B1201" t="s">
        <v>2939</v>
      </c>
      <c r="C1201" s="9" t="s">
        <v>3730</v>
      </c>
      <c r="D1201" s="9" t="s">
        <v>3733</v>
      </c>
      <c r="E1201" s="14">
        <v>499</v>
      </c>
      <c r="F1201" s="3">
        <v>199</v>
      </c>
      <c r="G1201" s="3">
        <f t="shared" si="91"/>
        <v>499</v>
      </c>
      <c r="H1201" s="3">
        <f t="shared" si="90"/>
        <v>199</v>
      </c>
      <c r="I1201" s="14">
        <f t="shared" si="92"/>
        <v>299.39999999999998</v>
      </c>
      <c r="J1201" s="14">
        <f t="shared" si="93"/>
        <v>-300</v>
      </c>
      <c r="K1201" s="1">
        <v>0.6</v>
      </c>
      <c r="L1201">
        <v>4</v>
      </c>
      <c r="M1201" s="2">
        <v>10234</v>
      </c>
      <c r="N1201" t="s">
        <v>2940</v>
      </c>
      <c r="O1201">
        <f t="shared" si="94"/>
        <v>1</v>
      </c>
      <c r="P1201" s="12" t="e">
        <f>HYPERLINK(#REF!,"Link")</f>
        <v>#REF!</v>
      </c>
      <c r="Q1201" s="12" t="e">
        <f>HYPERLINK(#REF!,"Link")</f>
        <v>#REF!</v>
      </c>
    </row>
    <row r="1202" spans="1:17" x14ac:dyDescent="0.3">
      <c r="A1202" t="s">
        <v>2941</v>
      </c>
      <c r="B1202" t="s">
        <v>2942</v>
      </c>
      <c r="C1202" s="10" t="s">
        <v>3729</v>
      </c>
      <c r="D1202" s="10" t="s">
        <v>3734</v>
      </c>
      <c r="E1202" s="14">
        <v>1299</v>
      </c>
      <c r="F1202" s="3">
        <v>474</v>
      </c>
      <c r="G1202" s="3">
        <f t="shared" si="91"/>
        <v>5196</v>
      </c>
      <c r="H1202" s="3">
        <f t="shared" si="90"/>
        <v>1896</v>
      </c>
      <c r="I1202" s="14">
        <f t="shared" si="92"/>
        <v>3325.44</v>
      </c>
      <c r="J1202" s="14">
        <f t="shared" si="93"/>
        <v>-3300</v>
      </c>
      <c r="K1202" s="1">
        <v>0.64</v>
      </c>
      <c r="L1202">
        <v>4.0999999999999996</v>
      </c>
      <c r="M1202">
        <v>550</v>
      </c>
      <c r="N1202" t="s">
        <v>2943</v>
      </c>
      <c r="O1202">
        <f t="shared" si="94"/>
        <v>4</v>
      </c>
      <c r="P1202" s="12" t="e">
        <f>HYPERLINK(#REF!,"Link")</f>
        <v>#REF!</v>
      </c>
      <c r="Q1202" s="12" t="e">
        <f>HYPERLINK(#REF!,"Link")</f>
        <v>#REF!</v>
      </c>
    </row>
    <row r="1203" spans="1:17" x14ac:dyDescent="0.3">
      <c r="A1203" t="s">
        <v>2944</v>
      </c>
      <c r="B1203" t="s">
        <v>2945</v>
      </c>
      <c r="C1203" s="9" t="s">
        <v>3729</v>
      </c>
      <c r="D1203" s="9" t="s">
        <v>3726</v>
      </c>
      <c r="E1203" s="14">
        <v>499</v>
      </c>
      <c r="F1203" s="3">
        <v>279</v>
      </c>
      <c r="G1203" s="3">
        <f t="shared" si="91"/>
        <v>998</v>
      </c>
      <c r="H1203" s="3">
        <f t="shared" si="90"/>
        <v>558</v>
      </c>
      <c r="I1203" s="14">
        <f t="shared" si="92"/>
        <v>439.12</v>
      </c>
      <c r="J1203" s="14">
        <f t="shared" si="93"/>
        <v>-440</v>
      </c>
      <c r="K1203" s="1">
        <v>0.44</v>
      </c>
      <c r="L1203">
        <v>4.8</v>
      </c>
      <c r="M1203">
        <v>28</v>
      </c>
      <c r="N1203" t="s">
        <v>2946</v>
      </c>
      <c r="O1203">
        <f t="shared" si="94"/>
        <v>2</v>
      </c>
      <c r="P1203" s="12" t="e">
        <f>HYPERLINK(#REF!,"Link")</f>
        <v>#REF!</v>
      </c>
      <c r="Q1203" s="12" t="e">
        <f>HYPERLINK(#REF!,"Link")</f>
        <v>#REF!</v>
      </c>
    </row>
    <row r="1204" spans="1:17" x14ac:dyDescent="0.3">
      <c r="A1204" t="s">
        <v>2947</v>
      </c>
      <c r="B1204" t="s">
        <v>2948</v>
      </c>
      <c r="C1204" s="10" t="s">
        <v>3729</v>
      </c>
      <c r="D1204" s="10" t="s">
        <v>3735</v>
      </c>
      <c r="E1204" s="14">
        <v>4775</v>
      </c>
      <c r="F1204" s="3">
        <v>1999</v>
      </c>
      <c r="G1204" s="3">
        <f t="shared" si="91"/>
        <v>4775</v>
      </c>
      <c r="H1204" s="3">
        <f t="shared" si="90"/>
        <v>1999</v>
      </c>
      <c r="I1204" s="14">
        <f t="shared" si="92"/>
        <v>2769.5</v>
      </c>
      <c r="J1204" s="14">
        <f t="shared" si="93"/>
        <v>-2776</v>
      </c>
      <c r="K1204" s="1">
        <v>0.57999999999999996</v>
      </c>
      <c r="L1204">
        <v>4.2</v>
      </c>
      <c r="M1204" s="2">
        <v>1353</v>
      </c>
      <c r="N1204" t="s">
        <v>2949</v>
      </c>
      <c r="O1204">
        <f t="shared" si="94"/>
        <v>1</v>
      </c>
      <c r="P1204" s="12" t="e">
        <f>HYPERLINK(#REF!,"Link")</f>
        <v>#REF!</v>
      </c>
      <c r="Q1204" s="12" t="e">
        <f>HYPERLINK(#REF!,"Link")</f>
        <v>#REF!</v>
      </c>
    </row>
    <row r="1205" spans="1:17" x14ac:dyDescent="0.3">
      <c r="A1205" t="s">
        <v>2950</v>
      </c>
      <c r="B1205" t="s">
        <v>2951</v>
      </c>
      <c r="C1205" s="9" t="s">
        <v>3729</v>
      </c>
      <c r="D1205" s="9" t="s">
        <v>3726</v>
      </c>
      <c r="E1205" s="14">
        <v>1230</v>
      </c>
      <c r="F1205" s="3">
        <v>799</v>
      </c>
      <c r="G1205" s="3">
        <f t="shared" si="91"/>
        <v>3690</v>
      </c>
      <c r="H1205" s="3">
        <f t="shared" si="90"/>
        <v>2397</v>
      </c>
      <c r="I1205" s="14">
        <f t="shared" si="92"/>
        <v>1291.5</v>
      </c>
      <c r="J1205" s="14">
        <f t="shared" si="93"/>
        <v>-1293</v>
      </c>
      <c r="K1205" s="1">
        <v>0.35</v>
      </c>
      <c r="L1205">
        <v>4.0999999999999996</v>
      </c>
      <c r="M1205" s="2">
        <v>2138</v>
      </c>
      <c r="N1205" t="s">
        <v>2952</v>
      </c>
      <c r="O1205">
        <f t="shared" si="94"/>
        <v>3</v>
      </c>
      <c r="P1205" s="12" t="e">
        <f>HYPERLINK(#REF!,"Link")</f>
        <v>#REF!</v>
      </c>
      <c r="Q1205" s="12" t="e">
        <f>HYPERLINK(#REF!,"Link")</f>
        <v>#REF!</v>
      </c>
    </row>
    <row r="1206" spans="1:17" x14ac:dyDescent="0.3">
      <c r="A1206" t="s">
        <v>2953</v>
      </c>
      <c r="B1206" t="s">
        <v>2954</v>
      </c>
      <c r="C1206" s="10" t="s">
        <v>3737</v>
      </c>
      <c r="D1206" s="10"/>
      <c r="E1206" s="14">
        <v>1999</v>
      </c>
      <c r="F1206" s="3">
        <v>949</v>
      </c>
      <c r="G1206" s="3">
        <f t="shared" si="91"/>
        <v>3998</v>
      </c>
      <c r="H1206" s="3">
        <f t="shared" si="90"/>
        <v>1898</v>
      </c>
      <c r="I1206" s="14">
        <f t="shared" si="92"/>
        <v>2118.94</v>
      </c>
      <c r="J1206" s="14">
        <f t="shared" si="93"/>
        <v>-2100</v>
      </c>
      <c r="K1206" s="1">
        <v>0.53</v>
      </c>
      <c r="L1206">
        <v>4</v>
      </c>
      <c r="M1206" s="2">
        <v>1679</v>
      </c>
      <c r="N1206" t="s">
        <v>2955</v>
      </c>
      <c r="O1206">
        <f t="shared" si="94"/>
        <v>2</v>
      </c>
      <c r="P1206" s="12" t="e">
        <f>HYPERLINK(#REF!,"Link")</f>
        <v>#REF!</v>
      </c>
      <c r="Q1206" s="12" t="e">
        <f>HYPERLINK(#REF!,"Link")</f>
        <v>#REF!</v>
      </c>
    </row>
    <row r="1207" spans="1:17" x14ac:dyDescent="0.3">
      <c r="A1207" t="s">
        <v>2956</v>
      </c>
      <c r="B1207" t="s">
        <v>2957</v>
      </c>
      <c r="C1207" s="9" t="s">
        <v>3729</v>
      </c>
      <c r="D1207" s="9" t="s">
        <v>3738</v>
      </c>
      <c r="E1207" s="14">
        <v>5156</v>
      </c>
      <c r="F1207" s="3">
        <v>3657.66</v>
      </c>
      <c r="G1207" s="3">
        <f t="shared" si="91"/>
        <v>15468</v>
      </c>
      <c r="H1207" s="3">
        <f t="shared" si="90"/>
        <v>10972.98</v>
      </c>
      <c r="I1207" s="14">
        <f t="shared" si="92"/>
        <v>4485.72</v>
      </c>
      <c r="J1207" s="14">
        <f t="shared" si="93"/>
        <v>-4495.0200000000004</v>
      </c>
      <c r="K1207" s="1">
        <v>0.28999999999999998</v>
      </c>
      <c r="L1207">
        <v>3.9</v>
      </c>
      <c r="M1207" s="2">
        <v>12837</v>
      </c>
      <c r="N1207" t="s">
        <v>2958</v>
      </c>
      <c r="O1207">
        <f t="shared" si="94"/>
        <v>3</v>
      </c>
      <c r="P1207" s="12" t="e">
        <f>HYPERLINK(#REF!,"Link")</f>
        <v>#REF!</v>
      </c>
      <c r="Q1207" s="12" t="e">
        <f>HYPERLINK(#REF!,"Link")</f>
        <v>#REF!</v>
      </c>
    </row>
    <row r="1208" spans="1:17" x14ac:dyDescent="0.3">
      <c r="A1208" t="s">
        <v>2959</v>
      </c>
      <c r="B1208" t="s">
        <v>2960</v>
      </c>
      <c r="C1208" s="10" t="s">
        <v>3739</v>
      </c>
      <c r="D1208" s="10" t="s">
        <v>3740</v>
      </c>
      <c r="E1208" s="14">
        <v>1999</v>
      </c>
      <c r="F1208" s="3">
        <v>1699</v>
      </c>
      <c r="G1208" s="3">
        <f t="shared" si="91"/>
        <v>3998</v>
      </c>
      <c r="H1208" s="3">
        <f t="shared" si="90"/>
        <v>3398</v>
      </c>
      <c r="I1208" s="14">
        <f t="shared" si="92"/>
        <v>599.69999999999993</v>
      </c>
      <c r="J1208" s="14">
        <f t="shared" si="93"/>
        <v>-600</v>
      </c>
      <c r="K1208" s="1">
        <v>0.15</v>
      </c>
      <c r="L1208">
        <v>4.0999999999999996</v>
      </c>
      <c r="M1208" s="2">
        <v>8873</v>
      </c>
      <c r="N1208" t="s">
        <v>2961</v>
      </c>
      <c r="O1208">
        <f t="shared" si="94"/>
        <v>2</v>
      </c>
      <c r="P1208" s="12" t="e">
        <f>HYPERLINK(#REF!,"Link")</f>
        <v>#REF!</v>
      </c>
      <c r="Q1208" s="12" t="e">
        <f>HYPERLINK(#REF!,"Link")</f>
        <v>#REF!</v>
      </c>
    </row>
    <row r="1209" spans="1:17" x14ac:dyDescent="0.3">
      <c r="A1209" t="s">
        <v>2962</v>
      </c>
      <c r="B1209" t="s">
        <v>2963</v>
      </c>
      <c r="C1209" s="9" t="s">
        <v>3725</v>
      </c>
      <c r="D1209" s="9" t="s">
        <v>3726</v>
      </c>
      <c r="E1209" s="14">
        <v>2095</v>
      </c>
      <c r="F1209" s="3">
        <v>1849</v>
      </c>
      <c r="G1209" s="3">
        <f t="shared" si="91"/>
        <v>8380</v>
      </c>
      <c r="H1209" s="3">
        <f t="shared" si="90"/>
        <v>7396</v>
      </c>
      <c r="I1209" s="14">
        <f t="shared" si="92"/>
        <v>1005.5999999999999</v>
      </c>
      <c r="J1209" s="14">
        <f t="shared" si="93"/>
        <v>-984</v>
      </c>
      <c r="K1209" s="1">
        <v>0.12</v>
      </c>
      <c r="L1209">
        <v>4.3</v>
      </c>
      <c r="M1209" s="2">
        <v>7681</v>
      </c>
      <c r="N1209" t="s">
        <v>2964</v>
      </c>
      <c r="O1209">
        <f t="shared" si="94"/>
        <v>4</v>
      </c>
      <c r="P1209" s="12" t="e">
        <f>HYPERLINK(#REF!,"Link")</f>
        <v>#REF!</v>
      </c>
      <c r="Q1209" s="12" t="e">
        <f>HYPERLINK(#REF!,"Link")</f>
        <v>#REF!</v>
      </c>
    </row>
    <row r="1210" spans="1:17" x14ac:dyDescent="0.3">
      <c r="A1210" t="s">
        <v>2965</v>
      </c>
      <c r="B1210" t="s">
        <v>2966</v>
      </c>
      <c r="C1210" s="10" t="s">
        <v>3729</v>
      </c>
      <c r="D1210" s="10" t="s">
        <v>3726</v>
      </c>
      <c r="E1210" s="14">
        <v>19825</v>
      </c>
      <c r="F1210" s="3">
        <v>12499</v>
      </c>
      <c r="G1210" s="3">
        <f t="shared" si="91"/>
        <v>59475</v>
      </c>
      <c r="H1210" s="3">
        <f t="shared" si="90"/>
        <v>37497</v>
      </c>
      <c r="I1210" s="14">
        <f t="shared" si="92"/>
        <v>22005.75</v>
      </c>
      <c r="J1210" s="14">
        <f t="shared" si="93"/>
        <v>-21978</v>
      </c>
      <c r="K1210" s="1">
        <v>0.37</v>
      </c>
      <c r="L1210">
        <v>4.0999999999999996</v>
      </c>
      <c r="M1210">
        <v>322</v>
      </c>
      <c r="N1210" t="s">
        <v>2967</v>
      </c>
      <c r="O1210">
        <f t="shared" si="94"/>
        <v>3</v>
      </c>
      <c r="P1210" s="12" t="e">
        <f>HYPERLINK(#REF!,"Link")</f>
        <v>#REF!</v>
      </c>
      <c r="Q1210" s="12" t="e">
        <f>HYPERLINK(#REF!,"Link")</f>
        <v>#REF!</v>
      </c>
    </row>
    <row r="1211" spans="1:17" x14ac:dyDescent="0.3">
      <c r="A1211" t="s">
        <v>2968</v>
      </c>
      <c r="B1211" t="s">
        <v>2969</v>
      </c>
      <c r="C1211" s="9" t="s">
        <v>3741</v>
      </c>
      <c r="D1211" s="9" t="s">
        <v>3742</v>
      </c>
      <c r="E1211" s="14">
        <v>1920</v>
      </c>
      <c r="F1211" s="3">
        <v>1099</v>
      </c>
      <c r="G1211" s="3">
        <f t="shared" si="91"/>
        <v>7680</v>
      </c>
      <c r="H1211" s="3">
        <f t="shared" si="90"/>
        <v>4396</v>
      </c>
      <c r="I1211" s="14">
        <f t="shared" si="92"/>
        <v>3302.4</v>
      </c>
      <c r="J1211" s="14">
        <f t="shared" si="93"/>
        <v>-3284</v>
      </c>
      <c r="K1211" s="1">
        <v>0.43</v>
      </c>
      <c r="L1211">
        <v>4.2</v>
      </c>
      <c r="M1211" s="2">
        <v>9772</v>
      </c>
      <c r="N1211" t="s">
        <v>2970</v>
      </c>
      <c r="O1211">
        <f t="shared" si="94"/>
        <v>4</v>
      </c>
      <c r="P1211" s="12" t="e">
        <f>HYPERLINK(#REF!,"Link")</f>
        <v>#REF!</v>
      </c>
      <c r="Q1211" s="12" t="e">
        <f>HYPERLINK(#REF!,"Link")</f>
        <v>#REF!</v>
      </c>
    </row>
    <row r="1212" spans="1:17" x14ac:dyDescent="0.3">
      <c r="A1212" t="s">
        <v>2971</v>
      </c>
      <c r="B1212" t="s">
        <v>2972</v>
      </c>
      <c r="C1212" s="10" t="s">
        <v>3743</v>
      </c>
      <c r="D1212" s="10"/>
      <c r="E1212" s="14">
        <v>16000</v>
      </c>
      <c r="F1212" s="3">
        <v>8199</v>
      </c>
      <c r="G1212" s="3">
        <f t="shared" si="91"/>
        <v>80000</v>
      </c>
      <c r="H1212" s="3">
        <f t="shared" si="90"/>
        <v>40995</v>
      </c>
      <c r="I1212" s="14">
        <f t="shared" si="92"/>
        <v>39200</v>
      </c>
      <c r="J1212" s="14">
        <f t="shared" si="93"/>
        <v>-39005</v>
      </c>
      <c r="K1212" s="1">
        <v>0.49</v>
      </c>
      <c r="L1212">
        <v>3.9</v>
      </c>
      <c r="M1212" s="2">
        <v>18497</v>
      </c>
      <c r="N1212" t="s">
        <v>2973</v>
      </c>
      <c r="O1212">
        <f t="shared" si="94"/>
        <v>5</v>
      </c>
      <c r="P1212" s="12" t="e">
        <f>HYPERLINK(#REF!,"Link")</f>
        <v>#REF!</v>
      </c>
      <c r="Q1212" s="12" t="e">
        <f>HYPERLINK(#REF!,"Link")</f>
        <v>#REF!</v>
      </c>
    </row>
    <row r="1213" spans="1:17" x14ac:dyDescent="0.3">
      <c r="A1213" t="s">
        <v>2974</v>
      </c>
      <c r="B1213" t="s">
        <v>2975</v>
      </c>
      <c r="C1213" s="9" t="s">
        <v>3744</v>
      </c>
      <c r="D1213" s="9" t="s">
        <v>3745</v>
      </c>
      <c r="E1213" s="14">
        <v>2199</v>
      </c>
      <c r="F1213" s="3">
        <v>499</v>
      </c>
      <c r="G1213" s="3">
        <f t="shared" si="91"/>
        <v>6597</v>
      </c>
      <c r="H1213" s="3">
        <f t="shared" si="90"/>
        <v>1497</v>
      </c>
      <c r="I1213" s="14">
        <f t="shared" si="92"/>
        <v>5079.6900000000005</v>
      </c>
      <c r="J1213" s="14">
        <f t="shared" si="93"/>
        <v>-5100</v>
      </c>
      <c r="K1213" s="1">
        <v>0.77</v>
      </c>
      <c r="L1213">
        <v>3.7</v>
      </c>
      <c r="M1213">
        <v>53</v>
      </c>
      <c r="N1213" t="s">
        <v>2976</v>
      </c>
      <c r="O1213">
        <f t="shared" si="94"/>
        <v>3</v>
      </c>
      <c r="P1213" s="12" t="e">
        <f>HYPERLINK(#REF!,"Link")</f>
        <v>#REF!</v>
      </c>
      <c r="Q1213" s="12" t="e">
        <f>HYPERLINK(#REF!,"Link")</f>
        <v>#REF!</v>
      </c>
    </row>
    <row r="1214" spans="1:17" x14ac:dyDescent="0.3">
      <c r="A1214" t="s">
        <v>2977</v>
      </c>
      <c r="B1214" t="s">
        <v>2978</v>
      </c>
      <c r="C1214" s="10" t="s">
        <v>3729</v>
      </c>
      <c r="D1214" s="10" t="s">
        <v>3746</v>
      </c>
      <c r="E1214" s="14">
        <v>14999</v>
      </c>
      <c r="F1214" s="3">
        <v>6999</v>
      </c>
      <c r="G1214" s="3">
        <f t="shared" si="91"/>
        <v>44997</v>
      </c>
      <c r="H1214" s="3">
        <f t="shared" si="90"/>
        <v>20997</v>
      </c>
      <c r="I1214" s="14">
        <f t="shared" si="92"/>
        <v>23848.41</v>
      </c>
      <c r="J1214" s="14">
        <f t="shared" si="93"/>
        <v>-24000</v>
      </c>
      <c r="K1214" s="1">
        <v>0.53</v>
      </c>
      <c r="L1214">
        <v>4.0999999999999996</v>
      </c>
      <c r="M1214" s="2">
        <v>1728</v>
      </c>
      <c r="N1214" t="s">
        <v>2979</v>
      </c>
      <c r="O1214">
        <f t="shared" si="94"/>
        <v>3</v>
      </c>
      <c r="P1214" s="12" t="e">
        <f>HYPERLINK(#REF!,"Link")</f>
        <v>#REF!</v>
      </c>
      <c r="Q1214" s="12" t="e">
        <f>HYPERLINK(#REF!,"Link")</f>
        <v>#REF!</v>
      </c>
    </row>
    <row r="1215" spans="1:17" x14ac:dyDescent="0.3">
      <c r="A1215" t="s">
        <v>2980</v>
      </c>
      <c r="B1215" t="s">
        <v>2981</v>
      </c>
      <c r="C1215" s="9" t="s">
        <v>3747</v>
      </c>
      <c r="D1215" s="9"/>
      <c r="E1215" s="14">
        <v>1799</v>
      </c>
      <c r="F1215" s="3">
        <v>1595</v>
      </c>
      <c r="G1215" s="3">
        <f t="shared" si="91"/>
        <v>5397</v>
      </c>
      <c r="H1215" s="3">
        <f t="shared" si="90"/>
        <v>4785</v>
      </c>
      <c r="I1215" s="14">
        <f t="shared" si="92"/>
        <v>593.67000000000007</v>
      </c>
      <c r="J1215" s="14">
        <f t="shared" si="93"/>
        <v>-612</v>
      </c>
      <c r="K1215" s="1">
        <v>0.11</v>
      </c>
      <c r="L1215">
        <v>4</v>
      </c>
      <c r="M1215" s="2">
        <v>2877</v>
      </c>
      <c r="N1215" t="s">
        <v>2982</v>
      </c>
      <c r="O1215">
        <f t="shared" si="94"/>
        <v>3</v>
      </c>
      <c r="P1215" s="12" t="e">
        <f>HYPERLINK(#REF!,"Link")</f>
        <v>#REF!</v>
      </c>
      <c r="Q1215" s="12" t="e">
        <f>HYPERLINK(#REF!,"Link")</f>
        <v>#REF!</v>
      </c>
    </row>
    <row r="1216" spans="1:17" x14ac:dyDescent="0.3">
      <c r="A1216" t="s">
        <v>2983</v>
      </c>
      <c r="B1216" t="s">
        <v>2984</v>
      </c>
      <c r="C1216" s="10" t="s">
        <v>3748</v>
      </c>
      <c r="D1216" s="10" t="s">
        <v>3749</v>
      </c>
      <c r="E1216" s="14">
        <v>1950</v>
      </c>
      <c r="F1216" s="3">
        <v>1049</v>
      </c>
      <c r="G1216" s="3">
        <f t="shared" si="91"/>
        <v>7800</v>
      </c>
      <c r="H1216" s="3">
        <f t="shared" si="90"/>
        <v>4196</v>
      </c>
      <c r="I1216" s="14">
        <f t="shared" si="92"/>
        <v>3588</v>
      </c>
      <c r="J1216" s="14">
        <f t="shared" si="93"/>
        <v>-3604</v>
      </c>
      <c r="K1216" s="1">
        <v>0.46</v>
      </c>
      <c r="L1216">
        <v>3.8</v>
      </c>
      <c r="M1216">
        <v>250</v>
      </c>
      <c r="N1216" t="s">
        <v>2985</v>
      </c>
      <c r="O1216">
        <f t="shared" si="94"/>
        <v>4</v>
      </c>
      <c r="P1216" s="12" t="e">
        <f>HYPERLINK(#REF!,"Link")</f>
        <v>#REF!</v>
      </c>
      <c r="Q1216" s="12" t="e">
        <f>HYPERLINK(#REF!,"Link")</f>
        <v>#REF!</v>
      </c>
    </row>
    <row r="1217" spans="1:17" x14ac:dyDescent="0.3">
      <c r="A1217" t="s">
        <v>2986</v>
      </c>
      <c r="B1217" t="s">
        <v>2987</v>
      </c>
      <c r="C1217" s="9" t="s">
        <v>3750</v>
      </c>
      <c r="D1217" s="9" t="s">
        <v>3751</v>
      </c>
      <c r="E1217" s="14">
        <v>2995</v>
      </c>
      <c r="F1217" s="3">
        <v>1182</v>
      </c>
      <c r="G1217" s="3">
        <f t="shared" si="91"/>
        <v>11980</v>
      </c>
      <c r="H1217" s="3">
        <f t="shared" si="90"/>
        <v>4728</v>
      </c>
      <c r="I1217" s="14">
        <f t="shared" si="92"/>
        <v>7307.8</v>
      </c>
      <c r="J1217" s="14">
        <f t="shared" si="93"/>
        <v>-7252</v>
      </c>
      <c r="K1217" s="1">
        <v>0.61</v>
      </c>
      <c r="L1217">
        <v>4.2</v>
      </c>
      <c r="M1217" s="2">
        <v>5178</v>
      </c>
      <c r="N1217" t="s">
        <v>2988</v>
      </c>
      <c r="O1217">
        <f t="shared" si="94"/>
        <v>4</v>
      </c>
      <c r="P1217" s="12" t="e">
        <f>HYPERLINK(#REF!,"Link")</f>
        <v>#REF!</v>
      </c>
      <c r="Q1217" s="12" t="e">
        <f>HYPERLINK(#REF!,"Link")</f>
        <v>#REF!</v>
      </c>
    </row>
    <row r="1218" spans="1:17" x14ac:dyDescent="0.3">
      <c r="A1218" t="s">
        <v>2989</v>
      </c>
      <c r="B1218" t="s">
        <v>2990</v>
      </c>
      <c r="C1218" s="10" t="s">
        <v>3752</v>
      </c>
      <c r="D1218" s="10" t="s">
        <v>3753</v>
      </c>
      <c r="E1218" s="14">
        <v>999</v>
      </c>
      <c r="F1218" s="3">
        <v>499</v>
      </c>
      <c r="G1218" s="3">
        <f t="shared" si="91"/>
        <v>1998</v>
      </c>
      <c r="H1218" s="3">
        <f t="shared" ref="H1218:H1281" si="95">F1218*O1218</f>
        <v>998</v>
      </c>
      <c r="I1218" s="14">
        <f t="shared" si="92"/>
        <v>999</v>
      </c>
      <c r="J1218" s="14">
        <f t="shared" si="93"/>
        <v>-1000</v>
      </c>
      <c r="K1218" s="1">
        <v>0.5</v>
      </c>
      <c r="L1218">
        <v>4.5999999999999996</v>
      </c>
      <c r="M1218">
        <v>79</v>
      </c>
      <c r="N1218" t="s">
        <v>2991</v>
      </c>
      <c r="O1218">
        <f t="shared" si="94"/>
        <v>2</v>
      </c>
      <c r="P1218" s="12" t="e">
        <f>HYPERLINK(#REF!,"Link")</f>
        <v>#REF!</v>
      </c>
      <c r="Q1218" s="12" t="e">
        <f>HYPERLINK(#REF!,"Link")</f>
        <v>#REF!</v>
      </c>
    </row>
    <row r="1219" spans="1:17" x14ac:dyDescent="0.3">
      <c r="A1219" t="s">
        <v>2992</v>
      </c>
      <c r="B1219" t="s">
        <v>2993</v>
      </c>
      <c r="C1219" s="9" t="s">
        <v>3750</v>
      </c>
      <c r="D1219" s="9" t="s">
        <v>3754</v>
      </c>
      <c r="E1219" s="14">
        <v>11995</v>
      </c>
      <c r="F1219" s="3">
        <v>8799</v>
      </c>
      <c r="G1219" s="3">
        <f t="shared" ref="G1219:G1282" si="96">E1219*O1219</f>
        <v>23990</v>
      </c>
      <c r="H1219" s="3">
        <f t="shared" si="95"/>
        <v>17598</v>
      </c>
      <c r="I1219" s="14">
        <f t="shared" ref="I1219:I1282" si="97">(E1219*K1219)*O1219</f>
        <v>6477.3</v>
      </c>
      <c r="J1219" s="14">
        <f t="shared" ref="J1219:J1282" si="98">H1219-G1219</f>
        <v>-6392</v>
      </c>
      <c r="K1219" s="1">
        <v>0.27</v>
      </c>
      <c r="L1219">
        <v>4.0999999999999996</v>
      </c>
      <c r="M1219" s="2">
        <v>4157</v>
      </c>
      <c r="N1219" t="s">
        <v>2994</v>
      </c>
      <c r="O1219">
        <f t="shared" ref="O1219:O1282" si="99">LEN(N1219)-LEN(SUBSTITUTE(N1219,",",""))+1</f>
        <v>2</v>
      </c>
      <c r="P1219" s="12" t="e">
        <f>HYPERLINK(#REF!,"Link")</f>
        <v>#REF!</v>
      </c>
      <c r="Q1219" s="12" t="e">
        <f>HYPERLINK(#REF!,"Link")</f>
        <v>#REF!</v>
      </c>
    </row>
    <row r="1220" spans="1:17" x14ac:dyDescent="0.3">
      <c r="A1220" t="s">
        <v>2995</v>
      </c>
      <c r="B1220" t="s">
        <v>2996</v>
      </c>
      <c r="C1220" s="10" t="s">
        <v>3755</v>
      </c>
      <c r="D1220" s="10" t="s">
        <v>3756</v>
      </c>
      <c r="E1220" s="14">
        <v>2999</v>
      </c>
      <c r="F1220" s="3">
        <v>1529</v>
      </c>
      <c r="G1220" s="3">
        <f t="shared" si="96"/>
        <v>5998</v>
      </c>
      <c r="H1220" s="3">
        <f t="shared" si="95"/>
        <v>3058</v>
      </c>
      <c r="I1220" s="14">
        <f t="shared" si="97"/>
        <v>2939.02</v>
      </c>
      <c r="J1220" s="14">
        <f t="shared" si="98"/>
        <v>-2940</v>
      </c>
      <c r="K1220" s="1">
        <v>0.49</v>
      </c>
      <c r="L1220">
        <v>3.3</v>
      </c>
      <c r="M1220">
        <v>29</v>
      </c>
      <c r="N1220" t="s">
        <v>2997</v>
      </c>
      <c r="O1220">
        <f t="shared" si="99"/>
        <v>2</v>
      </c>
      <c r="P1220" s="12" t="e">
        <f>HYPERLINK(#REF!,"Link")</f>
        <v>#REF!</v>
      </c>
      <c r="Q1220" s="12" t="e">
        <f>HYPERLINK(#REF!,"Link")</f>
        <v>#REF!</v>
      </c>
    </row>
    <row r="1221" spans="1:17" x14ac:dyDescent="0.3">
      <c r="A1221" t="s">
        <v>2998</v>
      </c>
      <c r="B1221" t="s">
        <v>2999</v>
      </c>
      <c r="C1221" s="9" t="s">
        <v>3748</v>
      </c>
      <c r="D1221" s="9" t="s">
        <v>3749</v>
      </c>
      <c r="E1221" s="14">
        <v>1690</v>
      </c>
      <c r="F1221" s="3">
        <v>1199</v>
      </c>
      <c r="G1221" s="3">
        <f t="shared" si="96"/>
        <v>6760</v>
      </c>
      <c r="H1221" s="3">
        <f t="shared" si="95"/>
        <v>4796</v>
      </c>
      <c r="I1221" s="14">
        <f t="shared" si="97"/>
        <v>1960.3999999999999</v>
      </c>
      <c r="J1221" s="14">
        <f t="shared" si="98"/>
        <v>-1964</v>
      </c>
      <c r="K1221" s="1">
        <v>0.28999999999999998</v>
      </c>
      <c r="L1221">
        <v>4.2</v>
      </c>
      <c r="M1221" s="2">
        <v>4580</v>
      </c>
      <c r="N1221" t="s">
        <v>3000</v>
      </c>
      <c r="O1221">
        <f t="shared" si="99"/>
        <v>4</v>
      </c>
      <c r="P1221" s="12" t="e">
        <f>HYPERLINK(#REF!,"Link")</f>
        <v>#REF!</v>
      </c>
      <c r="Q1221" s="12" t="e">
        <f>HYPERLINK(#REF!,"Link")</f>
        <v>#REF!</v>
      </c>
    </row>
    <row r="1222" spans="1:17" x14ac:dyDescent="0.3">
      <c r="A1222" t="s">
        <v>3001</v>
      </c>
      <c r="B1222" t="s">
        <v>3002</v>
      </c>
      <c r="C1222" s="10" t="s">
        <v>3748</v>
      </c>
      <c r="D1222" s="10" t="s">
        <v>3757</v>
      </c>
      <c r="E1222" s="14">
        <v>1790</v>
      </c>
      <c r="F1222" s="3">
        <v>1052</v>
      </c>
      <c r="G1222" s="3">
        <f t="shared" si="96"/>
        <v>3580</v>
      </c>
      <c r="H1222" s="3">
        <f t="shared" si="95"/>
        <v>2104</v>
      </c>
      <c r="I1222" s="14">
        <f t="shared" si="97"/>
        <v>1467.8</v>
      </c>
      <c r="J1222" s="14">
        <f t="shared" si="98"/>
        <v>-1476</v>
      </c>
      <c r="K1222" s="1">
        <v>0.41</v>
      </c>
      <c r="L1222">
        <v>4.3</v>
      </c>
      <c r="M1222" s="2">
        <v>1404</v>
      </c>
      <c r="N1222" t="s">
        <v>3003</v>
      </c>
      <c r="O1222">
        <f t="shared" si="99"/>
        <v>2</v>
      </c>
      <c r="P1222" s="12" t="e">
        <f>HYPERLINK(#REF!,"Link")</f>
        <v>#REF!</v>
      </c>
      <c r="Q1222" s="12" t="e">
        <f>HYPERLINK(#REF!,"Link")</f>
        <v>#REF!</v>
      </c>
    </row>
    <row r="1223" spans="1:17" x14ac:dyDescent="0.3">
      <c r="A1223" t="s">
        <v>3004</v>
      </c>
      <c r="B1223" t="s">
        <v>3005</v>
      </c>
      <c r="C1223" s="9" t="s">
        <v>3748</v>
      </c>
      <c r="D1223" s="9" t="s">
        <v>3749</v>
      </c>
      <c r="E1223" s="14">
        <v>8995</v>
      </c>
      <c r="F1223" s="3">
        <v>6499</v>
      </c>
      <c r="G1223" s="3">
        <f t="shared" si="96"/>
        <v>35980</v>
      </c>
      <c r="H1223" s="3">
        <f t="shared" si="95"/>
        <v>25996</v>
      </c>
      <c r="I1223" s="14">
        <f t="shared" si="97"/>
        <v>10074.400000000001</v>
      </c>
      <c r="J1223" s="14">
        <f t="shared" si="98"/>
        <v>-9984</v>
      </c>
      <c r="K1223" s="1">
        <v>0.28000000000000003</v>
      </c>
      <c r="L1223">
        <v>4.3</v>
      </c>
      <c r="M1223" s="2">
        <v>2810</v>
      </c>
      <c r="N1223" t="s">
        <v>3006</v>
      </c>
      <c r="O1223">
        <f t="shared" si="99"/>
        <v>4</v>
      </c>
      <c r="P1223" s="12" t="e">
        <f>HYPERLINK(#REF!,"Link")</f>
        <v>#REF!</v>
      </c>
      <c r="Q1223" s="12" t="e">
        <f>HYPERLINK(#REF!,"Link")</f>
        <v>#REF!</v>
      </c>
    </row>
    <row r="1224" spans="1:17" x14ac:dyDescent="0.3">
      <c r="A1224" t="s">
        <v>3007</v>
      </c>
      <c r="B1224" t="s">
        <v>3008</v>
      </c>
      <c r="C1224" s="10" t="s">
        <v>3748</v>
      </c>
      <c r="D1224" s="10" t="s">
        <v>3758</v>
      </c>
      <c r="E1224" s="14">
        <v>239</v>
      </c>
      <c r="F1224" s="3">
        <v>239</v>
      </c>
      <c r="G1224" s="3">
        <f t="shared" si="96"/>
        <v>717</v>
      </c>
      <c r="H1224" s="3">
        <f t="shared" si="95"/>
        <v>717</v>
      </c>
      <c r="I1224" s="14">
        <f t="shared" si="97"/>
        <v>0</v>
      </c>
      <c r="J1224" s="14">
        <f t="shared" si="98"/>
        <v>0</v>
      </c>
      <c r="K1224" s="1">
        <v>0</v>
      </c>
      <c r="L1224">
        <v>4.3</v>
      </c>
      <c r="M1224">
        <v>7</v>
      </c>
      <c r="N1224" t="s">
        <v>3009</v>
      </c>
      <c r="O1224">
        <f t="shared" si="99"/>
        <v>3</v>
      </c>
      <c r="P1224" s="12" t="e">
        <f>HYPERLINK(#REF!,"Link")</f>
        <v>#REF!</v>
      </c>
      <c r="Q1224" s="12" t="e">
        <f>HYPERLINK(#REF!,"Link")</f>
        <v>#REF!</v>
      </c>
    </row>
    <row r="1225" spans="1:17" x14ac:dyDescent="0.3">
      <c r="A1225" t="s">
        <v>3010</v>
      </c>
      <c r="B1225" t="s">
        <v>3011</v>
      </c>
      <c r="C1225" s="9" t="s">
        <v>3748</v>
      </c>
      <c r="D1225" s="9" t="s">
        <v>3759</v>
      </c>
      <c r="E1225" s="14">
        <v>1599</v>
      </c>
      <c r="F1225" s="3">
        <v>699</v>
      </c>
      <c r="G1225" s="3">
        <f t="shared" si="96"/>
        <v>6396</v>
      </c>
      <c r="H1225" s="3">
        <f t="shared" si="95"/>
        <v>2796</v>
      </c>
      <c r="I1225" s="14">
        <f t="shared" si="97"/>
        <v>3581.76</v>
      </c>
      <c r="J1225" s="14">
        <f t="shared" si="98"/>
        <v>-3600</v>
      </c>
      <c r="K1225" s="1">
        <v>0.56000000000000005</v>
      </c>
      <c r="L1225">
        <v>4.7</v>
      </c>
      <c r="M1225" s="2">
        <v>1729</v>
      </c>
      <c r="N1225" t="s">
        <v>3012</v>
      </c>
      <c r="O1225">
        <f t="shared" si="99"/>
        <v>4</v>
      </c>
      <c r="P1225" s="12" t="e">
        <f>HYPERLINK(#REF!,"Link")</f>
        <v>#REF!</v>
      </c>
      <c r="Q1225" s="12" t="e">
        <f>HYPERLINK(#REF!,"Link")</f>
        <v>#REF!</v>
      </c>
    </row>
    <row r="1226" spans="1:17" x14ac:dyDescent="0.3">
      <c r="A1226" t="s">
        <v>3013</v>
      </c>
      <c r="B1226" t="s">
        <v>3014</v>
      </c>
      <c r="C1226" s="10" t="s">
        <v>3748</v>
      </c>
      <c r="D1226" s="10" t="s">
        <v>3759</v>
      </c>
      <c r="E1226" s="14">
        <v>4290</v>
      </c>
      <c r="F1226" s="3">
        <v>2599</v>
      </c>
      <c r="G1226" s="3">
        <f t="shared" si="96"/>
        <v>8580</v>
      </c>
      <c r="H1226" s="3">
        <f t="shared" si="95"/>
        <v>5198</v>
      </c>
      <c r="I1226" s="14">
        <f t="shared" si="97"/>
        <v>3346.2000000000003</v>
      </c>
      <c r="J1226" s="14">
        <f t="shared" si="98"/>
        <v>-3382</v>
      </c>
      <c r="K1226" s="1">
        <v>0.39</v>
      </c>
      <c r="L1226">
        <v>4.4000000000000004</v>
      </c>
      <c r="M1226" s="2">
        <v>2116</v>
      </c>
      <c r="N1226" t="s">
        <v>3015</v>
      </c>
      <c r="O1226">
        <f t="shared" si="99"/>
        <v>2</v>
      </c>
      <c r="P1226" s="12" t="e">
        <f>HYPERLINK(#REF!,"Link")</f>
        <v>#REF!</v>
      </c>
      <c r="Q1226" s="12" t="e">
        <f>HYPERLINK(#REF!,"Link")</f>
        <v>#REF!</v>
      </c>
    </row>
    <row r="1227" spans="1:17" x14ac:dyDescent="0.3">
      <c r="A1227" t="s">
        <v>3016</v>
      </c>
      <c r="B1227" t="s">
        <v>3017</v>
      </c>
      <c r="C1227" s="9" t="s">
        <v>3748</v>
      </c>
      <c r="D1227" s="9" t="s">
        <v>3760</v>
      </c>
      <c r="E1227" s="14">
        <v>2890</v>
      </c>
      <c r="F1227" s="3">
        <v>1547</v>
      </c>
      <c r="G1227" s="3">
        <f t="shared" si="96"/>
        <v>2890</v>
      </c>
      <c r="H1227" s="3">
        <f t="shared" si="95"/>
        <v>1547</v>
      </c>
      <c r="I1227" s="14">
        <f t="shared" si="97"/>
        <v>1329.4</v>
      </c>
      <c r="J1227" s="14">
        <f t="shared" si="98"/>
        <v>-1343</v>
      </c>
      <c r="K1227" s="1">
        <v>0.46</v>
      </c>
      <c r="L1227">
        <v>3.9</v>
      </c>
      <c r="M1227">
        <v>463</v>
      </c>
      <c r="N1227" t="s">
        <v>3018</v>
      </c>
      <c r="O1227">
        <f t="shared" si="99"/>
        <v>1</v>
      </c>
      <c r="P1227" s="12" t="e">
        <f>HYPERLINK(#REF!,"Link")</f>
        <v>#REF!</v>
      </c>
      <c r="Q1227" s="12" t="e">
        <f>HYPERLINK(#REF!,"Link")</f>
        <v>#REF!</v>
      </c>
    </row>
    <row r="1228" spans="1:17" x14ac:dyDescent="0.3">
      <c r="A1228" t="s">
        <v>3019</v>
      </c>
      <c r="B1228" t="s">
        <v>3020</v>
      </c>
      <c r="C1228" s="10" t="s">
        <v>3725</v>
      </c>
      <c r="D1228" s="10" t="s">
        <v>3761</v>
      </c>
      <c r="E1228" s="14">
        <v>1299</v>
      </c>
      <c r="F1228" s="3">
        <v>499</v>
      </c>
      <c r="G1228" s="3">
        <f t="shared" si="96"/>
        <v>6495</v>
      </c>
      <c r="H1228" s="3">
        <f t="shared" si="95"/>
        <v>2495</v>
      </c>
      <c r="I1228" s="14">
        <f t="shared" si="97"/>
        <v>4026.9</v>
      </c>
      <c r="J1228" s="14">
        <f t="shared" si="98"/>
        <v>-4000</v>
      </c>
      <c r="K1228" s="1">
        <v>0.62</v>
      </c>
      <c r="L1228">
        <v>4.7</v>
      </c>
      <c r="M1228">
        <v>54</v>
      </c>
      <c r="N1228" t="s">
        <v>3021</v>
      </c>
      <c r="O1228">
        <f t="shared" si="99"/>
        <v>5</v>
      </c>
      <c r="P1228" s="12" t="e">
        <f>HYPERLINK(#REF!,"Link")</f>
        <v>#REF!</v>
      </c>
      <c r="Q1228" s="12" t="e">
        <f>HYPERLINK(#REF!,"Link")</f>
        <v>#REF!</v>
      </c>
    </row>
    <row r="1229" spans="1:17" x14ac:dyDescent="0.3">
      <c r="A1229" t="s">
        <v>3022</v>
      </c>
      <c r="B1229" t="s">
        <v>3023</v>
      </c>
      <c r="C1229" s="9" t="s">
        <v>3748</v>
      </c>
      <c r="D1229" s="9" t="s">
        <v>3762</v>
      </c>
      <c r="E1229" s="14">
        <v>640</v>
      </c>
      <c r="F1229" s="3">
        <v>510</v>
      </c>
      <c r="G1229" s="3">
        <f t="shared" si="96"/>
        <v>1280</v>
      </c>
      <c r="H1229" s="3">
        <f t="shared" si="95"/>
        <v>1020</v>
      </c>
      <c r="I1229" s="14">
        <f t="shared" si="97"/>
        <v>256</v>
      </c>
      <c r="J1229" s="14">
        <f t="shared" si="98"/>
        <v>-260</v>
      </c>
      <c r="K1229" s="1">
        <v>0.2</v>
      </c>
      <c r="L1229">
        <v>4.0999999999999996</v>
      </c>
      <c r="M1229" s="2">
        <v>7229</v>
      </c>
      <c r="N1229" t="s">
        <v>3024</v>
      </c>
      <c r="O1229">
        <f t="shared" si="99"/>
        <v>2</v>
      </c>
      <c r="P1229" s="12" t="e">
        <f>HYPERLINK(#REF!,"Link")</f>
        <v>#REF!</v>
      </c>
      <c r="Q1229" s="12" t="e">
        <f>HYPERLINK(#REF!,"Link")</f>
        <v>#REF!</v>
      </c>
    </row>
    <row r="1230" spans="1:17" x14ac:dyDescent="0.3">
      <c r="A1230" t="s">
        <v>3025</v>
      </c>
      <c r="B1230" t="s">
        <v>3026</v>
      </c>
      <c r="C1230" s="10" t="s">
        <v>3748</v>
      </c>
      <c r="D1230" s="10" t="s">
        <v>3763</v>
      </c>
      <c r="E1230" s="14">
        <v>3790</v>
      </c>
      <c r="F1230" s="3">
        <v>1899</v>
      </c>
      <c r="G1230" s="3">
        <f t="shared" si="96"/>
        <v>3790</v>
      </c>
      <c r="H1230" s="3">
        <f t="shared" si="95"/>
        <v>1899</v>
      </c>
      <c r="I1230" s="14">
        <f t="shared" si="97"/>
        <v>1895</v>
      </c>
      <c r="J1230" s="14">
        <f t="shared" si="98"/>
        <v>-1891</v>
      </c>
      <c r="K1230" s="1">
        <v>0.5</v>
      </c>
      <c r="L1230">
        <v>3.8</v>
      </c>
      <c r="M1230" s="2">
        <v>3842</v>
      </c>
      <c r="N1230" t="s">
        <v>3027</v>
      </c>
      <c r="O1230">
        <f t="shared" si="99"/>
        <v>1</v>
      </c>
      <c r="P1230" s="12" t="e">
        <f>HYPERLINK(#REF!,"Link")</f>
        <v>#REF!</v>
      </c>
      <c r="Q1230" s="12" t="e">
        <f>HYPERLINK(#REF!,"Link")</f>
        <v>#REF!</v>
      </c>
    </row>
    <row r="1231" spans="1:17" x14ac:dyDescent="0.3">
      <c r="A1231" t="s">
        <v>3028</v>
      </c>
      <c r="B1231" t="s">
        <v>3029</v>
      </c>
      <c r="C1231" s="9" t="s">
        <v>3748</v>
      </c>
      <c r="D1231" s="9" t="s">
        <v>3765</v>
      </c>
      <c r="E1231" s="14">
        <v>4560</v>
      </c>
      <c r="F1231" s="3">
        <v>2599</v>
      </c>
      <c r="G1231" s="3">
        <f t="shared" si="96"/>
        <v>9120</v>
      </c>
      <c r="H1231" s="3">
        <f t="shared" si="95"/>
        <v>5198</v>
      </c>
      <c r="I1231" s="14">
        <f t="shared" si="97"/>
        <v>3921.6</v>
      </c>
      <c r="J1231" s="14">
        <f t="shared" si="98"/>
        <v>-3922</v>
      </c>
      <c r="K1231" s="1">
        <v>0.43</v>
      </c>
      <c r="L1231">
        <v>4.4000000000000004</v>
      </c>
      <c r="M1231">
        <v>646</v>
      </c>
      <c r="N1231" t="s">
        <v>3030</v>
      </c>
      <c r="O1231">
        <f t="shared" si="99"/>
        <v>2</v>
      </c>
      <c r="P1231" s="12" t="e">
        <f>HYPERLINK(#REF!,"Link")</f>
        <v>#REF!</v>
      </c>
      <c r="Q1231" s="12" t="e">
        <f>HYPERLINK(#REF!,"Link")</f>
        <v>#REF!</v>
      </c>
    </row>
    <row r="1232" spans="1:17" x14ac:dyDescent="0.3">
      <c r="A1232" t="s">
        <v>3031</v>
      </c>
      <c r="B1232" t="s">
        <v>3032</v>
      </c>
      <c r="C1232" s="10" t="s">
        <v>3748</v>
      </c>
      <c r="D1232" s="10" t="s">
        <v>3736</v>
      </c>
      <c r="E1232" s="14">
        <v>3500</v>
      </c>
      <c r="F1232" s="3">
        <v>1199</v>
      </c>
      <c r="G1232" s="3">
        <f t="shared" si="96"/>
        <v>10500</v>
      </c>
      <c r="H1232" s="3">
        <f t="shared" si="95"/>
        <v>3597</v>
      </c>
      <c r="I1232" s="14">
        <f t="shared" si="97"/>
        <v>6930</v>
      </c>
      <c r="J1232" s="14">
        <f t="shared" si="98"/>
        <v>-6903</v>
      </c>
      <c r="K1232" s="1">
        <v>0.66</v>
      </c>
      <c r="L1232">
        <v>4.3</v>
      </c>
      <c r="M1232" s="2">
        <v>1802</v>
      </c>
      <c r="N1232" t="s">
        <v>3033</v>
      </c>
      <c r="O1232">
        <f t="shared" si="99"/>
        <v>3</v>
      </c>
      <c r="P1232" s="12" t="e">
        <f>HYPERLINK(#REF!,"Link")</f>
        <v>#REF!</v>
      </c>
      <c r="Q1232" s="12" t="e">
        <f>HYPERLINK(#REF!,"Link")</f>
        <v>#REF!</v>
      </c>
    </row>
    <row r="1233" spans="1:17" x14ac:dyDescent="0.3">
      <c r="A1233" t="s">
        <v>3034</v>
      </c>
      <c r="B1233" t="s">
        <v>3035</v>
      </c>
      <c r="C1233" s="9" t="s">
        <v>3748</v>
      </c>
      <c r="D1233" s="9" t="s">
        <v>3766</v>
      </c>
      <c r="E1233" s="14">
        <v>2600</v>
      </c>
      <c r="F1233" s="3">
        <v>999</v>
      </c>
      <c r="G1233" s="3">
        <f t="shared" si="96"/>
        <v>5200</v>
      </c>
      <c r="H1233" s="3">
        <f t="shared" si="95"/>
        <v>1998</v>
      </c>
      <c r="I1233" s="14">
        <f t="shared" si="97"/>
        <v>3224</v>
      </c>
      <c r="J1233" s="14">
        <f t="shared" si="98"/>
        <v>-3202</v>
      </c>
      <c r="K1233" s="1">
        <v>0.62</v>
      </c>
      <c r="L1233">
        <v>3.4</v>
      </c>
      <c r="M1233">
        <v>252</v>
      </c>
      <c r="N1233" t="s">
        <v>3036</v>
      </c>
      <c r="O1233">
        <f t="shared" si="99"/>
        <v>2</v>
      </c>
      <c r="P1233" s="12" t="e">
        <f>HYPERLINK(#REF!,"Link")</f>
        <v>#REF!</v>
      </c>
      <c r="Q1233" s="12" t="e">
        <f>HYPERLINK(#REF!,"Link")</f>
        <v>#REF!</v>
      </c>
    </row>
    <row r="1234" spans="1:17" x14ac:dyDescent="0.3">
      <c r="A1234" t="s">
        <v>3037</v>
      </c>
      <c r="B1234" t="s">
        <v>3038</v>
      </c>
      <c r="C1234" s="10" t="s">
        <v>3748</v>
      </c>
      <c r="D1234" s="10" t="s">
        <v>3736</v>
      </c>
      <c r="E1234" s="14">
        <v>3300</v>
      </c>
      <c r="F1234" s="3">
        <v>1999</v>
      </c>
      <c r="G1234" s="3">
        <f t="shared" si="96"/>
        <v>6600</v>
      </c>
      <c r="H1234" s="3">
        <f t="shared" si="95"/>
        <v>3998</v>
      </c>
      <c r="I1234" s="14">
        <f t="shared" si="97"/>
        <v>2574</v>
      </c>
      <c r="J1234" s="14">
        <f t="shared" si="98"/>
        <v>-2602</v>
      </c>
      <c r="K1234" s="1">
        <v>0.39</v>
      </c>
      <c r="L1234">
        <v>4.2</v>
      </c>
      <c r="M1234">
        <v>780</v>
      </c>
      <c r="N1234" t="s">
        <v>3039</v>
      </c>
      <c r="O1234">
        <f t="shared" si="99"/>
        <v>2</v>
      </c>
      <c r="P1234" s="12" t="e">
        <f>HYPERLINK(#REF!,"Link")</f>
        <v>#REF!</v>
      </c>
      <c r="Q1234" s="12" t="e">
        <f>HYPERLINK(#REF!,"Link")</f>
        <v>#REF!</v>
      </c>
    </row>
    <row r="1235" spans="1:17" x14ac:dyDescent="0.3">
      <c r="A1235" t="s">
        <v>3040</v>
      </c>
      <c r="B1235" t="s">
        <v>3041</v>
      </c>
      <c r="C1235" s="9" t="s">
        <v>3755</v>
      </c>
      <c r="D1235" s="9" t="s">
        <v>3767</v>
      </c>
      <c r="E1235" s="14">
        <v>699</v>
      </c>
      <c r="F1235" s="3">
        <v>210</v>
      </c>
      <c r="G1235" s="3">
        <f t="shared" si="96"/>
        <v>1398</v>
      </c>
      <c r="H1235" s="3">
        <f t="shared" si="95"/>
        <v>420</v>
      </c>
      <c r="I1235" s="14">
        <f t="shared" si="97"/>
        <v>978.59999999999991</v>
      </c>
      <c r="J1235" s="14">
        <f t="shared" si="98"/>
        <v>-978</v>
      </c>
      <c r="K1235" s="1">
        <v>0.7</v>
      </c>
      <c r="L1235">
        <v>3.7</v>
      </c>
      <c r="M1235">
        <v>74</v>
      </c>
      <c r="N1235" t="s">
        <v>3042</v>
      </c>
      <c r="O1235">
        <f t="shared" si="99"/>
        <v>2</v>
      </c>
      <c r="P1235" s="12" t="e">
        <f>HYPERLINK(#REF!,"Link")</f>
        <v>#REF!</v>
      </c>
      <c r="Q1235" s="12" t="e">
        <f>HYPERLINK(#REF!,"Link")</f>
        <v>#REF!</v>
      </c>
    </row>
    <row r="1236" spans="1:17" x14ac:dyDescent="0.3">
      <c r="A1236" t="s">
        <v>3043</v>
      </c>
      <c r="B1236" t="s">
        <v>3044</v>
      </c>
      <c r="C1236" s="10" t="s">
        <v>3768</v>
      </c>
      <c r="D1236" s="10" t="s">
        <v>3769</v>
      </c>
      <c r="E1236" s="14">
        <v>23559</v>
      </c>
      <c r="F1236" s="3">
        <v>14499</v>
      </c>
      <c r="G1236" s="3">
        <f t="shared" si="96"/>
        <v>117795</v>
      </c>
      <c r="H1236" s="3">
        <f t="shared" si="95"/>
        <v>72495</v>
      </c>
      <c r="I1236" s="14">
        <f t="shared" si="97"/>
        <v>44762.1</v>
      </c>
      <c r="J1236" s="14">
        <f t="shared" si="98"/>
        <v>-45300</v>
      </c>
      <c r="K1236" s="1">
        <v>0.38</v>
      </c>
      <c r="L1236">
        <v>4.3</v>
      </c>
      <c r="M1236" s="2">
        <v>2026</v>
      </c>
      <c r="N1236" t="s">
        <v>3045</v>
      </c>
      <c r="O1236">
        <f t="shared" si="99"/>
        <v>5</v>
      </c>
      <c r="P1236" s="12" t="e">
        <f>HYPERLINK(#REF!,"Link")</f>
        <v>#REF!</v>
      </c>
      <c r="Q1236" s="12" t="e">
        <f>HYPERLINK(#REF!,"Link")</f>
        <v>#REF!</v>
      </c>
    </row>
    <row r="1237" spans="1:17" x14ac:dyDescent="0.3">
      <c r="A1237" t="s">
        <v>3046</v>
      </c>
      <c r="B1237" t="s">
        <v>3047</v>
      </c>
      <c r="C1237" s="9" t="s">
        <v>3738</v>
      </c>
      <c r="D1237" s="9"/>
      <c r="E1237" s="14">
        <v>1599</v>
      </c>
      <c r="F1237" s="3">
        <v>950</v>
      </c>
      <c r="G1237" s="3">
        <f t="shared" si="96"/>
        <v>7995</v>
      </c>
      <c r="H1237" s="3">
        <f t="shared" si="95"/>
        <v>4750</v>
      </c>
      <c r="I1237" s="14">
        <f t="shared" si="97"/>
        <v>3277.95</v>
      </c>
      <c r="J1237" s="14">
        <f t="shared" si="98"/>
        <v>-3245</v>
      </c>
      <c r="K1237" s="1">
        <v>0.41</v>
      </c>
      <c r="L1237">
        <v>4.3</v>
      </c>
      <c r="M1237" s="2">
        <v>5911</v>
      </c>
      <c r="N1237" t="s">
        <v>3048</v>
      </c>
      <c r="O1237">
        <f t="shared" si="99"/>
        <v>5</v>
      </c>
      <c r="P1237" s="12" t="e">
        <f>HYPERLINK(#REF!,"Link")</f>
        <v>#REF!</v>
      </c>
      <c r="Q1237" s="12" t="e">
        <f>HYPERLINK(#REF!,"Link")</f>
        <v>#REF!</v>
      </c>
    </row>
    <row r="1238" spans="1:17" x14ac:dyDescent="0.3">
      <c r="A1238" t="s">
        <v>3049</v>
      </c>
      <c r="B1238" t="s">
        <v>3050</v>
      </c>
      <c r="C1238" s="10" t="s">
        <v>3748</v>
      </c>
      <c r="D1238" s="10" t="s">
        <v>3762</v>
      </c>
      <c r="E1238" s="14">
        <v>9995</v>
      </c>
      <c r="F1238" s="3">
        <v>7199</v>
      </c>
      <c r="G1238" s="3">
        <f t="shared" si="96"/>
        <v>29985</v>
      </c>
      <c r="H1238" s="3">
        <f t="shared" si="95"/>
        <v>21597</v>
      </c>
      <c r="I1238" s="14">
        <f t="shared" si="97"/>
        <v>8395.8000000000011</v>
      </c>
      <c r="J1238" s="14">
        <f t="shared" si="98"/>
        <v>-8388</v>
      </c>
      <c r="K1238" s="1">
        <v>0.28000000000000003</v>
      </c>
      <c r="L1238">
        <v>4.4000000000000004</v>
      </c>
      <c r="M1238" s="2">
        <v>1964</v>
      </c>
      <c r="N1238" t="s">
        <v>3051</v>
      </c>
      <c r="O1238">
        <f t="shared" si="99"/>
        <v>3</v>
      </c>
      <c r="P1238" s="12" t="e">
        <f>HYPERLINK(#REF!,"Link")</f>
        <v>#REF!</v>
      </c>
      <c r="Q1238" s="12" t="e">
        <f>HYPERLINK(#REF!,"Link")</f>
        <v>#REF!</v>
      </c>
    </row>
    <row r="1239" spans="1:17" x14ac:dyDescent="0.3">
      <c r="A1239" t="s">
        <v>3052</v>
      </c>
      <c r="B1239" t="s">
        <v>3053</v>
      </c>
      <c r="C1239" s="9" t="s">
        <v>3748</v>
      </c>
      <c r="D1239" s="9" t="s">
        <v>3736</v>
      </c>
      <c r="E1239" s="14">
        <v>2545</v>
      </c>
      <c r="F1239" s="3">
        <v>2439</v>
      </c>
      <c r="G1239" s="3">
        <f t="shared" si="96"/>
        <v>5090</v>
      </c>
      <c r="H1239" s="3">
        <f t="shared" si="95"/>
        <v>4878</v>
      </c>
      <c r="I1239" s="14">
        <f t="shared" si="97"/>
        <v>203.6</v>
      </c>
      <c r="J1239" s="14">
        <f t="shared" si="98"/>
        <v>-212</v>
      </c>
      <c r="K1239" s="1">
        <v>0.04</v>
      </c>
      <c r="L1239">
        <v>4.0999999999999996</v>
      </c>
      <c r="M1239">
        <v>25</v>
      </c>
      <c r="N1239" t="s">
        <v>3054</v>
      </c>
      <c r="O1239">
        <f t="shared" si="99"/>
        <v>2</v>
      </c>
      <c r="P1239" s="12" t="e">
        <f>HYPERLINK(#REF!,"Link")</f>
        <v>#REF!</v>
      </c>
      <c r="Q1239" s="12" t="e">
        <f>HYPERLINK(#REF!,"Link")</f>
        <v>#REF!</v>
      </c>
    </row>
    <row r="1240" spans="1:17" x14ac:dyDescent="0.3">
      <c r="A1240" t="s">
        <v>3055</v>
      </c>
      <c r="B1240" t="s">
        <v>3056</v>
      </c>
      <c r="C1240" s="10" t="s">
        <v>3770</v>
      </c>
      <c r="D1240" s="10"/>
      <c r="E1240" s="14">
        <v>8995</v>
      </c>
      <c r="F1240" s="3">
        <v>7799</v>
      </c>
      <c r="G1240" s="3">
        <f t="shared" si="96"/>
        <v>26985</v>
      </c>
      <c r="H1240" s="3">
        <f t="shared" si="95"/>
        <v>23397</v>
      </c>
      <c r="I1240" s="14">
        <f t="shared" si="97"/>
        <v>3508.05</v>
      </c>
      <c r="J1240" s="14">
        <f t="shared" si="98"/>
        <v>-3588</v>
      </c>
      <c r="K1240" s="1">
        <v>0.13</v>
      </c>
      <c r="L1240">
        <v>4</v>
      </c>
      <c r="M1240" s="2">
        <v>3160</v>
      </c>
      <c r="N1240" t="s">
        <v>3057</v>
      </c>
      <c r="O1240">
        <f t="shared" si="99"/>
        <v>3</v>
      </c>
      <c r="P1240" s="12" t="e">
        <f>HYPERLINK(#REF!,"Link")</f>
        <v>#REF!</v>
      </c>
      <c r="Q1240" s="12" t="e">
        <f>HYPERLINK(#REF!,"Link")</f>
        <v>#REF!</v>
      </c>
    </row>
    <row r="1241" spans="1:17" x14ac:dyDescent="0.3">
      <c r="A1241" t="s">
        <v>3058</v>
      </c>
      <c r="B1241" t="s">
        <v>3059</v>
      </c>
      <c r="C1241" s="9" t="s">
        <v>3771</v>
      </c>
      <c r="D1241" s="9" t="s">
        <v>3772</v>
      </c>
      <c r="E1241" s="14">
        <v>1999</v>
      </c>
      <c r="F1241" s="3">
        <v>1599</v>
      </c>
      <c r="G1241" s="3">
        <f t="shared" si="96"/>
        <v>7996</v>
      </c>
      <c r="H1241" s="3">
        <f t="shared" si="95"/>
        <v>6396</v>
      </c>
      <c r="I1241" s="14">
        <f t="shared" si="97"/>
        <v>1599.2</v>
      </c>
      <c r="J1241" s="14">
        <f t="shared" si="98"/>
        <v>-1600</v>
      </c>
      <c r="K1241" s="1">
        <v>0.2</v>
      </c>
      <c r="L1241">
        <v>4.4000000000000004</v>
      </c>
      <c r="M1241" s="2">
        <v>1558</v>
      </c>
      <c r="N1241" t="s">
        <v>3060</v>
      </c>
      <c r="O1241">
        <f t="shared" si="99"/>
        <v>4</v>
      </c>
      <c r="P1241" s="12" t="e">
        <f>HYPERLINK(#REF!,"Link")</f>
        <v>#REF!</v>
      </c>
      <c r="Q1241" s="12" t="e">
        <f>HYPERLINK(#REF!,"Link")</f>
        <v>#REF!</v>
      </c>
    </row>
    <row r="1242" spans="1:17" x14ac:dyDescent="0.3">
      <c r="A1242" t="s">
        <v>3061</v>
      </c>
      <c r="B1242" t="s">
        <v>2590</v>
      </c>
      <c r="C1242" s="10" t="s">
        <v>3771</v>
      </c>
      <c r="D1242" s="10" t="s">
        <v>3773</v>
      </c>
      <c r="E1242" s="14">
        <v>5500</v>
      </c>
      <c r="F1242" s="3">
        <v>2899</v>
      </c>
      <c r="G1242" s="3">
        <f t="shared" si="96"/>
        <v>16500</v>
      </c>
      <c r="H1242" s="3">
        <f t="shared" si="95"/>
        <v>8697</v>
      </c>
      <c r="I1242" s="14">
        <f t="shared" si="97"/>
        <v>7755</v>
      </c>
      <c r="J1242" s="14">
        <f t="shared" si="98"/>
        <v>-7803</v>
      </c>
      <c r="K1242" s="1">
        <v>0.47</v>
      </c>
      <c r="L1242">
        <v>3.8</v>
      </c>
      <c r="M1242" s="2">
        <v>8958</v>
      </c>
      <c r="N1242" t="s">
        <v>3062</v>
      </c>
      <c r="O1242">
        <f t="shared" si="99"/>
        <v>3</v>
      </c>
      <c r="P1242" s="12" t="e">
        <f>HYPERLINK(#REF!,"Link")</f>
        <v>#REF!</v>
      </c>
      <c r="Q1242" s="12" t="e">
        <f>HYPERLINK(#REF!,"Link")</f>
        <v>#REF!</v>
      </c>
    </row>
    <row r="1243" spans="1:17" x14ac:dyDescent="0.3">
      <c r="A1243" t="s">
        <v>3063</v>
      </c>
      <c r="B1243" t="s">
        <v>3064</v>
      </c>
      <c r="C1243" s="9" t="s">
        <v>3768</v>
      </c>
      <c r="D1243" s="9" t="s">
        <v>3774</v>
      </c>
      <c r="E1243" s="14">
        <v>12150</v>
      </c>
      <c r="F1243" s="3">
        <v>9799</v>
      </c>
      <c r="G1243" s="3">
        <f t="shared" si="96"/>
        <v>12150</v>
      </c>
      <c r="H1243" s="3">
        <f t="shared" si="95"/>
        <v>9799</v>
      </c>
      <c r="I1243" s="14">
        <f t="shared" si="97"/>
        <v>2308.5</v>
      </c>
      <c r="J1243" s="14">
        <f t="shared" si="98"/>
        <v>-2351</v>
      </c>
      <c r="K1243" s="1">
        <v>0.19</v>
      </c>
      <c r="L1243">
        <v>4.3</v>
      </c>
      <c r="M1243" s="2">
        <v>13251</v>
      </c>
      <c r="N1243" t="s">
        <v>3065</v>
      </c>
      <c r="O1243">
        <f t="shared" si="99"/>
        <v>1</v>
      </c>
      <c r="P1243" s="12" t="e">
        <f>HYPERLINK(#REF!,"Link")</f>
        <v>#REF!</v>
      </c>
      <c r="Q1243" s="12" t="e">
        <f>HYPERLINK(#REF!,"Link")</f>
        <v>#REF!</v>
      </c>
    </row>
    <row r="1244" spans="1:17" x14ac:dyDescent="0.3">
      <c r="A1244" t="s">
        <v>3066</v>
      </c>
      <c r="B1244" t="s">
        <v>3067</v>
      </c>
      <c r="C1244" s="10" t="s">
        <v>3768</v>
      </c>
      <c r="D1244" s="10" t="s">
        <v>3775</v>
      </c>
      <c r="E1244" s="14">
        <v>4995</v>
      </c>
      <c r="F1244" s="3">
        <v>3299</v>
      </c>
      <c r="G1244" s="3">
        <f t="shared" si="96"/>
        <v>19980</v>
      </c>
      <c r="H1244" s="3">
        <f t="shared" si="95"/>
        <v>13196</v>
      </c>
      <c r="I1244" s="14">
        <f t="shared" si="97"/>
        <v>6793.2000000000007</v>
      </c>
      <c r="J1244" s="14">
        <f t="shared" si="98"/>
        <v>-6784</v>
      </c>
      <c r="K1244" s="1">
        <v>0.34</v>
      </c>
      <c r="L1244">
        <v>3.8</v>
      </c>
      <c r="M1244" s="2">
        <v>1393</v>
      </c>
      <c r="N1244" t="s">
        <v>3068</v>
      </c>
      <c r="O1244">
        <f t="shared" si="99"/>
        <v>4</v>
      </c>
      <c r="P1244" s="12" t="e">
        <f>HYPERLINK(#REF!,"Link")</f>
        <v>#REF!</v>
      </c>
      <c r="Q1244" s="12" t="e">
        <f>HYPERLINK(#REF!,"Link")</f>
        <v>#REF!</v>
      </c>
    </row>
    <row r="1245" spans="1:17" x14ac:dyDescent="0.3">
      <c r="A1245" t="s">
        <v>3069</v>
      </c>
      <c r="B1245" t="s">
        <v>3070</v>
      </c>
      <c r="C1245" s="9" t="s">
        <v>3771</v>
      </c>
      <c r="D1245" s="9" t="s">
        <v>3776</v>
      </c>
      <c r="E1245" s="14">
        <v>1499</v>
      </c>
      <c r="F1245" s="3">
        <v>669</v>
      </c>
      <c r="G1245" s="3">
        <f t="shared" si="96"/>
        <v>5996</v>
      </c>
      <c r="H1245" s="3">
        <f t="shared" si="95"/>
        <v>2676</v>
      </c>
      <c r="I1245" s="14">
        <f t="shared" si="97"/>
        <v>3297.8</v>
      </c>
      <c r="J1245" s="14">
        <f t="shared" si="98"/>
        <v>-3320</v>
      </c>
      <c r="K1245" s="1">
        <v>0.55000000000000004</v>
      </c>
      <c r="L1245">
        <v>2.2999999999999998</v>
      </c>
      <c r="M1245">
        <v>13</v>
      </c>
      <c r="N1245" t="s">
        <v>3071</v>
      </c>
      <c r="O1245">
        <f t="shared" si="99"/>
        <v>4</v>
      </c>
      <c r="P1245" s="12" t="e">
        <f>HYPERLINK(#REF!,"Link")</f>
        <v>#REF!</v>
      </c>
      <c r="Q1245" s="12" t="e">
        <f>HYPERLINK(#REF!,"Link")</f>
        <v>#REF!</v>
      </c>
    </row>
    <row r="1246" spans="1:17" x14ac:dyDescent="0.3">
      <c r="A1246" t="s">
        <v>3072</v>
      </c>
      <c r="B1246" t="s">
        <v>3073</v>
      </c>
      <c r="C1246" s="10" t="s">
        <v>3777</v>
      </c>
      <c r="D1246" s="10"/>
      <c r="E1246" s="14">
        <v>7506</v>
      </c>
      <c r="F1246" s="3">
        <v>5890</v>
      </c>
      <c r="G1246" s="3">
        <f t="shared" si="96"/>
        <v>22518</v>
      </c>
      <c r="H1246" s="3">
        <f t="shared" si="95"/>
        <v>17670</v>
      </c>
      <c r="I1246" s="14">
        <f t="shared" si="97"/>
        <v>4953.96</v>
      </c>
      <c r="J1246" s="14">
        <f t="shared" si="98"/>
        <v>-4848</v>
      </c>
      <c r="K1246" s="1">
        <v>0.22</v>
      </c>
      <c r="L1246">
        <v>4.5</v>
      </c>
      <c r="M1246" s="2">
        <v>7241</v>
      </c>
      <c r="N1246" t="s">
        <v>3074</v>
      </c>
      <c r="O1246">
        <f t="shared" si="99"/>
        <v>3</v>
      </c>
      <c r="P1246" s="12" t="e">
        <f>HYPERLINK(#REF!,"Link")</f>
        <v>#REF!</v>
      </c>
      <c r="Q1246" s="12" t="e">
        <f>HYPERLINK(#REF!,"Link")</f>
        <v>#REF!</v>
      </c>
    </row>
    <row r="1247" spans="1:17" x14ac:dyDescent="0.3">
      <c r="A1247" t="s">
        <v>3075</v>
      </c>
      <c r="B1247" t="s">
        <v>3076</v>
      </c>
      <c r="C1247" s="9" t="s">
        <v>3778</v>
      </c>
      <c r="D1247" s="9"/>
      <c r="E1247" s="14">
        <v>18000</v>
      </c>
      <c r="F1247" s="3">
        <v>9199</v>
      </c>
      <c r="G1247" s="3">
        <f t="shared" si="96"/>
        <v>18000</v>
      </c>
      <c r="H1247" s="3">
        <f t="shared" si="95"/>
        <v>9199</v>
      </c>
      <c r="I1247" s="14">
        <f t="shared" si="97"/>
        <v>8820</v>
      </c>
      <c r="J1247" s="14">
        <f t="shared" si="98"/>
        <v>-8801</v>
      </c>
      <c r="K1247" s="1">
        <v>0.49</v>
      </c>
      <c r="L1247">
        <v>4</v>
      </c>
      <c r="M1247" s="2">
        <v>16020</v>
      </c>
      <c r="N1247" t="s">
        <v>3077</v>
      </c>
      <c r="O1247">
        <f t="shared" si="99"/>
        <v>1</v>
      </c>
      <c r="P1247" s="12" t="e">
        <f>HYPERLINK(#REF!,"Link")</f>
        <v>#REF!</v>
      </c>
      <c r="Q1247" s="12" t="e">
        <f>HYPERLINK(#REF!,"Link")</f>
        <v>#REF!</v>
      </c>
    </row>
    <row r="1248" spans="1:17" x14ac:dyDescent="0.3">
      <c r="A1248" t="s">
        <v>3078</v>
      </c>
      <c r="B1248" t="s">
        <v>2513</v>
      </c>
      <c r="C1248" s="10" t="s">
        <v>3779</v>
      </c>
      <c r="D1248" s="10" t="s">
        <v>3780</v>
      </c>
      <c r="E1248" s="14">
        <v>1099</v>
      </c>
      <c r="F1248" s="3">
        <v>351</v>
      </c>
      <c r="G1248" s="3">
        <f t="shared" si="96"/>
        <v>8792</v>
      </c>
      <c r="H1248" s="3">
        <f t="shared" si="95"/>
        <v>2808</v>
      </c>
      <c r="I1248" s="14">
        <f t="shared" si="97"/>
        <v>5978.56</v>
      </c>
      <c r="J1248" s="14">
        <f t="shared" si="98"/>
        <v>-5984</v>
      </c>
      <c r="K1248" s="1">
        <v>0.68</v>
      </c>
      <c r="L1248">
        <v>3.7</v>
      </c>
      <c r="M1248" s="2">
        <v>1470</v>
      </c>
      <c r="N1248" t="s">
        <v>3079</v>
      </c>
      <c r="O1248">
        <f t="shared" si="99"/>
        <v>8</v>
      </c>
      <c r="P1248" s="12" t="e">
        <f>HYPERLINK(#REF!,"Link")</f>
        <v>#REF!</v>
      </c>
      <c r="Q1248" s="12" t="e">
        <f>HYPERLINK(#REF!,"Link")</f>
        <v>#REF!</v>
      </c>
    </row>
    <row r="1249" spans="1:17" x14ac:dyDescent="0.3">
      <c r="A1249" t="s">
        <v>3080</v>
      </c>
      <c r="B1249" t="s">
        <v>3081</v>
      </c>
      <c r="C1249" s="9" t="s">
        <v>3781</v>
      </c>
      <c r="D1249" s="9" t="s">
        <v>3782</v>
      </c>
      <c r="E1249" s="14">
        <v>1900</v>
      </c>
      <c r="F1249" s="3">
        <v>899</v>
      </c>
      <c r="G1249" s="3">
        <f t="shared" si="96"/>
        <v>5700</v>
      </c>
      <c r="H1249" s="3">
        <f t="shared" si="95"/>
        <v>2697</v>
      </c>
      <c r="I1249" s="14">
        <f t="shared" si="97"/>
        <v>3021</v>
      </c>
      <c r="J1249" s="14">
        <f t="shared" si="98"/>
        <v>-3003</v>
      </c>
      <c r="K1249" s="1">
        <v>0.53</v>
      </c>
      <c r="L1249">
        <v>4</v>
      </c>
      <c r="M1249" s="2">
        <v>3663</v>
      </c>
      <c r="N1249" t="s">
        <v>3082</v>
      </c>
      <c r="O1249">
        <f t="shared" si="99"/>
        <v>3</v>
      </c>
      <c r="P1249" s="12" t="e">
        <f>HYPERLINK(#REF!,"Link")</f>
        <v>#REF!</v>
      </c>
      <c r="Q1249" s="12" t="e">
        <f>HYPERLINK(#REF!,"Link")</f>
        <v>#REF!</v>
      </c>
    </row>
    <row r="1250" spans="1:17" x14ac:dyDescent="0.3">
      <c r="A1250" t="s">
        <v>3083</v>
      </c>
      <c r="B1250" t="s">
        <v>3084</v>
      </c>
      <c r="C1250" s="10" t="s">
        <v>3771</v>
      </c>
      <c r="D1250" s="10" t="s">
        <v>3783</v>
      </c>
      <c r="E1250" s="14">
        <v>1850</v>
      </c>
      <c r="F1250" s="3">
        <v>1349</v>
      </c>
      <c r="G1250" s="3">
        <f t="shared" si="96"/>
        <v>3700</v>
      </c>
      <c r="H1250" s="3">
        <f t="shared" si="95"/>
        <v>2698</v>
      </c>
      <c r="I1250" s="14">
        <f t="shared" si="97"/>
        <v>999.00000000000011</v>
      </c>
      <c r="J1250" s="14">
        <f t="shared" si="98"/>
        <v>-1002</v>
      </c>
      <c r="K1250" s="1">
        <v>0.27</v>
      </c>
      <c r="L1250">
        <v>4.4000000000000004</v>
      </c>
      <c r="M1250">
        <v>638</v>
      </c>
      <c r="N1250" t="s">
        <v>3085</v>
      </c>
      <c r="O1250">
        <f t="shared" si="99"/>
        <v>2</v>
      </c>
      <c r="P1250" s="12" t="e">
        <f>HYPERLINK(#REF!,"Link")</f>
        <v>#REF!</v>
      </c>
      <c r="Q1250" s="12" t="e">
        <f>HYPERLINK(#REF!,"Link")</f>
        <v>#REF!</v>
      </c>
    </row>
    <row r="1251" spans="1:17" x14ac:dyDescent="0.3">
      <c r="A1251" t="s">
        <v>3086</v>
      </c>
      <c r="B1251" t="s">
        <v>3087</v>
      </c>
      <c r="C1251" s="9" t="s">
        <v>3784</v>
      </c>
      <c r="D1251" s="9"/>
      <c r="E1251" s="14">
        <v>9999</v>
      </c>
      <c r="F1251" s="3">
        <v>6236</v>
      </c>
      <c r="G1251" s="3">
        <f t="shared" si="96"/>
        <v>29997</v>
      </c>
      <c r="H1251" s="3">
        <f t="shared" si="95"/>
        <v>18708</v>
      </c>
      <c r="I1251" s="14">
        <f t="shared" si="97"/>
        <v>11398.86</v>
      </c>
      <c r="J1251" s="14">
        <f t="shared" si="98"/>
        <v>-11289</v>
      </c>
      <c r="K1251" s="1">
        <v>0.38</v>
      </c>
      <c r="L1251">
        <v>4.0999999999999996</v>
      </c>
      <c r="M1251" s="2">
        <v>3552</v>
      </c>
      <c r="N1251" t="s">
        <v>3088</v>
      </c>
      <c r="O1251">
        <f t="shared" si="99"/>
        <v>3</v>
      </c>
      <c r="P1251" s="12" t="e">
        <f>HYPERLINK(#REF!,"Link")</f>
        <v>#REF!</v>
      </c>
      <c r="Q1251" s="12" t="e">
        <f>HYPERLINK(#REF!,"Link")</f>
        <v>#REF!</v>
      </c>
    </row>
    <row r="1252" spans="1:17" x14ac:dyDescent="0.3">
      <c r="A1252" t="s">
        <v>3089</v>
      </c>
      <c r="B1252" t="s">
        <v>3090</v>
      </c>
      <c r="C1252" s="10" t="s">
        <v>3785</v>
      </c>
      <c r="D1252" s="10"/>
      <c r="E1252" s="14">
        <v>3995</v>
      </c>
      <c r="F1252" s="3">
        <v>2742</v>
      </c>
      <c r="G1252" s="3">
        <f t="shared" si="96"/>
        <v>11985</v>
      </c>
      <c r="H1252" s="3">
        <f t="shared" si="95"/>
        <v>8226</v>
      </c>
      <c r="I1252" s="14">
        <f t="shared" si="97"/>
        <v>3715.3500000000004</v>
      </c>
      <c r="J1252" s="14">
        <f t="shared" si="98"/>
        <v>-3759</v>
      </c>
      <c r="K1252" s="1">
        <v>0.31</v>
      </c>
      <c r="L1252">
        <v>4.4000000000000004</v>
      </c>
      <c r="M1252" s="2">
        <v>11148</v>
      </c>
      <c r="N1252" t="s">
        <v>3091</v>
      </c>
      <c r="O1252">
        <f t="shared" si="99"/>
        <v>3</v>
      </c>
      <c r="P1252" s="12" t="e">
        <f>HYPERLINK(#REF!,"Link")</f>
        <v>#REF!</v>
      </c>
      <c r="Q1252" s="12" t="e">
        <f>HYPERLINK(#REF!,"Link")</f>
        <v>#REF!</v>
      </c>
    </row>
    <row r="1253" spans="1:17" x14ac:dyDescent="0.3">
      <c r="A1253" t="s">
        <v>3092</v>
      </c>
      <c r="B1253" t="s">
        <v>3093</v>
      </c>
      <c r="C1253" s="9" t="s">
        <v>3729</v>
      </c>
      <c r="D1253" s="9" t="s">
        <v>3786</v>
      </c>
      <c r="E1253" s="14">
        <v>1499</v>
      </c>
      <c r="F1253" s="3">
        <v>721</v>
      </c>
      <c r="G1253" s="3">
        <f t="shared" si="96"/>
        <v>7495</v>
      </c>
      <c r="H1253" s="3">
        <f t="shared" si="95"/>
        <v>3605</v>
      </c>
      <c r="I1253" s="14">
        <f t="shared" si="97"/>
        <v>3897.4</v>
      </c>
      <c r="J1253" s="14">
        <f t="shared" si="98"/>
        <v>-3890</v>
      </c>
      <c r="K1253" s="1">
        <v>0.52</v>
      </c>
      <c r="L1253">
        <v>3.1</v>
      </c>
      <c r="M1253" s="2">
        <v>2449</v>
      </c>
      <c r="N1253" t="s">
        <v>3094</v>
      </c>
      <c r="O1253">
        <f t="shared" si="99"/>
        <v>5</v>
      </c>
      <c r="P1253" s="12" t="e">
        <f>HYPERLINK(#REF!,"Link")</f>
        <v>#REF!</v>
      </c>
      <c r="Q1253" s="12" t="e">
        <f>HYPERLINK(#REF!,"Link")</f>
        <v>#REF!</v>
      </c>
    </row>
    <row r="1254" spans="1:17" x14ac:dyDescent="0.3">
      <c r="A1254" t="s">
        <v>3095</v>
      </c>
      <c r="B1254" t="s">
        <v>3096</v>
      </c>
      <c r="C1254" s="10" t="s">
        <v>3787</v>
      </c>
      <c r="D1254" s="10" t="s">
        <v>3788</v>
      </c>
      <c r="E1254" s="14">
        <v>3295</v>
      </c>
      <c r="F1254" s="3">
        <v>2903</v>
      </c>
      <c r="G1254" s="3">
        <f t="shared" si="96"/>
        <v>13180</v>
      </c>
      <c r="H1254" s="3">
        <f t="shared" si="95"/>
        <v>11612</v>
      </c>
      <c r="I1254" s="14">
        <f t="shared" si="97"/>
        <v>1581.6</v>
      </c>
      <c r="J1254" s="14">
        <f t="shared" si="98"/>
        <v>-1568</v>
      </c>
      <c r="K1254" s="1">
        <v>0.12</v>
      </c>
      <c r="L1254">
        <v>4.3</v>
      </c>
      <c r="M1254" s="2">
        <v>2299</v>
      </c>
      <c r="N1254" t="s">
        <v>3097</v>
      </c>
      <c r="O1254">
        <f t="shared" si="99"/>
        <v>4</v>
      </c>
      <c r="P1254" s="12" t="e">
        <f>HYPERLINK(#REF!,"Link")</f>
        <v>#REF!</v>
      </c>
      <c r="Q1254" s="12" t="e">
        <f>HYPERLINK(#REF!,"Link")</f>
        <v>#REF!</v>
      </c>
    </row>
    <row r="1255" spans="1:17" x14ac:dyDescent="0.3">
      <c r="A1255" t="s">
        <v>3098</v>
      </c>
      <c r="B1255" t="s">
        <v>3099</v>
      </c>
      <c r="C1255" s="9" t="s">
        <v>3789</v>
      </c>
      <c r="D1255" s="9"/>
      <c r="E1255" s="14">
        <v>2695</v>
      </c>
      <c r="F1255" s="3">
        <v>1656</v>
      </c>
      <c r="G1255" s="3">
        <f t="shared" si="96"/>
        <v>5390</v>
      </c>
      <c r="H1255" s="3">
        <f t="shared" si="95"/>
        <v>3312</v>
      </c>
      <c r="I1255" s="14">
        <f t="shared" si="97"/>
        <v>2102.1</v>
      </c>
      <c r="J1255" s="14">
        <f t="shared" si="98"/>
        <v>-2078</v>
      </c>
      <c r="K1255" s="1">
        <v>0.39</v>
      </c>
      <c r="L1255">
        <v>4.4000000000000004</v>
      </c>
      <c r="M1255" s="2">
        <v>6027</v>
      </c>
      <c r="N1255" t="s">
        <v>3100</v>
      </c>
      <c r="O1255">
        <f t="shared" si="99"/>
        <v>2</v>
      </c>
      <c r="P1255" s="12" t="e">
        <f>HYPERLINK(#REF!,"Link")</f>
        <v>#REF!</v>
      </c>
      <c r="Q1255" s="12" t="e">
        <f>HYPERLINK(#REF!,"Link")</f>
        <v>#REF!</v>
      </c>
    </row>
    <row r="1256" spans="1:17" x14ac:dyDescent="0.3">
      <c r="A1256" t="s">
        <v>3101</v>
      </c>
      <c r="B1256" t="s">
        <v>3102</v>
      </c>
      <c r="C1256" s="10" t="s">
        <v>3729</v>
      </c>
      <c r="D1256" s="10" t="s">
        <v>3786</v>
      </c>
      <c r="E1256" s="14">
        <v>2290</v>
      </c>
      <c r="F1256" s="3">
        <v>1399</v>
      </c>
      <c r="G1256" s="3">
        <f t="shared" si="96"/>
        <v>6870</v>
      </c>
      <c r="H1256" s="3">
        <f t="shared" si="95"/>
        <v>4197</v>
      </c>
      <c r="I1256" s="14">
        <f t="shared" si="97"/>
        <v>2679.3</v>
      </c>
      <c r="J1256" s="14">
        <f t="shared" si="98"/>
        <v>-2673</v>
      </c>
      <c r="K1256" s="1">
        <v>0.39</v>
      </c>
      <c r="L1256">
        <v>4.4000000000000004</v>
      </c>
      <c r="M1256">
        <v>461</v>
      </c>
      <c r="N1256" t="s">
        <v>3103</v>
      </c>
      <c r="O1256">
        <f t="shared" si="99"/>
        <v>3</v>
      </c>
      <c r="P1256" s="12" t="e">
        <f>HYPERLINK(#REF!,"Link")</f>
        <v>#REF!</v>
      </c>
      <c r="Q1256" s="12" t="e">
        <f>HYPERLINK(#REF!,"Link")</f>
        <v>#REF!</v>
      </c>
    </row>
    <row r="1257" spans="1:17" x14ac:dyDescent="0.3">
      <c r="A1257" t="s">
        <v>3104</v>
      </c>
      <c r="B1257" t="s">
        <v>3105</v>
      </c>
      <c r="C1257" s="9" t="s">
        <v>3790</v>
      </c>
      <c r="D1257" s="9" t="s">
        <v>3791</v>
      </c>
      <c r="E1257" s="14">
        <v>3099</v>
      </c>
      <c r="F1257" s="3">
        <v>2079</v>
      </c>
      <c r="G1257" s="3">
        <f t="shared" si="96"/>
        <v>6198</v>
      </c>
      <c r="H1257" s="3">
        <f t="shared" si="95"/>
        <v>4158</v>
      </c>
      <c r="I1257" s="14">
        <f t="shared" si="97"/>
        <v>2045.3400000000001</v>
      </c>
      <c r="J1257" s="14">
        <f t="shared" si="98"/>
        <v>-2040</v>
      </c>
      <c r="K1257" s="1">
        <v>0.33</v>
      </c>
      <c r="L1257">
        <v>4.0999999999999996</v>
      </c>
      <c r="M1257">
        <v>282</v>
      </c>
      <c r="N1257" t="s">
        <v>3106</v>
      </c>
      <c r="O1257">
        <f t="shared" si="99"/>
        <v>2</v>
      </c>
      <c r="P1257" s="12" t="e">
        <f>HYPERLINK(#REF!,"Link")</f>
        <v>#REF!</v>
      </c>
      <c r="Q1257" s="12" t="e">
        <f>HYPERLINK(#REF!,"Link")</f>
        <v>#REF!</v>
      </c>
    </row>
    <row r="1258" spans="1:17" x14ac:dyDescent="0.3">
      <c r="A1258" t="s">
        <v>3107</v>
      </c>
      <c r="B1258" t="s">
        <v>3108</v>
      </c>
      <c r="C1258" s="10" t="s">
        <v>3771</v>
      </c>
      <c r="D1258" s="10" t="s">
        <v>3792</v>
      </c>
      <c r="E1258" s="14">
        <v>1075</v>
      </c>
      <c r="F1258" s="3">
        <v>999</v>
      </c>
      <c r="G1258" s="3">
        <f t="shared" si="96"/>
        <v>2150</v>
      </c>
      <c r="H1258" s="3">
        <f t="shared" si="95"/>
        <v>1998</v>
      </c>
      <c r="I1258" s="14">
        <f t="shared" si="97"/>
        <v>150.50000000000003</v>
      </c>
      <c r="J1258" s="14">
        <f t="shared" si="98"/>
        <v>-152</v>
      </c>
      <c r="K1258" s="1">
        <v>7.0000000000000007E-2</v>
      </c>
      <c r="L1258">
        <v>4.0999999999999996</v>
      </c>
      <c r="M1258" s="2">
        <v>9275</v>
      </c>
      <c r="N1258" t="s">
        <v>3109</v>
      </c>
      <c r="O1258">
        <f t="shared" si="99"/>
        <v>2</v>
      </c>
      <c r="P1258" s="12" t="e">
        <f>HYPERLINK(#REF!,"Link")</f>
        <v>#REF!</v>
      </c>
      <c r="Q1258" s="12" t="e">
        <f>HYPERLINK(#REF!,"Link")</f>
        <v>#REF!</v>
      </c>
    </row>
    <row r="1259" spans="1:17" x14ac:dyDescent="0.3">
      <c r="A1259" t="s">
        <v>3110</v>
      </c>
      <c r="B1259" t="s">
        <v>3111</v>
      </c>
      <c r="C1259" s="9" t="s">
        <v>3793</v>
      </c>
      <c r="D1259" s="9" t="s">
        <v>3794</v>
      </c>
      <c r="E1259" s="14">
        <v>6999</v>
      </c>
      <c r="F1259" s="3">
        <v>3179</v>
      </c>
      <c r="G1259" s="3">
        <f t="shared" si="96"/>
        <v>34995</v>
      </c>
      <c r="H1259" s="3">
        <f t="shared" si="95"/>
        <v>15895</v>
      </c>
      <c r="I1259" s="14">
        <f t="shared" si="97"/>
        <v>19247.25</v>
      </c>
      <c r="J1259" s="14">
        <f t="shared" si="98"/>
        <v>-19100</v>
      </c>
      <c r="K1259" s="1">
        <v>0.55000000000000004</v>
      </c>
      <c r="L1259">
        <v>4</v>
      </c>
      <c r="M1259">
        <v>743</v>
      </c>
      <c r="N1259" t="s">
        <v>3112</v>
      </c>
      <c r="O1259">
        <f t="shared" si="99"/>
        <v>5</v>
      </c>
      <c r="P1259" s="12" t="e">
        <f>HYPERLINK(#REF!,"Link")</f>
        <v>#REF!</v>
      </c>
      <c r="Q1259" s="12" t="e">
        <f>HYPERLINK(#REF!,"Link")</f>
        <v>#REF!</v>
      </c>
    </row>
    <row r="1260" spans="1:17" x14ac:dyDescent="0.3">
      <c r="A1260" t="s">
        <v>3113</v>
      </c>
      <c r="B1260" t="s">
        <v>3114</v>
      </c>
      <c r="C1260" s="10" t="s">
        <v>3795</v>
      </c>
      <c r="D1260" s="10" t="s">
        <v>3796</v>
      </c>
      <c r="E1260" s="14">
        <v>2499</v>
      </c>
      <c r="F1260" s="3">
        <v>1049</v>
      </c>
      <c r="G1260" s="3">
        <f t="shared" si="96"/>
        <v>7497</v>
      </c>
      <c r="H1260" s="3">
        <f t="shared" si="95"/>
        <v>3147</v>
      </c>
      <c r="I1260" s="14">
        <f t="shared" si="97"/>
        <v>4348.2599999999993</v>
      </c>
      <c r="J1260" s="14">
        <f t="shared" si="98"/>
        <v>-4350</v>
      </c>
      <c r="K1260" s="1">
        <v>0.57999999999999996</v>
      </c>
      <c r="L1260">
        <v>3.6</v>
      </c>
      <c r="M1260">
        <v>328</v>
      </c>
      <c r="N1260" t="s">
        <v>3115</v>
      </c>
      <c r="O1260">
        <f t="shared" si="99"/>
        <v>3</v>
      </c>
      <c r="P1260" s="12" t="e">
        <f>HYPERLINK(#REF!,"Link")</f>
        <v>#REF!</v>
      </c>
      <c r="Q1260" s="12" t="e">
        <f>HYPERLINK(#REF!,"Link")</f>
        <v>#REF!</v>
      </c>
    </row>
    <row r="1261" spans="1:17" x14ac:dyDescent="0.3">
      <c r="A1261" t="s">
        <v>3116</v>
      </c>
      <c r="B1261" t="s">
        <v>3117</v>
      </c>
      <c r="C1261" s="9" t="s">
        <v>3771</v>
      </c>
      <c r="D1261" s="9" t="s">
        <v>3792</v>
      </c>
      <c r="E1261" s="14">
        <v>7290</v>
      </c>
      <c r="F1261" s="3">
        <v>3599</v>
      </c>
      <c r="G1261" s="3">
        <f t="shared" si="96"/>
        <v>14580</v>
      </c>
      <c r="H1261" s="3">
        <f t="shared" si="95"/>
        <v>7198</v>
      </c>
      <c r="I1261" s="14">
        <f t="shared" si="97"/>
        <v>7435.8</v>
      </c>
      <c r="J1261" s="14">
        <f t="shared" si="98"/>
        <v>-7382</v>
      </c>
      <c r="K1261" s="1">
        <v>0.51</v>
      </c>
      <c r="L1261">
        <v>3.9</v>
      </c>
      <c r="M1261">
        <v>942</v>
      </c>
      <c r="N1261" t="s">
        <v>3118</v>
      </c>
      <c r="O1261">
        <f t="shared" si="99"/>
        <v>2</v>
      </c>
      <c r="P1261" s="12" t="e">
        <f>HYPERLINK(#REF!,"Link")</f>
        <v>#REF!</v>
      </c>
      <c r="Q1261" s="12" t="e">
        <f>HYPERLINK(#REF!,"Link")</f>
        <v>#REF!</v>
      </c>
    </row>
    <row r="1262" spans="1:17" x14ac:dyDescent="0.3">
      <c r="A1262" t="s">
        <v>3119</v>
      </c>
      <c r="B1262" t="s">
        <v>3120</v>
      </c>
      <c r="C1262" s="10" t="s">
        <v>3797</v>
      </c>
      <c r="D1262" s="10"/>
      <c r="E1262" s="14">
        <v>5795</v>
      </c>
      <c r="F1262" s="3">
        <v>4799</v>
      </c>
      <c r="G1262" s="3">
        <f t="shared" si="96"/>
        <v>23180</v>
      </c>
      <c r="H1262" s="3">
        <f t="shared" si="95"/>
        <v>19196</v>
      </c>
      <c r="I1262" s="14">
        <f t="shared" si="97"/>
        <v>3940.6000000000004</v>
      </c>
      <c r="J1262" s="14">
        <f t="shared" si="98"/>
        <v>-3984</v>
      </c>
      <c r="K1262" s="1">
        <v>0.17</v>
      </c>
      <c r="L1262">
        <v>3.9</v>
      </c>
      <c r="M1262" s="2">
        <v>3815</v>
      </c>
      <c r="N1262" t="s">
        <v>3121</v>
      </c>
      <c r="O1262">
        <f t="shared" si="99"/>
        <v>4</v>
      </c>
      <c r="P1262" s="12" t="e">
        <f>HYPERLINK(#REF!,"Link")</f>
        <v>#REF!</v>
      </c>
      <c r="Q1262" s="12" t="e">
        <f>HYPERLINK(#REF!,"Link")</f>
        <v>#REF!</v>
      </c>
    </row>
    <row r="1263" spans="1:17" x14ac:dyDescent="0.3">
      <c r="A1263" t="s">
        <v>3122</v>
      </c>
      <c r="B1263" t="s">
        <v>3123</v>
      </c>
      <c r="C1263" s="9" t="s">
        <v>3798</v>
      </c>
      <c r="D1263" s="9" t="s">
        <v>3799</v>
      </c>
      <c r="E1263" s="14">
        <v>3398</v>
      </c>
      <c r="F1263" s="3">
        <v>1699</v>
      </c>
      <c r="G1263" s="3">
        <f t="shared" si="96"/>
        <v>6796</v>
      </c>
      <c r="H1263" s="3">
        <f t="shared" si="95"/>
        <v>3398</v>
      </c>
      <c r="I1263" s="14">
        <f t="shared" si="97"/>
        <v>3398</v>
      </c>
      <c r="J1263" s="14">
        <f t="shared" si="98"/>
        <v>-3398</v>
      </c>
      <c r="K1263" s="1">
        <v>0.5</v>
      </c>
      <c r="L1263">
        <v>3.8</v>
      </c>
      <c r="M1263" s="2">
        <v>7988</v>
      </c>
      <c r="N1263" t="s">
        <v>3124</v>
      </c>
      <c r="O1263">
        <f t="shared" si="99"/>
        <v>2</v>
      </c>
      <c r="P1263" s="12" t="e">
        <f>HYPERLINK(#REF!,"Link")</f>
        <v>#REF!</v>
      </c>
      <c r="Q1263" s="12" t="e">
        <f>HYPERLINK(#REF!,"Link")</f>
        <v>#REF!</v>
      </c>
    </row>
    <row r="1264" spans="1:17" x14ac:dyDescent="0.3">
      <c r="A1264" t="s">
        <v>3125</v>
      </c>
      <c r="B1264" t="s">
        <v>3126</v>
      </c>
      <c r="C1264" s="10"/>
      <c r="D1264" s="10"/>
      <c r="E1264" s="14">
        <v>1490</v>
      </c>
      <c r="F1264" s="3">
        <v>664</v>
      </c>
      <c r="G1264" s="3">
        <f t="shared" si="96"/>
        <v>2980</v>
      </c>
      <c r="H1264" s="3">
        <f t="shared" si="95"/>
        <v>1328</v>
      </c>
      <c r="I1264" s="14">
        <f t="shared" si="97"/>
        <v>1639.0000000000002</v>
      </c>
      <c r="J1264" s="14">
        <f t="shared" si="98"/>
        <v>-1652</v>
      </c>
      <c r="K1264" s="1">
        <v>0.55000000000000004</v>
      </c>
      <c r="L1264">
        <v>4.0999999999999996</v>
      </c>
      <c r="M1264">
        <v>925</v>
      </c>
      <c r="N1264" t="s">
        <v>3127</v>
      </c>
      <c r="O1264">
        <f t="shared" si="99"/>
        <v>2</v>
      </c>
      <c r="P1264" s="12" t="e">
        <f>HYPERLINK(#REF!,"Link")</f>
        <v>#REF!</v>
      </c>
      <c r="Q1264" s="12" t="e">
        <f>HYPERLINK(#REF!,"Link")</f>
        <v>#REF!</v>
      </c>
    </row>
    <row r="1265" spans="1:17" x14ac:dyDescent="0.3">
      <c r="A1265" t="s">
        <v>3128</v>
      </c>
      <c r="B1265" t="s">
        <v>3129</v>
      </c>
      <c r="C1265" s="9" t="s">
        <v>3800</v>
      </c>
      <c r="D1265" s="9"/>
      <c r="E1265" s="14">
        <v>1620</v>
      </c>
      <c r="F1265" s="3">
        <v>948</v>
      </c>
      <c r="G1265" s="3">
        <f t="shared" si="96"/>
        <v>3240</v>
      </c>
      <c r="H1265" s="3">
        <f t="shared" si="95"/>
        <v>1896</v>
      </c>
      <c r="I1265" s="14">
        <f t="shared" si="97"/>
        <v>1328.3999999999999</v>
      </c>
      <c r="J1265" s="14">
        <f t="shared" si="98"/>
        <v>-1344</v>
      </c>
      <c r="K1265" s="1">
        <v>0.41</v>
      </c>
      <c r="L1265">
        <v>4.0999999999999996</v>
      </c>
      <c r="M1265" s="2">
        <v>4370</v>
      </c>
      <c r="N1265" t="s">
        <v>3130</v>
      </c>
      <c r="O1265">
        <f t="shared" si="99"/>
        <v>2</v>
      </c>
      <c r="P1265" s="12" t="e">
        <f>HYPERLINK(#REF!,"Link")</f>
        <v>#REF!</v>
      </c>
      <c r="Q1265" s="12" t="e">
        <f>HYPERLINK(#REF!,"Link")</f>
        <v>#REF!</v>
      </c>
    </row>
    <row r="1266" spans="1:17" x14ac:dyDescent="0.3">
      <c r="A1266" t="s">
        <v>3131</v>
      </c>
      <c r="B1266" t="s">
        <v>3132</v>
      </c>
      <c r="C1266" s="10" t="s">
        <v>3755</v>
      </c>
      <c r="D1266" s="10" t="s">
        <v>3801</v>
      </c>
      <c r="E1266" s="14">
        <v>1000</v>
      </c>
      <c r="F1266" s="3">
        <v>850</v>
      </c>
      <c r="G1266" s="3">
        <f t="shared" si="96"/>
        <v>5000</v>
      </c>
      <c r="H1266" s="3">
        <f t="shared" si="95"/>
        <v>4250</v>
      </c>
      <c r="I1266" s="14">
        <f t="shared" si="97"/>
        <v>750</v>
      </c>
      <c r="J1266" s="14">
        <f t="shared" si="98"/>
        <v>-750</v>
      </c>
      <c r="K1266" s="1">
        <v>0.15</v>
      </c>
      <c r="L1266">
        <v>4.0999999999999996</v>
      </c>
      <c r="M1266" s="2">
        <v>7619</v>
      </c>
      <c r="N1266" t="s">
        <v>3133</v>
      </c>
      <c r="O1266">
        <f t="shared" si="99"/>
        <v>5</v>
      </c>
      <c r="P1266" s="12" t="e">
        <f>HYPERLINK(#REF!,"Link")</f>
        <v>#REF!</v>
      </c>
      <c r="Q1266" s="12" t="e">
        <f>HYPERLINK(#REF!,"Link")</f>
        <v>#REF!</v>
      </c>
    </row>
    <row r="1267" spans="1:17" x14ac:dyDescent="0.3">
      <c r="A1267" t="s">
        <v>3134</v>
      </c>
      <c r="B1267" t="s">
        <v>3135</v>
      </c>
      <c r="C1267" s="9" t="s">
        <v>3744</v>
      </c>
      <c r="D1267" s="9" t="s">
        <v>3802</v>
      </c>
      <c r="E1267" s="14">
        <v>640</v>
      </c>
      <c r="F1267" s="3">
        <v>600</v>
      </c>
      <c r="G1267" s="3">
        <f t="shared" si="96"/>
        <v>1280</v>
      </c>
      <c r="H1267" s="3">
        <f t="shared" si="95"/>
        <v>1200</v>
      </c>
      <c r="I1267" s="14">
        <f t="shared" si="97"/>
        <v>76.8</v>
      </c>
      <c r="J1267" s="14">
        <f t="shared" si="98"/>
        <v>-80</v>
      </c>
      <c r="K1267" s="1">
        <v>0.06</v>
      </c>
      <c r="L1267">
        <v>3.8</v>
      </c>
      <c r="M1267" s="2">
        <v>2593</v>
      </c>
      <c r="N1267" t="s">
        <v>3136</v>
      </c>
      <c r="O1267">
        <f t="shared" si="99"/>
        <v>2</v>
      </c>
      <c r="P1267" s="12" t="e">
        <f>HYPERLINK(#REF!,"Link")</f>
        <v>#REF!</v>
      </c>
      <c r="Q1267" s="12" t="e">
        <f>HYPERLINK(#REF!,"Link")</f>
        <v>#REF!</v>
      </c>
    </row>
    <row r="1268" spans="1:17" x14ac:dyDescent="0.3">
      <c r="A1268" t="s">
        <v>3137</v>
      </c>
      <c r="B1268" t="s">
        <v>3138</v>
      </c>
      <c r="C1268" s="10"/>
      <c r="D1268" s="10"/>
      <c r="E1268" s="14">
        <v>4495</v>
      </c>
      <c r="F1268" s="3">
        <v>3711</v>
      </c>
      <c r="G1268" s="3">
        <f t="shared" si="96"/>
        <v>8990</v>
      </c>
      <c r="H1268" s="3">
        <f t="shared" si="95"/>
        <v>7422</v>
      </c>
      <c r="I1268" s="14">
        <f t="shared" si="97"/>
        <v>1528.3000000000002</v>
      </c>
      <c r="J1268" s="14">
        <f t="shared" si="98"/>
        <v>-1568</v>
      </c>
      <c r="K1268" s="1">
        <v>0.17</v>
      </c>
      <c r="L1268">
        <v>4.3</v>
      </c>
      <c r="M1268">
        <v>356</v>
      </c>
      <c r="N1268" t="s">
        <v>3139</v>
      </c>
      <c r="O1268">
        <f t="shared" si="99"/>
        <v>2</v>
      </c>
      <c r="P1268" s="12" t="e">
        <f>HYPERLINK(#REF!,"Link")</f>
        <v>#REF!</v>
      </c>
      <c r="Q1268" s="12" t="e">
        <f>HYPERLINK(#REF!,"Link")</f>
        <v>#REF!</v>
      </c>
    </row>
    <row r="1269" spans="1:17" x14ac:dyDescent="0.3">
      <c r="A1269" t="s">
        <v>3140</v>
      </c>
      <c r="B1269" t="s">
        <v>3141</v>
      </c>
      <c r="C1269" s="9" t="s">
        <v>3779</v>
      </c>
      <c r="D1269" s="9" t="s">
        <v>3780</v>
      </c>
      <c r="E1269" s="14">
        <v>2999</v>
      </c>
      <c r="F1269" s="3">
        <v>799</v>
      </c>
      <c r="G1269" s="3">
        <f t="shared" si="96"/>
        <v>11996</v>
      </c>
      <c r="H1269" s="3">
        <f t="shared" si="95"/>
        <v>3196</v>
      </c>
      <c r="I1269" s="14">
        <f t="shared" si="97"/>
        <v>8757.08</v>
      </c>
      <c r="J1269" s="14">
        <f t="shared" si="98"/>
        <v>-8800</v>
      </c>
      <c r="K1269" s="1">
        <v>0.73</v>
      </c>
      <c r="L1269">
        <v>4.5</v>
      </c>
      <c r="M1269">
        <v>63</v>
      </c>
      <c r="N1269" t="s">
        <v>3142</v>
      </c>
      <c r="O1269">
        <f t="shared" si="99"/>
        <v>4</v>
      </c>
      <c r="P1269" s="12" t="e">
        <f>HYPERLINK(#REF!,"Link")</f>
        <v>#REF!</v>
      </c>
      <c r="Q1269" s="12" t="e">
        <f>HYPERLINK(#REF!,"Link")</f>
        <v>#REF!</v>
      </c>
    </row>
    <row r="1270" spans="1:17" x14ac:dyDescent="0.3">
      <c r="A1270" t="s">
        <v>3143</v>
      </c>
      <c r="B1270" t="s">
        <v>2730</v>
      </c>
      <c r="C1270" s="10" t="s">
        <v>3803</v>
      </c>
      <c r="D1270" s="10"/>
      <c r="E1270" s="14">
        <v>980</v>
      </c>
      <c r="F1270" s="3">
        <v>980</v>
      </c>
      <c r="G1270" s="3">
        <f t="shared" si="96"/>
        <v>1960</v>
      </c>
      <c r="H1270" s="3">
        <f t="shared" si="95"/>
        <v>1960</v>
      </c>
      <c r="I1270" s="14">
        <f t="shared" si="97"/>
        <v>0</v>
      </c>
      <c r="J1270" s="14">
        <f t="shared" si="98"/>
        <v>0</v>
      </c>
      <c r="K1270" s="1">
        <v>0</v>
      </c>
      <c r="L1270">
        <v>4.2</v>
      </c>
      <c r="M1270" s="2">
        <v>4740</v>
      </c>
      <c r="N1270" t="s">
        <v>3144</v>
      </c>
      <c r="O1270">
        <f t="shared" si="99"/>
        <v>2</v>
      </c>
      <c r="P1270" s="12" t="e">
        <f>HYPERLINK(#REF!,"Link")</f>
        <v>#REF!</v>
      </c>
      <c r="Q1270" s="12" t="e">
        <f>HYPERLINK(#REF!,"Link")</f>
        <v>#REF!</v>
      </c>
    </row>
    <row r="1271" spans="1:17" x14ac:dyDescent="0.3">
      <c r="A1271" t="s">
        <v>3145</v>
      </c>
      <c r="B1271" t="s">
        <v>3146</v>
      </c>
      <c r="C1271" s="9" t="s">
        <v>3727</v>
      </c>
      <c r="D1271" s="9" t="s">
        <v>3804</v>
      </c>
      <c r="E1271" s="14">
        <v>899</v>
      </c>
      <c r="F1271" s="3">
        <v>351</v>
      </c>
      <c r="G1271" s="3">
        <f t="shared" si="96"/>
        <v>1798</v>
      </c>
      <c r="H1271" s="3">
        <f t="shared" si="95"/>
        <v>702</v>
      </c>
      <c r="I1271" s="14">
        <f t="shared" si="97"/>
        <v>1096.78</v>
      </c>
      <c r="J1271" s="14">
        <f t="shared" si="98"/>
        <v>-1096</v>
      </c>
      <c r="K1271" s="1">
        <v>0.61</v>
      </c>
      <c r="L1271">
        <v>3.9</v>
      </c>
      <c r="M1271">
        <v>296</v>
      </c>
      <c r="N1271" t="s">
        <v>3147</v>
      </c>
      <c r="O1271">
        <f t="shared" si="99"/>
        <v>2</v>
      </c>
      <c r="P1271" s="12" t="e">
        <f>HYPERLINK(#REF!,"Link")</f>
        <v>#REF!</v>
      </c>
      <c r="Q1271" s="12" t="e">
        <f>HYPERLINK(#REF!,"Link")</f>
        <v>#REF!</v>
      </c>
    </row>
    <row r="1272" spans="1:17" x14ac:dyDescent="0.3">
      <c r="A1272" t="s">
        <v>3148</v>
      </c>
      <c r="B1272" t="s">
        <v>3149</v>
      </c>
      <c r="C1272" s="10" t="s">
        <v>3738</v>
      </c>
      <c r="D1272" s="10" t="s">
        <v>3805</v>
      </c>
      <c r="E1272" s="14">
        <v>499</v>
      </c>
      <c r="F1272" s="3">
        <v>229</v>
      </c>
      <c r="G1272" s="3">
        <f t="shared" si="96"/>
        <v>1497</v>
      </c>
      <c r="H1272" s="3">
        <f t="shared" si="95"/>
        <v>687</v>
      </c>
      <c r="I1272" s="14">
        <f t="shared" si="97"/>
        <v>808.38000000000011</v>
      </c>
      <c r="J1272" s="14">
        <f t="shared" si="98"/>
        <v>-810</v>
      </c>
      <c r="K1272" s="1">
        <v>0.54</v>
      </c>
      <c r="L1272">
        <v>3.5</v>
      </c>
      <c r="M1272">
        <v>185</v>
      </c>
      <c r="N1272" t="s">
        <v>3150</v>
      </c>
      <c r="O1272">
        <f t="shared" si="99"/>
        <v>3</v>
      </c>
      <c r="P1272" s="12" t="e">
        <f>HYPERLINK(#REF!,"Link")</f>
        <v>#REF!</v>
      </c>
      <c r="Q1272" s="12" t="e">
        <f>HYPERLINK(#REF!,"Link")</f>
        <v>#REF!</v>
      </c>
    </row>
    <row r="1273" spans="1:17" x14ac:dyDescent="0.3">
      <c r="A1273" t="s">
        <v>3151</v>
      </c>
      <c r="B1273" t="s">
        <v>3096</v>
      </c>
      <c r="C1273" s="9" t="s">
        <v>3729</v>
      </c>
      <c r="D1273" s="9" t="s">
        <v>3786</v>
      </c>
      <c r="E1273" s="14">
        <v>3995</v>
      </c>
      <c r="F1273" s="3">
        <v>3349</v>
      </c>
      <c r="G1273" s="3">
        <f t="shared" si="96"/>
        <v>7990</v>
      </c>
      <c r="H1273" s="3">
        <f t="shared" si="95"/>
        <v>6698</v>
      </c>
      <c r="I1273" s="14">
        <f t="shared" si="97"/>
        <v>1278.4000000000001</v>
      </c>
      <c r="J1273" s="14">
        <f t="shared" si="98"/>
        <v>-1292</v>
      </c>
      <c r="K1273" s="1">
        <v>0.16</v>
      </c>
      <c r="L1273">
        <v>4.3</v>
      </c>
      <c r="M1273" s="2">
        <v>1954</v>
      </c>
      <c r="N1273" t="s">
        <v>3152</v>
      </c>
      <c r="O1273">
        <f t="shared" si="99"/>
        <v>2</v>
      </c>
      <c r="P1273" s="12" t="e">
        <f>HYPERLINK(#REF!,"Link")</f>
        <v>#REF!</v>
      </c>
      <c r="Q1273" s="12" t="e">
        <f>HYPERLINK(#REF!,"Link")</f>
        <v>#REF!</v>
      </c>
    </row>
    <row r="1274" spans="1:17" x14ac:dyDescent="0.3">
      <c r="A1274" t="s">
        <v>3153</v>
      </c>
      <c r="B1274" t="s">
        <v>2480</v>
      </c>
      <c r="C1274" s="10" t="s">
        <v>3729</v>
      </c>
      <c r="D1274" s="10" t="s">
        <v>3806</v>
      </c>
      <c r="E1274" s="14">
        <v>11500</v>
      </c>
      <c r="F1274" s="3">
        <v>5499</v>
      </c>
      <c r="G1274" s="3">
        <f t="shared" si="96"/>
        <v>23000</v>
      </c>
      <c r="H1274" s="3">
        <f t="shared" si="95"/>
        <v>10998</v>
      </c>
      <c r="I1274" s="14">
        <f t="shared" si="97"/>
        <v>11960</v>
      </c>
      <c r="J1274" s="14">
        <f t="shared" si="98"/>
        <v>-12002</v>
      </c>
      <c r="K1274" s="1">
        <v>0.52</v>
      </c>
      <c r="L1274">
        <v>3.9</v>
      </c>
      <c r="M1274">
        <v>959</v>
      </c>
      <c r="N1274" t="s">
        <v>3154</v>
      </c>
      <c r="O1274">
        <f t="shared" si="99"/>
        <v>2</v>
      </c>
      <c r="P1274" s="12" t="e">
        <f>HYPERLINK(#REF!,"Link")</f>
        <v>#REF!</v>
      </c>
      <c r="Q1274" s="12" t="e">
        <f>HYPERLINK(#REF!,"Link")</f>
        <v>#REF!</v>
      </c>
    </row>
    <row r="1275" spans="1:17" x14ac:dyDescent="0.3">
      <c r="A1275" t="s">
        <v>3155</v>
      </c>
      <c r="B1275" t="s">
        <v>3156</v>
      </c>
      <c r="C1275" s="9"/>
      <c r="D1275" s="9"/>
      <c r="E1275" s="14">
        <v>499</v>
      </c>
      <c r="F1275" s="3">
        <v>299</v>
      </c>
      <c r="G1275" s="3">
        <f t="shared" si="96"/>
        <v>1497</v>
      </c>
      <c r="H1275" s="3">
        <f t="shared" si="95"/>
        <v>897</v>
      </c>
      <c r="I1275" s="14">
        <f t="shared" si="97"/>
        <v>598.80000000000007</v>
      </c>
      <c r="J1275" s="14">
        <f t="shared" si="98"/>
        <v>-600</v>
      </c>
      <c r="K1275" s="1">
        <v>0.4</v>
      </c>
      <c r="L1275">
        <v>3.9</v>
      </c>
      <c r="M1275" s="2">
        <v>1015</v>
      </c>
      <c r="N1275" t="s">
        <v>3157</v>
      </c>
      <c r="O1275">
        <f t="shared" si="99"/>
        <v>3</v>
      </c>
      <c r="P1275" s="12" t="e">
        <f>HYPERLINK(#REF!,"Link")</f>
        <v>#REF!</v>
      </c>
      <c r="Q1275" s="12" t="e">
        <f>HYPERLINK(#REF!,"Link")</f>
        <v>#REF!</v>
      </c>
    </row>
    <row r="1276" spans="1:17" x14ac:dyDescent="0.3">
      <c r="A1276" t="s">
        <v>3158</v>
      </c>
      <c r="B1276" t="s">
        <v>3159</v>
      </c>
      <c r="C1276" s="10" t="s">
        <v>3807</v>
      </c>
      <c r="D1276" s="10" t="s">
        <v>3808</v>
      </c>
      <c r="E1276" s="14">
        <v>3550</v>
      </c>
      <c r="F1276" s="3">
        <v>2249</v>
      </c>
      <c r="G1276" s="3">
        <f t="shared" si="96"/>
        <v>14200</v>
      </c>
      <c r="H1276" s="3">
        <f t="shared" si="95"/>
        <v>8996</v>
      </c>
      <c r="I1276" s="14">
        <f t="shared" si="97"/>
        <v>5254</v>
      </c>
      <c r="J1276" s="14">
        <f t="shared" si="98"/>
        <v>-5204</v>
      </c>
      <c r="K1276" s="1">
        <v>0.37</v>
      </c>
      <c r="L1276">
        <v>4</v>
      </c>
      <c r="M1276" s="2">
        <v>3973</v>
      </c>
      <c r="N1276" t="s">
        <v>3160</v>
      </c>
      <c r="O1276">
        <f t="shared" si="99"/>
        <v>4</v>
      </c>
      <c r="P1276" s="12" t="e">
        <f>HYPERLINK(#REF!,"Link")</f>
        <v>#REF!</v>
      </c>
      <c r="Q1276" s="12" t="e">
        <f>HYPERLINK(#REF!,"Link")</f>
        <v>#REF!</v>
      </c>
    </row>
    <row r="1277" spans="1:17" x14ac:dyDescent="0.3">
      <c r="A1277" t="s">
        <v>3161</v>
      </c>
      <c r="B1277" t="s">
        <v>3162</v>
      </c>
      <c r="C1277" s="9" t="s">
        <v>3729</v>
      </c>
      <c r="D1277" s="9" t="s">
        <v>3809</v>
      </c>
      <c r="E1277" s="14">
        <v>1599</v>
      </c>
      <c r="F1277" s="3">
        <v>699</v>
      </c>
      <c r="G1277" s="3">
        <f t="shared" si="96"/>
        <v>6396</v>
      </c>
      <c r="H1277" s="3">
        <f t="shared" si="95"/>
        <v>2796</v>
      </c>
      <c r="I1277" s="14">
        <f t="shared" si="97"/>
        <v>3581.76</v>
      </c>
      <c r="J1277" s="14">
        <f t="shared" si="98"/>
        <v>-3600</v>
      </c>
      <c r="K1277" s="1">
        <v>0.56000000000000005</v>
      </c>
      <c r="L1277">
        <v>4.7</v>
      </c>
      <c r="M1277" s="2">
        <v>2300</v>
      </c>
      <c r="N1277" t="s">
        <v>3163</v>
      </c>
      <c r="O1277">
        <f t="shared" si="99"/>
        <v>4</v>
      </c>
      <c r="P1277" s="12" t="e">
        <f>HYPERLINK(#REF!,"Link")</f>
        <v>#REF!</v>
      </c>
      <c r="Q1277" s="12" t="e">
        <f>HYPERLINK(#REF!,"Link")</f>
        <v>#REF!</v>
      </c>
    </row>
    <row r="1278" spans="1:17" x14ac:dyDescent="0.3">
      <c r="A1278" t="s">
        <v>3164</v>
      </c>
      <c r="B1278" t="s">
        <v>3165</v>
      </c>
      <c r="C1278" s="10" t="s">
        <v>3810</v>
      </c>
      <c r="D1278" s="10" t="s">
        <v>3811</v>
      </c>
      <c r="E1278" s="14">
        <v>1499</v>
      </c>
      <c r="F1278" s="3">
        <v>1235</v>
      </c>
      <c r="G1278" s="3">
        <f t="shared" si="96"/>
        <v>4497</v>
      </c>
      <c r="H1278" s="3">
        <f t="shared" si="95"/>
        <v>3705</v>
      </c>
      <c r="I1278" s="14">
        <f t="shared" si="97"/>
        <v>809.46</v>
      </c>
      <c r="J1278" s="14">
        <f t="shared" si="98"/>
        <v>-792</v>
      </c>
      <c r="K1278" s="1">
        <v>0.18</v>
      </c>
      <c r="L1278">
        <v>4.0999999999999996</v>
      </c>
      <c r="M1278">
        <v>203</v>
      </c>
      <c r="N1278" t="s">
        <v>3166</v>
      </c>
      <c r="O1278">
        <f t="shared" si="99"/>
        <v>3</v>
      </c>
      <c r="P1278" s="12" t="e">
        <f>HYPERLINK(#REF!,"Link")</f>
        <v>#REF!</v>
      </c>
      <c r="Q1278" s="12" t="e">
        <f>HYPERLINK(#REF!,"Link")</f>
        <v>#REF!</v>
      </c>
    </row>
    <row r="1279" spans="1:17" x14ac:dyDescent="0.3">
      <c r="A1279" t="s">
        <v>3167</v>
      </c>
      <c r="B1279" t="s">
        <v>3168</v>
      </c>
      <c r="C1279" s="9" t="s">
        <v>3812</v>
      </c>
      <c r="D1279" s="9" t="s">
        <v>3764</v>
      </c>
      <c r="E1279" s="14">
        <v>2999</v>
      </c>
      <c r="F1279" s="3">
        <v>1349</v>
      </c>
      <c r="G1279" s="3">
        <f t="shared" si="96"/>
        <v>5998</v>
      </c>
      <c r="H1279" s="3">
        <f t="shared" si="95"/>
        <v>2698</v>
      </c>
      <c r="I1279" s="14">
        <f t="shared" si="97"/>
        <v>3298.9</v>
      </c>
      <c r="J1279" s="14">
        <f t="shared" si="98"/>
        <v>-3300</v>
      </c>
      <c r="K1279" s="1">
        <v>0.55000000000000004</v>
      </c>
      <c r="L1279">
        <v>3.8</v>
      </c>
      <c r="M1279">
        <v>441</v>
      </c>
      <c r="N1279" t="s">
        <v>3169</v>
      </c>
      <c r="O1279">
        <f t="shared" si="99"/>
        <v>2</v>
      </c>
      <c r="P1279" s="12" t="e">
        <f>HYPERLINK(#REF!,"Link")</f>
        <v>#REF!</v>
      </c>
      <c r="Q1279" s="12" t="e">
        <f>HYPERLINK(#REF!,"Link")</f>
        <v>#REF!</v>
      </c>
    </row>
    <row r="1280" spans="1:17" x14ac:dyDescent="0.3">
      <c r="A1280" t="s">
        <v>3170</v>
      </c>
      <c r="B1280" t="s">
        <v>3171</v>
      </c>
      <c r="C1280" s="10" t="s">
        <v>3793</v>
      </c>
      <c r="D1280" s="10" t="s">
        <v>3813</v>
      </c>
      <c r="E1280" s="14">
        <v>11500</v>
      </c>
      <c r="F1280" s="3">
        <v>6800</v>
      </c>
      <c r="G1280" s="3">
        <f t="shared" si="96"/>
        <v>11500</v>
      </c>
      <c r="H1280" s="3">
        <f t="shared" si="95"/>
        <v>6800</v>
      </c>
      <c r="I1280" s="14">
        <f t="shared" si="97"/>
        <v>4715</v>
      </c>
      <c r="J1280" s="14">
        <f t="shared" si="98"/>
        <v>-4700</v>
      </c>
      <c r="K1280" s="1">
        <v>0.41</v>
      </c>
      <c r="L1280">
        <v>4.0999999999999996</v>
      </c>
      <c r="M1280" s="2">
        <v>10308</v>
      </c>
      <c r="N1280" t="s">
        <v>3172</v>
      </c>
      <c r="O1280">
        <f t="shared" si="99"/>
        <v>1</v>
      </c>
      <c r="P1280" s="12" t="e">
        <f>HYPERLINK(#REF!,"Link")</f>
        <v>#REF!</v>
      </c>
      <c r="Q1280" s="12" t="e">
        <f>HYPERLINK(#REF!,"Link")</f>
        <v>#REF!</v>
      </c>
    </row>
    <row r="1281" spans="1:17" x14ac:dyDescent="0.3">
      <c r="A1281" t="s">
        <v>3173</v>
      </c>
      <c r="B1281" t="s">
        <v>3174</v>
      </c>
      <c r="C1281" s="9" t="s">
        <v>3787</v>
      </c>
      <c r="D1281" s="9" t="s">
        <v>3814</v>
      </c>
      <c r="E1281" s="14">
        <v>2499</v>
      </c>
      <c r="F1281" s="3">
        <v>2099</v>
      </c>
      <c r="G1281" s="3">
        <f t="shared" si="96"/>
        <v>12495</v>
      </c>
      <c r="H1281" s="3">
        <f t="shared" si="95"/>
        <v>10495</v>
      </c>
      <c r="I1281" s="14">
        <f t="shared" si="97"/>
        <v>1999.2000000000003</v>
      </c>
      <c r="J1281" s="14">
        <f t="shared" si="98"/>
        <v>-2000</v>
      </c>
      <c r="K1281" s="1">
        <v>0.16</v>
      </c>
      <c r="L1281" t="s">
        <v>3175</v>
      </c>
      <c r="M1281">
        <v>992</v>
      </c>
      <c r="N1281" t="s">
        <v>3176</v>
      </c>
      <c r="O1281">
        <f t="shared" si="99"/>
        <v>5</v>
      </c>
      <c r="P1281" s="12" t="e">
        <f>HYPERLINK(#REF!,"Link")</f>
        <v>#REF!</v>
      </c>
      <c r="Q1281" s="12" t="e">
        <f>HYPERLINK(#REF!,"Link")</f>
        <v>#REF!</v>
      </c>
    </row>
    <row r="1282" spans="1:17" x14ac:dyDescent="0.3">
      <c r="A1282" t="s">
        <v>3177</v>
      </c>
      <c r="B1282" t="s">
        <v>3178</v>
      </c>
      <c r="C1282" s="10" t="s">
        <v>3815</v>
      </c>
      <c r="D1282" s="10"/>
      <c r="E1282" s="14">
        <v>1975</v>
      </c>
      <c r="F1282" s="3">
        <v>1699</v>
      </c>
      <c r="G1282" s="3">
        <f t="shared" si="96"/>
        <v>9875</v>
      </c>
      <c r="H1282" s="3">
        <f t="shared" ref="H1282:H1345" si="100">F1282*O1282</f>
        <v>8495</v>
      </c>
      <c r="I1282" s="14">
        <f t="shared" si="97"/>
        <v>1382.5</v>
      </c>
      <c r="J1282" s="14">
        <f t="shared" si="98"/>
        <v>-1380</v>
      </c>
      <c r="K1282" s="1">
        <v>0.14000000000000001</v>
      </c>
      <c r="L1282">
        <v>4.0999999999999996</v>
      </c>
      <c r="M1282" s="2">
        <v>4716</v>
      </c>
      <c r="N1282" t="s">
        <v>3179</v>
      </c>
      <c r="O1282">
        <f t="shared" si="99"/>
        <v>5</v>
      </c>
      <c r="P1282" s="12" t="e">
        <f>HYPERLINK(#REF!,"Link")</f>
        <v>#REF!</v>
      </c>
      <c r="Q1282" s="12" t="e">
        <f>HYPERLINK(#REF!,"Link")</f>
        <v>#REF!</v>
      </c>
    </row>
    <row r="1283" spans="1:17" x14ac:dyDescent="0.3">
      <c r="A1283" t="s">
        <v>3180</v>
      </c>
      <c r="B1283" t="s">
        <v>3181</v>
      </c>
      <c r="C1283" s="9" t="s">
        <v>3816</v>
      </c>
      <c r="D1283" s="9" t="s">
        <v>3817</v>
      </c>
      <c r="E1283" s="14">
        <v>1699</v>
      </c>
      <c r="F1283" s="3">
        <v>1069</v>
      </c>
      <c r="G1283" s="3">
        <f t="shared" ref="G1283:G1346" si="101">E1283*O1283</f>
        <v>3398</v>
      </c>
      <c r="H1283" s="3">
        <f t="shared" si="100"/>
        <v>2138</v>
      </c>
      <c r="I1283" s="14">
        <f t="shared" ref="I1283:I1346" si="102">(E1283*K1283)*O1283</f>
        <v>1257.26</v>
      </c>
      <c r="J1283" s="14">
        <f t="shared" ref="J1283:J1346" si="103">H1283-G1283</f>
        <v>-1260</v>
      </c>
      <c r="K1283" s="1">
        <v>0.37</v>
      </c>
      <c r="L1283">
        <v>3.9</v>
      </c>
      <c r="M1283">
        <v>313</v>
      </c>
      <c r="N1283" t="s">
        <v>3182</v>
      </c>
      <c r="O1283">
        <f t="shared" ref="O1283:O1346" si="104">LEN(N1283)-LEN(SUBSTITUTE(N1283,",",""))+1</f>
        <v>2</v>
      </c>
      <c r="P1283" s="12" t="e">
        <f>HYPERLINK(#REF!,"Link")</f>
        <v>#REF!</v>
      </c>
      <c r="Q1283" s="12" t="e">
        <f>HYPERLINK(#REF!,"Link")</f>
        <v>#REF!</v>
      </c>
    </row>
    <row r="1284" spans="1:17" x14ac:dyDescent="0.3">
      <c r="A1284" t="s">
        <v>3183</v>
      </c>
      <c r="B1284" t="s">
        <v>3184</v>
      </c>
      <c r="C1284" s="10" t="s">
        <v>3744</v>
      </c>
      <c r="D1284" s="10" t="s">
        <v>3818</v>
      </c>
      <c r="E1284" s="14">
        <v>2495</v>
      </c>
      <c r="F1284" s="3">
        <v>1349</v>
      </c>
      <c r="G1284" s="3">
        <f t="shared" si="101"/>
        <v>4990</v>
      </c>
      <c r="H1284" s="3">
        <f t="shared" si="100"/>
        <v>2698</v>
      </c>
      <c r="I1284" s="14">
        <f t="shared" si="102"/>
        <v>2295.4</v>
      </c>
      <c r="J1284" s="14">
        <f t="shared" si="103"/>
        <v>-2292</v>
      </c>
      <c r="K1284" s="1">
        <v>0.46</v>
      </c>
      <c r="L1284">
        <v>3.8</v>
      </c>
      <c r="M1284">
        <v>166</v>
      </c>
      <c r="N1284" t="s">
        <v>3185</v>
      </c>
      <c r="O1284">
        <f t="shared" si="104"/>
        <v>2</v>
      </c>
      <c r="P1284" s="12" t="e">
        <f>HYPERLINK(#REF!,"Link")</f>
        <v>#REF!</v>
      </c>
      <c r="Q1284" s="12" t="e">
        <f>HYPERLINK(#REF!,"Link")</f>
        <v>#REF!</v>
      </c>
    </row>
    <row r="1285" spans="1:17" x14ac:dyDescent="0.3">
      <c r="A1285" t="s">
        <v>3186</v>
      </c>
      <c r="B1285" t="s">
        <v>3187</v>
      </c>
      <c r="C1285" s="9" t="s">
        <v>3768</v>
      </c>
      <c r="D1285" s="9" t="s">
        <v>3819</v>
      </c>
      <c r="E1285" s="14">
        <v>3500</v>
      </c>
      <c r="F1285" s="3">
        <v>1499</v>
      </c>
      <c r="G1285" s="3">
        <f t="shared" si="101"/>
        <v>14000</v>
      </c>
      <c r="H1285" s="3">
        <f t="shared" si="100"/>
        <v>5996</v>
      </c>
      <c r="I1285" s="14">
        <f t="shared" si="102"/>
        <v>7979.9999999999991</v>
      </c>
      <c r="J1285" s="14">
        <f t="shared" si="103"/>
        <v>-8004</v>
      </c>
      <c r="K1285" s="1">
        <v>0.56999999999999995</v>
      </c>
      <c r="L1285">
        <v>4.0999999999999996</v>
      </c>
      <c r="M1285">
        <v>303</v>
      </c>
      <c r="N1285" t="s">
        <v>3188</v>
      </c>
      <c r="O1285">
        <f t="shared" si="104"/>
        <v>4</v>
      </c>
      <c r="P1285" s="12" t="e">
        <f>HYPERLINK(#REF!,"Link")</f>
        <v>#REF!</v>
      </c>
      <c r="Q1285" s="12" t="e">
        <f>HYPERLINK(#REF!,"Link")</f>
        <v>#REF!</v>
      </c>
    </row>
    <row r="1286" spans="1:17" x14ac:dyDescent="0.3">
      <c r="A1286" t="s">
        <v>3189</v>
      </c>
      <c r="B1286" t="s">
        <v>3190</v>
      </c>
      <c r="C1286" s="10" t="s">
        <v>3820</v>
      </c>
      <c r="D1286" s="10"/>
      <c r="E1286" s="14">
        <v>4600</v>
      </c>
      <c r="F1286" s="3">
        <v>2092</v>
      </c>
      <c r="G1286" s="3">
        <f t="shared" si="101"/>
        <v>27600</v>
      </c>
      <c r="H1286" s="3">
        <f t="shared" si="100"/>
        <v>12552</v>
      </c>
      <c r="I1286" s="14">
        <f t="shared" si="102"/>
        <v>15180</v>
      </c>
      <c r="J1286" s="14">
        <f t="shared" si="103"/>
        <v>-15048</v>
      </c>
      <c r="K1286" s="1">
        <v>0.55000000000000004</v>
      </c>
      <c r="L1286">
        <v>4.3</v>
      </c>
      <c r="M1286">
        <v>562</v>
      </c>
      <c r="N1286" t="s">
        <v>3191</v>
      </c>
      <c r="O1286">
        <f t="shared" si="104"/>
        <v>6</v>
      </c>
      <c r="P1286" s="12" t="e">
        <f>HYPERLINK(#REF!,"Link")</f>
        <v>#REF!</v>
      </c>
      <c r="Q1286" s="12" t="e">
        <f>HYPERLINK(#REF!,"Link")</f>
        <v>#REF!</v>
      </c>
    </row>
    <row r="1287" spans="1:17" x14ac:dyDescent="0.3">
      <c r="A1287" t="s">
        <v>3192</v>
      </c>
      <c r="B1287" t="s">
        <v>3193</v>
      </c>
      <c r="C1287" s="9" t="s">
        <v>3725</v>
      </c>
      <c r="D1287" s="9" t="s">
        <v>3726</v>
      </c>
      <c r="E1287" s="14">
        <v>10295</v>
      </c>
      <c r="F1287" s="3">
        <v>3859</v>
      </c>
      <c r="G1287" s="3">
        <f t="shared" si="101"/>
        <v>61770</v>
      </c>
      <c r="H1287" s="3">
        <f t="shared" si="100"/>
        <v>23154</v>
      </c>
      <c r="I1287" s="14">
        <f t="shared" si="102"/>
        <v>38915.100000000006</v>
      </c>
      <c r="J1287" s="14">
        <f t="shared" si="103"/>
        <v>-38616</v>
      </c>
      <c r="K1287" s="1">
        <v>0.63</v>
      </c>
      <c r="L1287">
        <v>3.9</v>
      </c>
      <c r="M1287" s="2">
        <v>8095</v>
      </c>
      <c r="N1287" t="s">
        <v>3194</v>
      </c>
      <c r="O1287">
        <f t="shared" si="104"/>
        <v>6</v>
      </c>
      <c r="P1287" s="12" t="e">
        <f>HYPERLINK(#REF!,"Link")</f>
        <v>#REF!</v>
      </c>
      <c r="Q1287" s="12" t="e">
        <f>HYPERLINK(#REF!,"Link")</f>
        <v>#REF!</v>
      </c>
    </row>
    <row r="1288" spans="1:17" x14ac:dyDescent="0.3">
      <c r="A1288" t="s">
        <v>3195</v>
      </c>
      <c r="B1288" t="s">
        <v>3196</v>
      </c>
      <c r="C1288" s="10" t="s">
        <v>3821</v>
      </c>
      <c r="D1288" s="10"/>
      <c r="E1288" s="14">
        <v>2199</v>
      </c>
      <c r="F1288" s="3">
        <v>499</v>
      </c>
      <c r="G1288" s="3">
        <f t="shared" si="101"/>
        <v>4398</v>
      </c>
      <c r="H1288" s="3">
        <f t="shared" si="100"/>
        <v>998</v>
      </c>
      <c r="I1288" s="14">
        <f t="shared" si="102"/>
        <v>3386.46</v>
      </c>
      <c r="J1288" s="14">
        <f t="shared" si="103"/>
        <v>-3400</v>
      </c>
      <c r="K1288" s="1">
        <v>0.77</v>
      </c>
      <c r="L1288">
        <v>2.8</v>
      </c>
      <c r="M1288">
        <v>109</v>
      </c>
      <c r="N1288" t="s">
        <v>3197</v>
      </c>
      <c r="O1288">
        <f t="shared" si="104"/>
        <v>2</v>
      </c>
      <c r="P1288" s="12" t="e">
        <f>HYPERLINK(#REF!,"Link")</f>
        <v>#REF!</v>
      </c>
      <c r="Q1288" s="12" t="e">
        <f>HYPERLINK(#REF!,"Link")</f>
        <v>#REF!</v>
      </c>
    </row>
    <row r="1289" spans="1:17" x14ac:dyDescent="0.3">
      <c r="A1289" t="s">
        <v>3198</v>
      </c>
      <c r="B1289" t="s">
        <v>3199</v>
      </c>
      <c r="C1289" s="9" t="s">
        <v>3822</v>
      </c>
      <c r="D1289" s="9"/>
      <c r="E1289" s="14">
        <v>2380</v>
      </c>
      <c r="F1289" s="3">
        <v>1804</v>
      </c>
      <c r="G1289" s="3">
        <f t="shared" si="101"/>
        <v>9520</v>
      </c>
      <c r="H1289" s="3">
        <f t="shared" si="100"/>
        <v>7216</v>
      </c>
      <c r="I1289" s="14">
        <f t="shared" si="102"/>
        <v>2284.7999999999997</v>
      </c>
      <c r="J1289" s="14">
        <f t="shared" si="103"/>
        <v>-2304</v>
      </c>
      <c r="K1289" s="1">
        <v>0.24</v>
      </c>
      <c r="L1289">
        <v>4</v>
      </c>
      <c r="M1289" s="2">
        <v>15382</v>
      </c>
      <c r="N1289" t="s">
        <v>3200</v>
      </c>
      <c r="O1289">
        <f t="shared" si="104"/>
        <v>4</v>
      </c>
      <c r="P1289" s="12" t="e">
        <f>HYPERLINK(#REF!,"Link")</f>
        <v>#REF!</v>
      </c>
      <c r="Q1289" s="12" t="e">
        <f>HYPERLINK(#REF!,"Link")</f>
        <v>#REF!</v>
      </c>
    </row>
    <row r="1290" spans="1:17" x14ac:dyDescent="0.3">
      <c r="A1290" t="s">
        <v>3201</v>
      </c>
      <c r="B1290" t="s">
        <v>3202</v>
      </c>
      <c r="C1290" s="10" t="s">
        <v>3823</v>
      </c>
      <c r="D1290" s="10"/>
      <c r="E1290" s="14">
        <v>8820</v>
      </c>
      <c r="F1290" s="3">
        <v>6525</v>
      </c>
      <c r="G1290" s="3">
        <f t="shared" si="101"/>
        <v>17640</v>
      </c>
      <c r="H1290" s="3">
        <f t="shared" si="100"/>
        <v>13050</v>
      </c>
      <c r="I1290" s="14">
        <f t="shared" si="102"/>
        <v>4586.4000000000005</v>
      </c>
      <c r="J1290" s="14">
        <f t="shared" si="103"/>
        <v>-4590</v>
      </c>
      <c r="K1290" s="1">
        <v>0.26</v>
      </c>
      <c r="L1290">
        <v>4.5</v>
      </c>
      <c r="M1290" s="2">
        <v>5137</v>
      </c>
      <c r="N1290" t="s">
        <v>3203</v>
      </c>
      <c r="O1290">
        <f t="shared" si="104"/>
        <v>2</v>
      </c>
      <c r="P1290" s="12" t="e">
        <f>HYPERLINK(#REF!,"Link")</f>
        <v>#REF!</v>
      </c>
      <c r="Q1290" s="12" t="e">
        <f>HYPERLINK(#REF!,"Link")</f>
        <v>#REF!</v>
      </c>
    </row>
    <row r="1291" spans="1:17" x14ac:dyDescent="0.3">
      <c r="A1291" t="s">
        <v>3204</v>
      </c>
      <c r="B1291" t="s">
        <v>3205</v>
      </c>
      <c r="C1291" s="9" t="s">
        <v>3752</v>
      </c>
      <c r="D1291" s="9" t="s">
        <v>3824</v>
      </c>
      <c r="E1291" s="14">
        <v>24999</v>
      </c>
      <c r="F1291" s="3">
        <v>4999</v>
      </c>
      <c r="G1291" s="3">
        <f t="shared" si="101"/>
        <v>74997</v>
      </c>
      <c r="H1291" s="3">
        <f t="shared" si="100"/>
        <v>14997</v>
      </c>
      <c r="I1291" s="14">
        <f t="shared" si="102"/>
        <v>59997.600000000006</v>
      </c>
      <c r="J1291" s="14">
        <f t="shared" si="103"/>
        <v>-60000</v>
      </c>
      <c r="K1291" s="1">
        <v>0.8</v>
      </c>
      <c r="L1291">
        <v>4.5999999999999996</v>
      </c>
      <c r="M1291">
        <v>124</v>
      </c>
      <c r="N1291" t="s">
        <v>3206</v>
      </c>
      <c r="O1291">
        <f t="shared" si="104"/>
        <v>3</v>
      </c>
      <c r="P1291" s="12" t="e">
        <f>HYPERLINK(#REF!,"Link")</f>
        <v>#REF!</v>
      </c>
      <c r="Q1291" s="12" t="e">
        <f>HYPERLINK(#REF!,"Link")</f>
        <v>#REF!</v>
      </c>
    </row>
    <row r="1292" spans="1:17" x14ac:dyDescent="0.3">
      <c r="A1292" t="s">
        <v>3207</v>
      </c>
      <c r="B1292" t="s">
        <v>3208</v>
      </c>
      <c r="C1292" s="10" t="s">
        <v>3748</v>
      </c>
      <c r="D1292" s="10" t="s">
        <v>3759</v>
      </c>
      <c r="E1292" s="14">
        <v>2400</v>
      </c>
      <c r="F1292" s="3">
        <v>1189</v>
      </c>
      <c r="G1292" s="3">
        <f t="shared" si="101"/>
        <v>4800</v>
      </c>
      <c r="H1292" s="3">
        <f t="shared" si="100"/>
        <v>2378</v>
      </c>
      <c r="I1292" s="14">
        <f t="shared" si="102"/>
        <v>2400</v>
      </c>
      <c r="J1292" s="14">
        <f t="shared" si="103"/>
        <v>-2422</v>
      </c>
      <c r="K1292" s="1">
        <v>0.5</v>
      </c>
      <c r="L1292">
        <v>4.0999999999999996</v>
      </c>
      <c r="M1292">
        <v>618</v>
      </c>
      <c r="N1292" t="s">
        <v>3209</v>
      </c>
      <c r="O1292">
        <f t="shared" si="104"/>
        <v>2</v>
      </c>
      <c r="P1292" s="12" t="e">
        <f>HYPERLINK(#REF!,"Link")</f>
        <v>#REF!</v>
      </c>
      <c r="Q1292" s="12" t="e">
        <f>HYPERLINK(#REF!,"Link")</f>
        <v>#REF!</v>
      </c>
    </row>
    <row r="1293" spans="1:17" x14ac:dyDescent="0.3">
      <c r="A1293" t="s">
        <v>3210</v>
      </c>
      <c r="B1293" t="s">
        <v>3211</v>
      </c>
      <c r="C1293" s="9" t="s">
        <v>3816</v>
      </c>
      <c r="D1293" s="9" t="s">
        <v>3825</v>
      </c>
      <c r="E1293" s="14">
        <v>4200</v>
      </c>
      <c r="F1293" s="3">
        <v>2590</v>
      </c>
      <c r="G1293" s="3">
        <f t="shared" si="101"/>
        <v>8400</v>
      </c>
      <c r="H1293" s="3">
        <f t="shared" si="100"/>
        <v>5180</v>
      </c>
      <c r="I1293" s="14">
        <f t="shared" si="102"/>
        <v>3192</v>
      </c>
      <c r="J1293" s="14">
        <f t="shared" si="103"/>
        <v>-3220</v>
      </c>
      <c r="K1293" s="1">
        <v>0.38</v>
      </c>
      <c r="L1293">
        <v>4.0999999999999996</v>
      </c>
      <c r="M1293">
        <v>63</v>
      </c>
      <c r="N1293" t="s">
        <v>3212</v>
      </c>
      <c r="O1293">
        <f t="shared" si="104"/>
        <v>2</v>
      </c>
      <c r="P1293" s="12" t="e">
        <f>HYPERLINK(#REF!,"Link")</f>
        <v>#REF!</v>
      </c>
      <c r="Q1293" s="12" t="e">
        <f>HYPERLINK(#REF!,"Link")</f>
        <v>#REF!</v>
      </c>
    </row>
    <row r="1294" spans="1:17" x14ac:dyDescent="0.3">
      <c r="A1294" t="s">
        <v>3213</v>
      </c>
      <c r="B1294" t="s">
        <v>3214</v>
      </c>
      <c r="C1294" s="10" t="s">
        <v>3768</v>
      </c>
      <c r="D1294" s="10" t="s">
        <v>3826</v>
      </c>
      <c r="E1294" s="14">
        <v>1599</v>
      </c>
      <c r="F1294" s="3">
        <v>899</v>
      </c>
      <c r="G1294" s="3">
        <f t="shared" si="101"/>
        <v>6396</v>
      </c>
      <c r="H1294" s="3">
        <f t="shared" si="100"/>
        <v>3596</v>
      </c>
      <c r="I1294" s="14">
        <f t="shared" si="102"/>
        <v>2814.2400000000002</v>
      </c>
      <c r="J1294" s="14">
        <f t="shared" si="103"/>
        <v>-2800</v>
      </c>
      <c r="K1294" s="1">
        <v>0.44</v>
      </c>
      <c r="L1294">
        <v>3.4</v>
      </c>
      <c r="M1294">
        <v>15</v>
      </c>
      <c r="N1294" t="s">
        <v>3215</v>
      </c>
      <c r="O1294">
        <f t="shared" si="104"/>
        <v>4</v>
      </c>
      <c r="P1294" s="12" t="e">
        <f>HYPERLINK(#REF!,"Link")</f>
        <v>#REF!</v>
      </c>
      <c r="Q1294" s="12" t="e">
        <f>HYPERLINK(#REF!,"Link")</f>
        <v>#REF!</v>
      </c>
    </row>
    <row r="1295" spans="1:17" x14ac:dyDescent="0.3">
      <c r="A1295" t="s">
        <v>3216</v>
      </c>
      <c r="B1295" t="s">
        <v>3217</v>
      </c>
      <c r="C1295" s="9" t="s">
        <v>3768</v>
      </c>
      <c r="D1295" s="9"/>
      <c r="E1295" s="14">
        <v>2999</v>
      </c>
      <c r="F1295" s="3">
        <v>998</v>
      </c>
      <c r="G1295" s="3">
        <f t="shared" si="101"/>
        <v>8997</v>
      </c>
      <c r="H1295" s="3">
        <f t="shared" si="100"/>
        <v>2994</v>
      </c>
      <c r="I1295" s="14">
        <f t="shared" si="102"/>
        <v>6027.9900000000007</v>
      </c>
      <c r="J1295" s="14">
        <f t="shared" si="103"/>
        <v>-6003</v>
      </c>
      <c r="K1295" s="1">
        <v>0.67</v>
      </c>
      <c r="L1295">
        <v>4.5999999999999996</v>
      </c>
      <c r="M1295">
        <v>9</v>
      </c>
      <c r="N1295" t="s">
        <v>3218</v>
      </c>
      <c r="O1295">
        <f t="shared" si="104"/>
        <v>3</v>
      </c>
      <c r="P1295" s="12" t="e">
        <f>HYPERLINK(#REF!,"Link")</f>
        <v>#REF!</v>
      </c>
      <c r="Q1295" s="12" t="e">
        <f>HYPERLINK(#REF!,"Link")</f>
        <v>#REF!</v>
      </c>
    </row>
    <row r="1296" spans="1:17" x14ac:dyDescent="0.3">
      <c r="A1296" t="s">
        <v>3219</v>
      </c>
      <c r="B1296" t="s">
        <v>3220</v>
      </c>
      <c r="C1296" s="10" t="s">
        <v>3812</v>
      </c>
      <c r="D1296" s="10" t="s">
        <v>3760</v>
      </c>
      <c r="E1296" s="14">
        <v>1282</v>
      </c>
      <c r="F1296" s="3">
        <v>998.06</v>
      </c>
      <c r="G1296" s="3">
        <f t="shared" si="101"/>
        <v>5128</v>
      </c>
      <c r="H1296" s="3">
        <f t="shared" si="100"/>
        <v>3992.24</v>
      </c>
      <c r="I1296" s="14">
        <f t="shared" si="102"/>
        <v>1128.1600000000001</v>
      </c>
      <c r="J1296" s="14">
        <f t="shared" si="103"/>
        <v>-1135.7600000000002</v>
      </c>
      <c r="K1296" s="1">
        <v>0.22</v>
      </c>
      <c r="L1296">
        <v>4.2</v>
      </c>
      <c r="M1296" s="2">
        <v>7274</v>
      </c>
      <c r="N1296" t="s">
        <v>3221</v>
      </c>
      <c r="O1296">
        <f t="shared" si="104"/>
        <v>4</v>
      </c>
      <c r="P1296" s="12" t="e">
        <f>HYPERLINK(#REF!,"Link")</f>
        <v>#REF!</v>
      </c>
      <c r="Q1296" s="12" t="e">
        <f>HYPERLINK(#REF!,"Link")</f>
        <v>#REF!</v>
      </c>
    </row>
    <row r="1297" spans="1:17" x14ac:dyDescent="0.3">
      <c r="A1297" t="s">
        <v>3222</v>
      </c>
      <c r="B1297" t="s">
        <v>3223</v>
      </c>
      <c r="C1297" s="9" t="s">
        <v>3827</v>
      </c>
      <c r="D1297" s="9"/>
      <c r="E1297" s="14">
        <v>1990</v>
      </c>
      <c r="F1297" s="3">
        <v>1099</v>
      </c>
      <c r="G1297" s="3">
        <f t="shared" si="101"/>
        <v>5970</v>
      </c>
      <c r="H1297" s="3">
        <f t="shared" si="100"/>
        <v>3297</v>
      </c>
      <c r="I1297" s="14">
        <f t="shared" si="102"/>
        <v>2686.5</v>
      </c>
      <c r="J1297" s="14">
        <f t="shared" si="103"/>
        <v>-2673</v>
      </c>
      <c r="K1297" s="1">
        <v>0.45</v>
      </c>
      <c r="L1297">
        <v>3.9</v>
      </c>
      <c r="M1297" s="2">
        <v>5911</v>
      </c>
      <c r="N1297" t="s">
        <v>3224</v>
      </c>
      <c r="O1297">
        <f t="shared" si="104"/>
        <v>3</v>
      </c>
      <c r="P1297" s="12" t="e">
        <f>HYPERLINK(#REF!,"Link")</f>
        <v>#REF!</v>
      </c>
      <c r="Q1297" s="12" t="e">
        <f>HYPERLINK(#REF!,"Link")</f>
        <v>#REF!</v>
      </c>
    </row>
    <row r="1298" spans="1:17" x14ac:dyDescent="0.3">
      <c r="A1298" t="s">
        <v>3225</v>
      </c>
      <c r="B1298" t="s">
        <v>3226</v>
      </c>
      <c r="C1298" s="10" t="s">
        <v>3779</v>
      </c>
      <c r="D1298" s="10" t="s">
        <v>3828</v>
      </c>
      <c r="E1298" s="14">
        <v>9999</v>
      </c>
      <c r="F1298" s="3">
        <v>5999</v>
      </c>
      <c r="G1298" s="3">
        <f t="shared" si="101"/>
        <v>59994</v>
      </c>
      <c r="H1298" s="3">
        <f t="shared" si="100"/>
        <v>35994</v>
      </c>
      <c r="I1298" s="14">
        <f t="shared" si="102"/>
        <v>23997.600000000002</v>
      </c>
      <c r="J1298" s="14">
        <f t="shared" si="103"/>
        <v>-24000</v>
      </c>
      <c r="K1298" s="1">
        <v>0.4</v>
      </c>
      <c r="L1298">
        <v>4.2</v>
      </c>
      <c r="M1298">
        <v>170</v>
      </c>
      <c r="N1298" t="s">
        <v>3227</v>
      </c>
      <c r="O1298">
        <f t="shared" si="104"/>
        <v>6</v>
      </c>
      <c r="P1298" s="12" t="e">
        <f>HYPERLINK(#REF!,"Link")</f>
        <v>#REF!</v>
      </c>
      <c r="Q1298" s="12" t="e">
        <f>HYPERLINK(#REF!,"Link")</f>
        <v>#REF!</v>
      </c>
    </row>
    <row r="1299" spans="1:17" x14ac:dyDescent="0.3">
      <c r="A1299" t="s">
        <v>3228</v>
      </c>
      <c r="B1299" t="s">
        <v>3229</v>
      </c>
      <c r="C1299" s="9" t="s">
        <v>3829</v>
      </c>
      <c r="D1299" s="9"/>
      <c r="E1299" s="14">
        <v>11850</v>
      </c>
      <c r="F1299" s="3">
        <v>8886</v>
      </c>
      <c r="G1299" s="3">
        <f t="shared" si="101"/>
        <v>47400</v>
      </c>
      <c r="H1299" s="3">
        <f t="shared" si="100"/>
        <v>35544</v>
      </c>
      <c r="I1299" s="14">
        <f t="shared" si="102"/>
        <v>11850</v>
      </c>
      <c r="J1299" s="14">
        <f t="shared" si="103"/>
        <v>-11856</v>
      </c>
      <c r="K1299" s="1">
        <v>0.25</v>
      </c>
      <c r="L1299">
        <v>4.2</v>
      </c>
      <c r="M1299" s="2">
        <v>3065</v>
      </c>
      <c r="N1299" t="s">
        <v>3230</v>
      </c>
      <c r="O1299">
        <f t="shared" si="104"/>
        <v>4</v>
      </c>
      <c r="P1299" s="12" t="e">
        <f>HYPERLINK(#REF!,"Link")</f>
        <v>#REF!</v>
      </c>
      <c r="Q1299" s="12" t="e">
        <f>HYPERLINK(#REF!,"Link")</f>
        <v>#REF!</v>
      </c>
    </row>
    <row r="1300" spans="1:17" x14ac:dyDescent="0.3">
      <c r="A1300" t="s">
        <v>3231</v>
      </c>
      <c r="B1300" t="s">
        <v>3232</v>
      </c>
      <c r="C1300" s="10" t="s">
        <v>3744</v>
      </c>
      <c r="D1300" s="10" t="s">
        <v>3830</v>
      </c>
      <c r="E1300" s="14">
        <v>999</v>
      </c>
      <c r="F1300" s="3">
        <v>475</v>
      </c>
      <c r="G1300" s="3">
        <f t="shared" si="101"/>
        <v>3996</v>
      </c>
      <c r="H1300" s="3">
        <f t="shared" si="100"/>
        <v>1900</v>
      </c>
      <c r="I1300" s="14">
        <f t="shared" si="102"/>
        <v>2077.92</v>
      </c>
      <c r="J1300" s="14">
        <f t="shared" si="103"/>
        <v>-2096</v>
      </c>
      <c r="K1300" s="1">
        <v>0.52</v>
      </c>
      <c r="L1300">
        <v>4.0999999999999996</v>
      </c>
      <c r="M1300" s="2">
        <v>1021</v>
      </c>
      <c r="N1300" t="s">
        <v>3233</v>
      </c>
      <c r="O1300">
        <f t="shared" si="104"/>
        <v>4</v>
      </c>
      <c r="P1300" s="12" t="e">
        <f>HYPERLINK(#REF!,"Link")</f>
        <v>#REF!</v>
      </c>
      <c r="Q1300" s="12" t="e">
        <f>HYPERLINK(#REF!,"Link")</f>
        <v>#REF!</v>
      </c>
    </row>
    <row r="1301" spans="1:17" x14ac:dyDescent="0.3">
      <c r="A1301" t="s">
        <v>3234</v>
      </c>
      <c r="B1301" t="s">
        <v>3235</v>
      </c>
      <c r="C1301" s="9" t="s">
        <v>3831</v>
      </c>
      <c r="D1301" s="9"/>
      <c r="E1301" s="14">
        <v>20049</v>
      </c>
      <c r="F1301" s="3">
        <v>4995</v>
      </c>
      <c r="G1301" s="3">
        <f t="shared" si="101"/>
        <v>60147</v>
      </c>
      <c r="H1301" s="3">
        <f t="shared" si="100"/>
        <v>14985</v>
      </c>
      <c r="I1301" s="14">
        <f t="shared" si="102"/>
        <v>45110.25</v>
      </c>
      <c r="J1301" s="14">
        <f t="shared" si="103"/>
        <v>-45162</v>
      </c>
      <c r="K1301" s="1">
        <v>0.75</v>
      </c>
      <c r="L1301">
        <v>4.8</v>
      </c>
      <c r="M1301" s="2">
        <v>3964</v>
      </c>
      <c r="N1301" t="s">
        <v>3236</v>
      </c>
      <c r="O1301">
        <f t="shared" si="104"/>
        <v>3</v>
      </c>
      <c r="P1301" s="12" t="e">
        <f>HYPERLINK(#REF!,"Link")</f>
        <v>#REF!</v>
      </c>
      <c r="Q1301" s="12" t="e">
        <f>HYPERLINK(#REF!,"Link")</f>
        <v>#REF!</v>
      </c>
    </row>
    <row r="1302" spans="1:17" x14ac:dyDescent="0.3">
      <c r="A1302" t="s">
        <v>3237</v>
      </c>
      <c r="B1302" t="s">
        <v>3238</v>
      </c>
      <c r="C1302" s="10" t="s">
        <v>3768</v>
      </c>
      <c r="D1302" s="10" t="s">
        <v>3832</v>
      </c>
      <c r="E1302" s="14">
        <v>24850</v>
      </c>
      <c r="F1302" s="3">
        <v>13999</v>
      </c>
      <c r="G1302" s="3">
        <f t="shared" si="101"/>
        <v>49700</v>
      </c>
      <c r="H1302" s="3">
        <f t="shared" si="100"/>
        <v>27998</v>
      </c>
      <c r="I1302" s="14">
        <f t="shared" si="102"/>
        <v>21868</v>
      </c>
      <c r="J1302" s="14">
        <f t="shared" si="103"/>
        <v>-21702</v>
      </c>
      <c r="K1302" s="1">
        <v>0.44</v>
      </c>
      <c r="L1302">
        <v>4.4000000000000004</v>
      </c>
      <c r="M1302" s="2">
        <v>8948</v>
      </c>
      <c r="N1302" t="s">
        <v>3239</v>
      </c>
      <c r="O1302">
        <f t="shared" si="104"/>
        <v>2</v>
      </c>
      <c r="P1302" s="12" t="e">
        <f>HYPERLINK(#REF!,"Link")</f>
        <v>#REF!</v>
      </c>
      <c r="Q1302" s="12" t="e">
        <f>HYPERLINK(#REF!,"Link")</f>
        <v>#REF!</v>
      </c>
    </row>
    <row r="1303" spans="1:17" x14ac:dyDescent="0.3">
      <c r="A1303" t="s">
        <v>3240</v>
      </c>
      <c r="B1303" t="s">
        <v>3241</v>
      </c>
      <c r="C1303" s="9" t="s">
        <v>3816</v>
      </c>
      <c r="D1303" s="9" t="s">
        <v>3833</v>
      </c>
      <c r="E1303" s="14">
        <v>16490</v>
      </c>
      <c r="F1303" s="3">
        <v>8499</v>
      </c>
      <c r="G1303" s="3">
        <f t="shared" si="101"/>
        <v>32980</v>
      </c>
      <c r="H1303" s="3">
        <f t="shared" si="100"/>
        <v>16998</v>
      </c>
      <c r="I1303" s="14">
        <f t="shared" si="102"/>
        <v>15830.4</v>
      </c>
      <c r="J1303" s="14">
        <f t="shared" si="103"/>
        <v>-15982</v>
      </c>
      <c r="K1303" s="1">
        <v>0.48</v>
      </c>
      <c r="L1303">
        <v>4.3</v>
      </c>
      <c r="M1303">
        <v>97</v>
      </c>
      <c r="N1303" t="s">
        <v>3242</v>
      </c>
      <c r="O1303">
        <f t="shared" si="104"/>
        <v>2</v>
      </c>
      <c r="P1303" s="12" t="e">
        <f>HYPERLINK(#REF!,"Link")</f>
        <v>#REF!</v>
      </c>
      <c r="Q1303" s="12" t="e">
        <f>HYPERLINK(#REF!,"Link")</f>
        <v>#REF!</v>
      </c>
    </row>
    <row r="1304" spans="1:17" x14ac:dyDescent="0.3">
      <c r="A1304" t="s">
        <v>3243</v>
      </c>
      <c r="B1304" t="s">
        <v>3244</v>
      </c>
      <c r="C1304" s="10" t="s">
        <v>3729</v>
      </c>
      <c r="D1304" s="10" t="s">
        <v>3834</v>
      </c>
      <c r="E1304" s="14">
        <v>975</v>
      </c>
      <c r="F1304" s="3">
        <v>949</v>
      </c>
      <c r="G1304" s="3">
        <f t="shared" si="101"/>
        <v>2925</v>
      </c>
      <c r="H1304" s="3">
        <f t="shared" si="100"/>
        <v>2847</v>
      </c>
      <c r="I1304" s="14">
        <f t="shared" si="102"/>
        <v>87.75</v>
      </c>
      <c r="J1304" s="14">
        <f t="shared" si="103"/>
        <v>-78</v>
      </c>
      <c r="K1304" s="1">
        <v>0.03</v>
      </c>
      <c r="L1304">
        <v>4.3</v>
      </c>
      <c r="M1304" s="2">
        <v>7223</v>
      </c>
      <c r="N1304" t="s">
        <v>3245</v>
      </c>
      <c r="O1304">
        <f t="shared" si="104"/>
        <v>3</v>
      </c>
      <c r="P1304" s="12" t="e">
        <f>HYPERLINK(#REF!,"Link")</f>
        <v>#REF!</v>
      </c>
      <c r="Q1304" s="12" t="e">
        <f>HYPERLINK(#REF!,"Link")</f>
        <v>#REF!</v>
      </c>
    </row>
    <row r="1305" spans="1:17" x14ac:dyDescent="0.3">
      <c r="A1305" t="s">
        <v>3246</v>
      </c>
      <c r="B1305" t="s">
        <v>3247</v>
      </c>
      <c r="C1305" s="9" t="s">
        <v>3812</v>
      </c>
      <c r="D1305" s="9" t="s">
        <v>3835</v>
      </c>
      <c r="E1305" s="14">
        <v>499</v>
      </c>
      <c r="F1305" s="3">
        <v>395</v>
      </c>
      <c r="G1305" s="3">
        <f t="shared" si="101"/>
        <v>1996</v>
      </c>
      <c r="H1305" s="3">
        <f t="shared" si="100"/>
        <v>1580</v>
      </c>
      <c r="I1305" s="14">
        <f t="shared" si="102"/>
        <v>419.15999999999997</v>
      </c>
      <c r="J1305" s="14">
        <f t="shared" si="103"/>
        <v>-416</v>
      </c>
      <c r="K1305" s="1">
        <v>0.21</v>
      </c>
      <c r="L1305">
        <v>4</v>
      </c>
      <c r="M1305">
        <v>330</v>
      </c>
      <c r="N1305" t="s">
        <v>3248</v>
      </c>
      <c r="O1305">
        <f t="shared" si="104"/>
        <v>4</v>
      </c>
      <c r="P1305" s="12" t="e">
        <f>HYPERLINK(#REF!,"Link")</f>
        <v>#REF!</v>
      </c>
      <c r="Q1305" s="12" t="e">
        <f>HYPERLINK(#REF!,"Link")</f>
        <v>#REF!</v>
      </c>
    </row>
    <row r="1306" spans="1:17" x14ac:dyDescent="0.3">
      <c r="A1306" t="s">
        <v>3249</v>
      </c>
      <c r="B1306" t="s">
        <v>3250</v>
      </c>
      <c r="C1306" s="10" t="s">
        <v>3836</v>
      </c>
      <c r="D1306" s="10" t="s">
        <v>3837</v>
      </c>
      <c r="E1306" s="14">
        <v>635</v>
      </c>
      <c r="F1306" s="3">
        <v>635</v>
      </c>
      <c r="G1306" s="3">
        <f t="shared" si="101"/>
        <v>3175</v>
      </c>
      <c r="H1306" s="3">
        <f t="shared" si="100"/>
        <v>3175</v>
      </c>
      <c r="I1306" s="14">
        <f t="shared" si="102"/>
        <v>0</v>
      </c>
      <c r="J1306" s="14">
        <f t="shared" si="103"/>
        <v>0</v>
      </c>
      <c r="K1306" s="1">
        <v>0</v>
      </c>
      <c r="L1306">
        <v>4.3</v>
      </c>
      <c r="M1306" s="2">
        <v>4570</v>
      </c>
      <c r="N1306" t="s">
        <v>3251</v>
      </c>
      <c r="O1306">
        <f t="shared" si="104"/>
        <v>5</v>
      </c>
      <c r="P1306" s="12" t="e">
        <f>HYPERLINK(#REF!,"Link")</f>
        <v>#REF!</v>
      </c>
      <c r="Q1306" s="12" t="e">
        <f>HYPERLINK(#REF!,"Link")</f>
        <v>#REF!</v>
      </c>
    </row>
    <row r="1307" spans="1:17" x14ac:dyDescent="0.3">
      <c r="A1307" t="s">
        <v>3252</v>
      </c>
      <c r="B1307" t="s">
        <v>3253</v>
      </c>
      <c r="C1307" s="9" t="s">
        <v>3838</v>
      </c>
      <c r="D1307" s="9"/>
      <c r="E1307" s="14">
        <v>1390</v>
      </c>
      <c r="F1307" s="3">
        <v>717</v>
      </c>
      <c r="G1307" s="3">
        <f t="shared" si="101"/>
        <v>2780</v>
      </c>
      <c r="H1307" s="3">
        <f t="shared" si="100"/>
        <v>1434</v>
      </c>
      <c r="I1307" s="14">
        <f t="shared" si="102"/>
        <v>1334.3999999999999</v>
      </c>
      <c r="J1307" s="14">
        <f t="shared" si="103"/>
        <v>-1346</v>
      </c>
      <c r="K1307" s="1">
        <v>0.48</v>
      </c>
      <c r="L1307">
        <v>4</v>
      </c>
      <c r="M1307" s="2">
        <v>4867</v>
      </c>
      <c r="N1307" t="s">
        <v>3254</v>
      </c>
      <c r="O1307">
        <f t="shared" si="104"/>
        <v>2</v>
      </c>
      <c r="P1307" s="12" t="e">
        <f>HYPERLINK(#REF!,"Link")</f>
        <v>#REF!</v>
      </c>
      <c r="Q1307" s="12" t="e">
        <f>HYPERLINK(#REF!,"Link")</f>
        <v>#REF!</v>
      </c>
    </row>
    <row r="1308" spans="1:17" x14ac:dyDescent="0.3">
      <c r="A1308" t="s">
        <v>3255</v>
      </c>
      <c r="B1308" t="s">
        <v>3256</v>
      </c>
      <c r="C1308" s="10" t="s">
        <v>3839</v>
      </c>
      <c r="D1308" s="10"/>
      <c r="E1308" s="14">
        <v>59900</v>
      </c>
      <c r="F1308" s="3">
        <v>27900</v>
      </c>
      <c r="G1308" s="3">
        <f t="shared" si="101"/>
        <v>119800</v>
      </c>
      <c r="H1308" s="3">
        <f t="shared" si="100"/>
        <v>55800</v>
      </c>
      <c r="I1308" s="14">
        <f t="shared" si="102"/>
        <v>63494</v>
      </c>
      <c r="J1308" s="14">
        <f t="shared" si="103"/>
        <v>-64000</v>
      </c>
      <c r="K1308" s="1">
        <v>0.53</v>
      </c>
      <c r="L1308">
        <v>4.4000000000000004</v>
      </c>
      <c r="M1308" s="2">
        <v>5298</v>
      </c>
      <c r="N1308" t="s">
        <v>3257</v>
      </c>
      <c r="O1308">
        <f t="shared" si="104"/>
        <v>2</v>
      </c>
      <c r="P1308" s="12" t="e">
        <f>HYPERLINK(#REF!,"Link")</f>
        <v>#REF!</v>
      </c>
      <c r="Q1308" s="12" t="e">
        <f>HYPERLINK(#REF!,"Link")</f>
        <v>#REF!</v>
      </c>
    </row>
    <row r="1309" spans="1:17" x14ac:dyDescent="0.3">
      <c r="A1309" t="s">
        <v>3258</v>
      </c>
      <c r="B1309" t="s">
        <v>3259</v>
      </c>
      <c r="C1309" s="9" t="s">
        <v>3836</v>
      </c>
      <c r="D1309" s="9" t="s">
        <v>3837</v>
      </c>
      <c r="E1309" s="14">
        <v>670</v>
      </c>
      <c r="F1309" s="3">
        <v>649</v>
      </c>
      <c r="G1309" s="3">
        <f t="shared" si="101"/>
        <v>3350</v>
      </c>
      <c r="H1309" s="3">
        <f t="shared" si="100"/>
        <v>3245</v>
      </c>
      <c r="I1309" s="14">
        <f t="shared" si="102"/>
        <v>100.49999999999999</v>
      </c>
      <c r="J1309" s="14">
        <f t="shared" si="103"/>
        <v>-105</v>
      </c>
      <c r="K1309" s="1">
        <v>0.03</v>
      </c>
      <c r="L1309">
        <v>4.0999999999999996</v>
      </c>
      <c r="M1309" s="2">
        <v>7786</v>
      </c>
      <c r="N1309" t="s">
        <v>3260</v>
      </c>
      <c r="O1309">
        <f t="shared" si="104"/>
        <v>5</v>
      </c>
      <c r="P1309" s="12" t="e">
        <f>HYPERLINK(#REF!,"Link")</f>
        <v>#REF!</v>
      </c>
      <c r="Q1309" s="12" t="e">
        <f>HYPERLINK(#REF!,"Link")</f>
        <v>#REF!</v>
      </c>
    </row>
    <row r="1310" spans="1:17" x14ac:dyDescent="0.3">
      <c r="A1310" t="s">
        <v>3261</v>
      </c>
      <c r="B1310" t="s">
        <v>3262</v>
      </c>
      <c r="C1310" s="10" t="s">
        <v>3725</v>
      </c>
      <c r="D1310" s="10" t="s">
        <v>3726</v>
      </c>
      <c r="E1310" s="14">
        <v>399</v>
      </c>
      <c r="F1310" s="3">
        <v>193</v>
      </c>
      <c r="G1310" s="3">
        <f t="shared" si="101"/>
        <v>798</v>
      </c>
      <c r="H1310" s="3">
        <f t="shared" si="100"/>
        <v>386</v>
      </c>
      <c r="I1310" s="14">
        <f t="shared" si="102"/>
        <v>414.96000000000004</v>
      </c>
      <c r="J1310" s="14">
        <f t="shared" si="103"/>
        <v>-412</v>
      </c>
      <c r="K1310" s="1">
        <v>0.52</v>
      </c>
      <c r="L1310">
        <v>3.6</v>
      </c>
      <c r="M1310">
        <v>37</v>
      </c>
      <c r="N1310" t="s">
        <v>3263</v>
      </c>
      <c r="O1310">
        <f t="shared" si="104"/>
        <v>2</v>
      </c>
      <c r="P1310" s="12" t="e">
        <f>HYPERLINK(#REF!,"Link")</f>
        <v>#REF!</v>
      </c>
      <c r="Q1310" s="12" t="e">
        <f>HYPERLINK(#REF!,"Link")</f>
        <v>#REF!</v>
      </c>
    </row>
    <row r="1311" spans="1:17" x14ac:dyDescent="0.3">
      <c r="A1311" t="s">
        <v>3264</v>
      </c>
      <c r="B1311" t="s">
        <v>3265</v>
      </c>
      <c r="C1311" s="9" t="s">
        <v>3816</v>
      </c>
      <c r="D1311" s="9" t="s">
        <v>3840</v>
      </c>
      <c r="E1311" s="14">
        <v>2495</v>
      </c>
      <c r="F1311" s="3">
        <v>1299</v>
      </c>
      <c r="G1311" s="3">
        <f t="shared" si="101"/>
        <v>4990</v>
      </c>
      <c r="H1311" s="3">
        <f t="shared" si="100"/>
        <v>2598</v>
      </c>
      <c r="I1311" s="14">
        <f t="shared" si="102"/>
        <v>2395.1999999999998</v>
      </c>
      <c r="J1311" s="14">
        <f t="shared" si="103"/>
        <v>-2392</v>
      </c>
      <c r="K1311" s="1">
        <v>0.48</v>
      </c>
      <c r="L1311">
        <v>2</v>
      </c>
      <c r="M1311">
        <v>2</v>
      </c>
      <c r="N1311" t="s">
        <v>3266</v>
      </c>
      <c r="O1311">
        <f t="shared" si="104"/>
        <v>2</v>
      </c>
      <c r="P1311" s="12" t="e">
        <f>HYPERLINK(#REF!,"Link")</f>
        <v>#REF!</v>
      </c>
      <c r="Q1311" s="12" t="e">
        <f>HYPERLINK(#REF!,"Link")</f>
        <v>#REF!</v>
      </c>
    </row>
    <row r="1312" spans="1:17" x14ac:dyDescent="0.3">
      <c r="A1312" t="s">
        <v>3267</v>
      </c>
      <c r="B1312" t="s">
        <v>3268</v>
      </c>
      <c r="C1312" s="10" t="s">
        <v>3793</v>
      </c>
      <c r="D1312" s="10" t="s">
        <v>3841</v>
      </c>
      <c r="E1312" s="14">
        <v>3390</v>
      </c>
      <c r="F1312" s="3">
        <v>2449</v>
      </c>
      <c r="G1312" s="3">
        <f t="shared" si="101"/>
        <v>10170</v>
      </c>
      <c r="H1312" s="3">
        <f t="shared" si="100"/>
        <v>7347</v>
      </c>
      <c r="I1312" s="14">
        <f t="shared" si="102"/>
        <v>2847.6000000000004</v>
      </c>
      <c r="J1312" s="14">
        <f t="shared" si="103"/>
        <v>-2823</v>
      </c>
      <c r="K1312" s="1">
        <v>0.28000000000000003</v>
      </c>
      <c r="L1312">
        <v>4</v>
      </c>
      <c r="M1312" s="2">
        <v>5206</v>
      </c>
      <c r="N1312" t="s">
        <v>3269</v>
      </c>
      <c r="O1312">
        <f t="shared" si="104"/>
        <v>3</v>
      </c>
      <c r="P1312" s="12" t="e">
        <f>HYPERLINK(#REF!,"Link")</f>
        <v>#REF!</v>
      </c>
      <c r="Q1312" s="12" t="e">
        <f>HYPERLINK(#REF!,"Link")</f>
        <v>#REF!</v>
      </c>
    </row>
    <row r="1313" spans="1:17" x14ac:dyDescent="0.3">
      <c r="A1313" t="s">
        <v>3270</v>
      </c>
      <c r="B1313" t="s">
        <v>3114</v>
      </c>
      <c r="C1313" s="9" t="s">
        <v>3744</v>
      </c>
      <c r="D1313" s="9" t="s">
        <v>3842</v>
      </c>
      <c r="E1313" s="14">
        <v>2499</v>
      </c>
      <c r="F1313" s="3">
        <v>1049</v>
      </c>
      <c r="G1313" s="3">
        <f t="shared" si="101"/>
        <v>4998</v>
      </c>
      <c r="H1313" s="3">
        <f t="shared" si="100"/>
        <v>2098</v>
      </c>
      <c r="I1313" s="14">
        <f t="shared" si="102"/>
        <v>2898.8399999999997</v>
      </c>
      <c r="J1313" s="14">
        <f t="shared" si="103"/>
        <v>-2900</v>
      </c>
      <c r="K1313" s="1">
        <v>0.57999999999999996</v>
      </c>
      <c r="L1313">
        <v>3.7</v>
      </c>
      <c r="M1313">
        <v>638</v>
      </c>
      <c r="N1313" t="s">
        <v>3271</v>
      </c>
      <c r="O1313">
        <f t="shared" si="104"/>
        <v>2</v>
      </c>
      <c r="P1313" s="12" t="e">
        <f>HYPERLINK(#REF!,"Link")</f>
        <v>#REF!</v>
      </c>
      <c r="Q1313" s="12" t="e">
        <f>HYPERLINK(#REF!,"Link")</f>
        <v>#REF!</v>
      </c>
    </row>
    <row r="1314" spans="1:17" x14ac:dyDescent="0.3">
      <c r="A1314" t="s">
        <v>3272</v>
      </c>
      <c r="B1314" t="s">
        <v>3273</v>
      </c>
      <c r="C1314" s="10" t="s">
        <v>3843</v>
      </c>
      <c r="D1314" s="10"/>
      <c r="E1314" s="14">
        <v>4200</v>
      </c>
      <c r="F1314" s="3">
        <v>2399</v>
      </c>
      <c r="G1314" s="3">
        <f t="shared" si="101"/>
        <v>12600</v>
      </c>
      <c r="H1314" s="3">
        <f t="shared" si="100"/>
        <v>7197</v>
      </c>
      <c r="I1314" s="14">
        <f t="shared" si="102"/>
        <v>5418</v>
      </c>
      <c r="J1314" s="14">
        <f t="shared" si="103"/>
        <v>-5403</v>
      </c>
      <c r="K1314" s="1">
        <v>0.43</v>
      </c>
      <c r="L1314">
        <v>3.8</v>
      </c>
      <c r="M1314">
        <v>397</v>
      </c>
      <c r="N1314" t="s">
        <v>3274</v>
      </c>
      <c r="O1314">
        <f t="shared" si="104"/>
        <v>3</v>
      </c>
      <c r="P1314" s="12" t="e">
        <f>HYPERLINK(#REF!,"Link")</f>
        <v>#REF!</v>
      </c>
      <c r="Q1314" s="12" t="e">
        <f>HYPERLINK(#REF!,"Link")</f>
        <v>#REF!</v>
      </c>
    </row>
    <row r="1315" spans="1:17" x14ac:dyDescent="0.3">
      <c r="A1315" t="s">
        <v>3275</v>
      </c>
      <c r="B1315" t="s">
        <v>3276</v>
      </c>
      <c r="C1315" s="9" t="s">
        <v>3839</v>
      </c>
      <c r="D1315" s="9" t="s">
        <v>3844</v>
      </c>
      <c r="E1315" s="14">
        <v>4495</v>
      </c>
      <c r="F1315" s="3">
        <v>2286</v>
      </c>
      <c r="G1315" s="3">
        <f t="shared" si="101"/>
        <v>4495</v>
      </c>
      <c r="H1315" s="3">
        <f t="shared" si="100"/>
        <v>2286</v>
      </c>
      <c r="I1315" s="14">
        <f t="shared" si="102"/>
        <v>2202.5500000000002</v>
      </c>
      <c r="J1315" s="14">
        <f t="shared" si="103"/>
        <v>-2209</v>
      </c>
      <c r="K1315" s="1">
        <v>0.49</v>
      </c>
      <c r="L1315">
        <v>3.9</v>
      </c>
      <c r="M1315">
        <v>326</v>
      </c>
      <c r="N1315" t="s">
        <v>3277</v>
      </c>
      <c r="O1315">
        <f t="shared" si="104"/>
        <v>1</v>
      </c>
      <c r="P1315" s="12" t="e">
        <f>HYPERLINK(#REF!,"Link")</f>
        <v>#REF!</v>
      </c>
      <c r="Q1315" s="12" t="e">
        <f>HYPERLINK(#REF!,"Link")</f>
        <v>#REF!</v>
      </c>
    </row>
    <row r="1316" spans="1:17" x14ac:dyDescent="0.3">
      <c r="A1316" t="s">
        <v>3278</v>
      </c>
      <c r="B1316" t="s">
        <v>3279</v>
      </c>
      <c r="C1316" s="10" t="s">
        <v>3845</v>
      </c>
      <c r="D1316" s="10" t="s">
        <v>3846</v>
      </c>
      <c r="E1316" s="14">
        <v>2199</v>
      </c>
      <c r="F1316" s="3">
        <v>499</v>
      </c>
      <c r="G1316" s="3">
        <f t="shared" si="101"/>
        <v>4398</v>
      </c>
      <c r="H1316" s="3">
        <f t="shared" si="100"/>
        <v>998</v>
      </c>
      <c r="I1316" s="14">
        <f t="shared" si="102"/>
        <v>3386.46</v>
      </c>
      <c r="J1316" s="14">
        <f t="shared" si="103"/>
        <v>-3400</v>
      </c>
      <c r="K1316" s="1">
        <v>0.77</v>
      </c>
      <c r="L1316">
        <v>3.1</v>
      </c>
      <c r="M1316" s="2">
        <v>3527</v>
      </c>
      <c r="N1316" t="s">
        <v>719</v>
      </c>
      <c r="O1316">
        <f t="shared" si="104"/>
        <v>2</v>
      </c>
      <c r="P1316" s="12" t="e">
        <f>HYPERLINK(#REF!,"Link")</f>
        <v>#REF!</v>
      </c>
      <c r="Q1316" s="12" t="e">
        <f>HYPERLINK(#REF!,"Link")</f>
        <v>#REF!</v>
      </c>
    </row>
    <row r="1317" spans="1:17" x14ac:dyDescent="0.3">
      <c r="A1317" t="s">
        <v>3280</v>
      </c>
      <c r="B1317" t="s">
        <v>3281</v>
      </c>
      <c r="C1317" s="9" t="s">
        <v>3793</v>
      </c>
      <c r="D1317" s="9" t="s">
        <v>3847</v>
      </c>
      <c r="E1317" s="14">
        <v>999</v>
      </c>
      <c r="F1317" s="3">
        <v>429</v>
      </c>
      <c r="G1317" s="3">
        <f t="shared" si="101"/>
        <v>3996</v>
      </c>
      <c r="H1317" s="3">
        <f t="shared" si="100"/>
        <v>1716</v>
      </c>
      <c r="I1317" s="14">
        <f t="shared" si="102"/>
        <v>2277.7199999999998</v>
      </c>
      <c r="J1317" s="14">
        <f t="shared" si="103"/>
        <v>-2280</v>
      </c>
      <c r="K1317" s="1">
        <v>0.56999999999999995</v>
      </c>
      <c r="L1317">
        <v>3</v>
      </c>
      <c r="M1317">
        <v>617</v>
      </c>
      <c r="N1317" t="s">
        <v>3282</v>
      </c>
      <c r="O1317">
        <f t="shared" si="104"/>
        <v>4</v>
      </c>
      <c r="P1317" s="12" t="e">
        <f>HYPERLINK(#REF!,"Link")</f>
        <v>#REF!</v>
      </c>
      <c r="Q1317" s="12" t="e">
        <f>HYPERLINK(#REF!,"Link")</f>
        <v>#REF!</v>
      </c>
    </row>
    <row r="1318" spans="1:17" x14ac:dyDescent="0.3">
      <c r="A1318" t="s">
        <v>3283</v>
      </c>
      <c r="B1318" t="s">
        <v>3284</v>
      </c>
      <c r="C1318" s="10" t="s">
        <v>3848</v>
      </c>
      <c r="D1318" s="10"/>
      <c r="E1318" s="14">
        <v>595</v>
      </c>
      <c r="F1318" s="3">
        <v>299</v>
      </c>
      <c r="G1318" s="3">
        <f t="shared" si="101"/>
        <v>2380</v>
      </c>
      <c r="H1318" s="3">
        <f t="shared" si="100"/>
        <v>1196</v>
      </c>
      <c r="I1318" s="14">
        <f t="shared" si="102"/>
        <v>1190</v>
      </c>
      <c r="J1318" s="14">
        <f t="shared" si="103"/>
        <v>-1184</v>
      </c>
      <c r="K1318" s="1">
        <v>0.5</v>
      </c>
      <c r="L1318">
        <v>4</v>
      </c>
      <c r="M1318">
        <v>314</v>
      </c>
      <c r="N1318" t="s">
        <v>3285</v>
      </c>
      <c r="O1318">
        <f t="shared" si="104"/>
        <v>4</v>
      </c>
      <c r="P1318" s="12" t="e">
        <f>HYPERLINK(#REF!,"Link")</f>
        <v>#REF!</v>
      </c>
      <c r="Q1318" s="12" t="e">
        <f>HYPERLINK(#REF!,"Link")</f>
        <v>#REF!</v>
      </c>
    </row>
    <row r="1319" spans="1:17" x14ac:dyDescent="0.3">
      <c r="A1319" t="s">
        <v>3286</v>
      </c>
      <c r="B1319" t="s">
        <v>3287</v>
      </c>
      <c r="C1319" s="9" t="s">
        <v>3727</v>
      </c>
      <c r="D1319" s="9" t="s">
        <v>3849</v>
      </c>
      <c r="E1319" s="14">
        <v>19990</v>
      </c>
      <c r="F1319" s="3">
        <v>5395</v>
      </c>
      <c r="G1319" s="3">
        <f t="shared" si="101"/>
        <v>139930</v>
      </c>
      <c r="H1319" s="3">
        <f t="shared" si="100"/>
        <v>37765</v>
      </c>
      <c r="I1319" s="14">
        <f t="shared" si="102"/>
        <v>102148.9</v>
      </c>
      <c r="J1319" s="14">
        <f t="shared" si="103"/>
        <v>-102165</v>
      </c>
      <c r="K1319" s="1">
        <v>0.73</v>
      </c>
      <c r="L1319">
        <v>4.4000000000000004</v>
      </c>
      <c r="M1319">
        <v>535</v>
      </c>
      <c r="N1319" t="s">
        <v>3288</v>
      </c>
      <c r="O1319">
        <f t="shared" si="104"/>
        <v>7</v>
      </c>
      <c r="P1319" s="12" t="e">
        <f>HYPERLINK(#REF!,"Link")</f>
        <v>#REF!</v>
      </c>
      <c r="Q1319" s="12" t="e">
        <f>HYPERLINK(#REF!,"Link")</f>
        <v>#REF!</v>
      </c>
    </row>
    <row r="1320" spans="1:17" x14ac:dyDescent="0.3">
      <c r="A1320" t="s">
        <v>3289</v>
      </c>
      <c r="B1320" t="s">
        <v>3290</v>
      </c>
      <c r="C1320" s="10" t="s">
        <v>3790</v>
      </c>
      <c r="D1320" s="10" t="s">
        <v>3850</v>
      </c>
      <c r="E1320" s="14">
        <v>1010</v>
      </c>
      <c r="F1320" s="3">
        <v>559</v>
      </c>
      <c r="G1320" s="3">
        <f t="shared" si="101"/>
        <v>2020</v>
      </c>
      <c r="H1320" s="3">
        <f t="shared" si="100"/>
        <v>1118</v>
      </c>
      <c r="I1320" s="14">
        <f t="shared" si="102"/>
        <v>909</v>
      </c>
      <c r="J1320" s="14">
        <f t="shared" si="103"/>
        <v>-902</v>
      </c>
      <c r="K1320" s="1">
        <v>0.45</v>
      </c>
      <c r="L1320">
        <v>4.0999999999999996</v>
      </c>
      <c r="M1320" s="2">
        <v>17325</v>
      </c>
      <c r="N1320" t="s">
        <v>3291</v>
      </c>
      <c r="O1320">
        <f t="shared" si="104"/>
        <v>2</v>
      </c>
      <c r="P1320" s="12" t="e">
        <f>HYPERLINK(#REF!,"Link")</f>
        <v>#REF!</v>
      </c>
      <c r="Q1320" s="12" t="e">
        <f>HYPERLINK(#REF!,"Link")</f>
        <v>#REF!</v>
      </c>
    </row>
    <row r="1321" spans="1:17" x14ac:dyDescent="0.3">
      <c r="A1321" t="s">
        <v>3292</v>
      </c>
      <c r="B1321" t="s">
        <v>2984</v>
      </c>
      <c r="C1321" s="9" t="s">
        <v>3729</v>
      </c>
      <c r="D1321" s="9" t="s">
        <v>3851</v>
      </c>
      <c r="E1321" s="14">
        <v>1100</v>
      </c>
      <c r="F1321" s="3">
        <v>660</v>
      </c>
      <c r="G1321" s="3">
        <f t="shared" si="101"/>
        <v>3300</v>
      </c>
      <c r="H1321" s="3">
        <f t="shared" si="100"/>
        <v>1980</v>
      </c>
      <c r="I1321" s="14">
        <f t="shared" si="102"/>
        <v>1320</v>
      </c>
      <c r="J1321" s="14">
        <f t="shared" si="103"/>
        <v>-1320</v>
      </c>
      <c r="K1321" s="1">
        <v>0.4</v>
      </c>
      <c r="L1321">
        <v>3.6</v>
      </c>
      <c r="M1321">
        <v>91</v>
      </c>
      <c r="N1321" t="s">
        <v>3293</v>
      </c>
      <c r="O1321">
        <f t="shared" si="104"/>
        <v>3</v>
      </c>
      <c r="P1321" s="12" t="e">
        <f>HYPERLINK(#REF!,"Link")</f>
        <v>#REF!</v>
      </c>
      <c r="Q1321" s="12" t="e">
        <f>HYPERLINK(#REF!,"Link")</f>
        <v>#REF!</v>
      </c>
    </row>
    <row r="1322" spans="1:17" x14ac:dyDescent="0.3">
      <c r="A1322" t="s">
        <v>3294</v>
      </c>
      <c r="B1322" t="s">
        <v>3295</v>
      </c>
      <c r="C1322" s="10" t="s">
        <v>3787</v>
      </c>
      <c r="D1322" s="10" t="s">
        <v>3852</v>
      </c>
      <c r="E1322" s="14">
        <v>999</v>
      </c>
      <c r="F1322" s="3">
        <v>419</v>
      </c>
      <c r="G1322" s="3">
        <f t="shared" si="101"/>
        <v>1998</v>
      </c>
      <c r="H1322" s="3">
        <f t="shared" si="100"/>
        <v>838</v>
      </c>
      <c r="I1322" s="14">
        <f t="shared" si="102"/>
        <v>1158.8399999999999</v>
      </c>
      <c r="J1322" s="14">
        <f t="shared" si="103"/>
        <v>-1160</v>
      </c>
      <c r="K1322" s="1">
        <v>0.57999999999999996</v>
      </c>
      <c r="L1322">
        <v>4.4000000000000004</v>
      </c>
      <c r="M1322">
        <v>227</v>
      </c>
      <c r="N1322" t="s">
        <v>3296</v>
      </c>
      <c r="O1322">
        <f t="shared" si="104"/>
        <v>2</v>
      </c>
      <c r="P1322" s="12" t="e">
        <f>HYPERLINK(#REF!,"Link")</f>
        <v>#REF!</v>
      </c>
      <c r="Q1322" s="12" t="e">
        <f>HYPERLINK(#REF!,"Link")</f>
        <v>#REF!</v>
      </c>
    </row>
    <row r="1323" spans="1:17" x14ac:dyDescent="0.3">
      <c r="A1323" t="s">
        <v>3297</v>
      </c>
      <c r="B1323" t="s">
        <v>3298</v>
      </c>
      <c r="C1323" s="9" t="s">
        <v>3853</v>
      </c>
      <c r="D1323" s="9"/>
      <c r="E1323" s="14">
        <v>10900</v>
      </c>
      <c r="F1323" s="3">
        <v>7349</v>
      </c>
      <c r="G1323" s="3">
        <f t="shared" si="101"/>
        <v>32700</v>
      </c>
      <c r="H1323" s="3">
        <f t="shared" si="100"/>
        <v>22047</v>
      </c>
      <c r="I1323" s="14">
        <f t="shared" si="102"/>
        <v>10791</v>
      </c>
      <c r="J1323" s="14">
        <f t="shared" si="103"/>
        <v>-10653</v>
      </c>
      <c r="K1323" s="1">
        <v>0.33</v>
      </c>
      <c r="L1323">
        <v>4.2</v>
      </c>
      <c r="M1323" s="2">
        <v>11957</v>
      </c>
      <c r="N1323" t="s">
        <v>3299</v>
      </c>
      <c r="O1323">
        <f t="shared" si="104"/>
        <v>3</v>
      </c>
      <c r="P1323" s="12" t="e">
        <f>HYPERLINK(#REF!,"Link")</f>
        <v>#REF!</v>
      </c>
      <c r="Q1323" s="12" t="e">
        <f>HYPERLINK(#REF!,"Link")</f>
        <v>#REF!</v>
      </c>
    </row>
    <row r="1324" spans="1:17" x14ac:dyDescent="0.3">
      <c r="A1324" t="s">
        <v>3300</v>
      </c>
      <c r="B1324" t="s">
        <v>3301</v>
      </c>
      <c r="C1324" s="10"/>
      <c r="D1324" s="10"/>
      <c r="E1324" s="14">
        <v>4005</v>
      </c>
      <c r="F1324" s="3">
        <v>2899</v>
      </c>
      <c r="G1324" s="3">
        <f t="shared" si="101"/>
        <v>8010</v>
      </c>
      <c r="H1324" s="3">
        <f t="shared" si="100"/>
        <v>5798</v>
      </c>
      <c r="I1324" s="14">
        <f t="shared" si="102"/>
        <v>2242.8000000000002</v>
      </c>
      <c r="J1324" s="14">
        <f t="shared" si="103"/>
        <v>-2212</v>
      </c>
      <c r="K1324" s="1">
        <v>0.28000000000000003</v>
      </c>
      <c r="L1324">
        <v>4.3</v>
      </c>
      <c r="M1324" s="2">
        <v>7140</v>
      </c>
      <c r="N1324" t="s">
        <v>3302</v>
      </c>
      <c r="O1324">
        <f t="shared" si="104"/>
        <v>2</v>
      </c>
      <c r="P1324" s="12" t="e">
        <f>HYPERLINK(#REF!,"Link")</f>
        <v>#REF!</v>
      </c>
      <c r="Q1324" s="12" t="e">
        <f>HYPERLINK(#REF!,"Link")</f>
        <v>#REF!</v>
      </c>
    </row>
    <row r="1325" spans="1:17" x14ac:dyDescent="0.3">
      <c r="A1325" t="s">
        <v>3303</v>
      </c>
      <c r="B1325" t="s">
        <v>3304</v>
      </c>
      <c r="C1325" s="9" t="s">
        <v>3854</v>
      </c>
      <c r="D1325" s="9"/>
      <c r="E1325" s="14">
        <v>3295</v>
      </c>
      <c r="F1325" s="3">
        <v>1799</v>
      </c>
      <c r="G1325" s="3">
        <f t="shared" si="101"/>
        <v>6590</v>
      </c>
      <c r="H1325" s="3">
        <f t="shared" si="100"/>
        <v>3598</v>
      </c>
      <c r="I1325" s="14">
        <f t="shared" si="102"/>
        <v>2965.5</v>
      </c>
      <c r="J1325" s="14">
        <f t="shared" si="103"/>
        <v>-2992</v>
      </c>
      <c r="K1325" s="1">
        <v>0.45</v>
      </c>
      <c r="L1325">
        <v>3.8</v>
      </c>
      <c r="M1325">
        <v>687</v>
      </c>
      <c r="N1325" t="s">
        <v>3305</v>
      </c>
      <c r="O1325">
        <f t="shared" si="104"/>
        <v>2</v>
      </c>
      <c r="P1325" s="12" t="e">
        <f>HYPERLINK(#REF!,"Link")</f>
        <v>#REF!</v>
      </c>
      <c r="Q1325" s="12" t="e">
        <f>HYPERLINK(#REF!,"Link")</f>
        <v>#REF!</v>
      </c>
    </row>
    <row r="1326" spans="1:17" x14ac:dyDescent="0.3">
      <c r="A1326" t="s">
        <v>3306</v>
      </c>
      <c r="B1326" t="s">
        <v>3307</v>
      </c>
      <c r="C1326" s="10" t="s">
        <v>3795</v>
      </c>
      <c r="D1326" s="10"/>
      <c r="E1326" s="14">
        <v>4650</v>
      </c>
      <c r="F1326" s="3">
        <v>1474</v>
      </c>
      <c r="G1326" s="3">
        <f t="shared" si="101"/>
        <v>13950</v>
      </c>
      <c r="H1326" s="3">
        <f t="shared" si="100"/>
        <v>4422</v>
      </c>
      <c r="I1326" s="14">
        <f t="shared" si="102"/>
        <v>9486</v>
      </c>
      <c r="J1326" s="14">
        <f t="shared" si="103"/>
        <v>-9528</v>
      </c>
      <c r="K1326" s="1">
        <v>0.68</v>
      </c>
      <c r="L1326">
        <v>4.0999999999999996</v>
      </c>
      <c r="M1326" s="2">
        <v>1045</v>
      </c>
      <c r="N1326" t="s">
        <v>3308</v>
      </c>
      <c r="O1326">
        <f t="shared" si="104"/>
        <v>3</v>
      </c>
      <c r="P1326" s="12" t="e">
        <f>HYPERLINK(#REF!,"Link")</f>
        <v>#REF!</v>
      </c>
      <c r="Q1326" s="12" t="e">
        <f>HYPERLINK(#REF!,"Link")</f>
        <v>#REF!</v>
      </c>
    </row>
    <row r="1327" spans="1:17" x14ac:dyDescent="0.3">
      <c r="A1327" t="s">
        <v>3309</v>
      </c>
      <c r="B1327" t="s">
        <v>3310</v>
      </c>
      <c r="C1327" s="9" t="s">
        <v>3790</v>
      </c>
      <c r="D1327" s="9" t="s">
        <v>3855</v>
      </c>
      <c r="E1327" s="14">
        <v>24500</v>
      </c>
      <c r="F1327" s="3">
        <v>15999</v>
      </c>
      <c r="G1327" s="3">
        <f t="shared" si="101"/>
        <v>73500</v>
      </c>
      <c r="H1327" s="3">
        <f t="shared" si="100"/>
        <v>47997</v>
      </c>
      <c r="I1327" s="14">
        <f t="shared" si="102"/>
        <v>25725</v>
      </c>
      <c r="J1327" s="14">
        <f t="shared" si="103"/>
        <v>-25503</v>
      </c>
      <c r="K1327" s="1">
        <v>0.35</v>
      </c>
      <c r="L1327">
        <v>4</v>
      </c>
      <c r="M1327" s="2">
        <v>11206</v>
      </c>
      <c r="N1327" t="s">
        <v>3311</v>
      </c>
      <c r="O1327">
        <f t="shared" si="104"/>
        <v>3</v>
      </c>
      <c r="P1327" s="12" t="e">
        <f>HYPERLINK(#REF!,"Link")</f>
        <v>#REF!</v>
      </c>
      <c r="Q1327" s="12" t="e">
        <f>HYPERLINK(#REF!,"Link")</f>
        <v>#REF!</v>
      </c>
    </row>
    <row r="1328" spans="1:17" x14ac:dyDescent="0.3">
      <c r="A1328" t="s">
        <v>3312</v>
      </c>
      <c r="B1328" t="s">
        <v>3313</v>
      </c>
      <c r="C1328" s="10" t="s">
        <v>3856</v>
      </c>
      <c r="D1328" s="10" t="s">
        <v>3857</v>
      </c>
      <c r="E1328" s="14">
        <v>6070</v>
      </c>
      <c r="F1328" s="3">
        <v>3645</v>
      </c>
      <c r="G1328" s="3">
        <f t="shared" si="101"/>
        <v>18210</v>
      </c>
      <c r="H1328" s="3">
        <f t="shared" si="100"/>
        <v>10935</v>
      </c>
      <c r="I1328" s="14">
        <f t="shared" si="102"/>
        <v>7284</v>
      </c>
      <c r="J1328" s="14">
        <f t="shared" si="103"/>
        <v>-7275</v>
      </c>
      <c r="K1328" s="1">
        <v>0.4</v>
      </c>
      <c r="L1328">
        <v>4.2</v>
      </c>
      <c r="M1328">
        <v>561</v>
      </c>
      <c r="N1328" t="s">
        <v>3314</v>
      </c>
      <c r="O1328">
        <f t="shared" si="104"/>
        <v>3</v>
      </c>
      <c r="P1328" s="12" t="e">
        <f>HYPERLINK(#REF!,"Link")</f>
        <v>#REF!</v>
      </c>
      <c r="Q1328" s="12" t="e">
        <f>HYPERLINK(#REF!,"Link")</f>
        <v>#REF!</v>
      </c>
    </row>
    <row r="1329" spans="1:17" x14ac:dyDescent="0.3">
      <c r="A1329" t="s">
        <v>3315</v>
      </c>
      <c r="B1329" t="s">
        <v>3316</v>
      </c>
      <c r="C1329" s="9" t="s">
        <v>3858</v>
      </c>
      <c r="D1329" s="9"/>
      <c r="E1329" s="14">
        <v>999</v>
      </c>
      <c r="F1329" s="3">
        <v>375</v>
      </c>
      <c r="G1329" s="3">
        <f t="shared" si="101"/>
        <v>1998</v>
      </c>
      <c r="H1329" s="3">
        <f t="shared" si="100"/>
        <v>750</v>
      </c>
      <c r="I1329" s="14">
        <f t="shared" si="102"/>
        <v>1238.76</v>
      </c>
      <c r="J1329" s="14">
        <f t="shared" si="103"/>
        <v>-1248</v>
      </c>
      <c r="K1329" s="1">
        <v>0.62</v>
      </c>
      <c r="L1329">
        <v>3.6</v>
      </c>
      <c r="M1329" s="2">
        <v>1988</v>
      </c>
      <c r="N1329" t="s">
        <v>3317</v>
      </c>
      <c r="O1329">
        <f t="shared" si="104"/>
        <v>2</v>
      </c>
      <c r="P1329" s="12" t="e">
        <f>HYPERLINK(#REF!,"Link")</f>
        <v>#REF!</v>
      </c>
      <c r="Q1329" s="12" t="e">
        <f>HYPERLINK(#REF!,"Link")</f>
        <v>#REF!</v>
      </c>
    </row>
    <row r="1330" spans="1:17" x14ac:dyDescent="0.3">
      <c r="A1330" t="s">
        <v>3318</v>
      </c>
      <c r="B1330" t="s">
        <v>3319</v>
      </c>
      <c r="C1330" s="10" t="s">
        <v>3859</v>
      </c>
      <c r="D1330" s="10" t="s">
        <v>3860</v>
      </c>
      <c r="E1330" s="14">
        <v>3945</v>
      </c>
      <c r="F1330" s="3">
        <v>2976</v>
      </c>
      <c r="G1330" s="3">
        <f t="shared" si="101"/>
        <v>7890</v>
      </c>
      <c r="H1330" s="3">
        <f t="shared" si="100"/>
        <v>5952</v>
      </c>
      <c r="I1330" s="14">
        <f t="shared" si="102"/>
        <v>1972.5</v>
      </c>
      <c r="J1330" s="14">
        <f t="shared" si="103"/>
        <v>-1938</v>
      </c>
      <c r="K1330" s="1">
        <v>0.25</v>
      </c>
      <c r="L1330">
        <v>4.2</v>
      </c>
      <c r="M1330" s="2">
        <v>3740</v>
      </c>
      <c r="N1330" t="s">
        <v>3320</v>
      </c>
      <c r="O1330">
        <f t="shared" si="104"/>
        <v>2</v>
      </c>
      <c r="P1330" s="12" t="e">
        <f>HYPERLINK(#REF!,"Link")</f>
        <v>#REF!</v>
      </c>
      <c r="Q1330" s="12" t="e">
        <f>HYPERLINK(#REF!,"Link")</f>
        <v>#REF!</v>
      </c>
    </row>
    <row r="1331" spans="1:17" x14ac:dyDescent="0.3">
      <c r="A1331" t="s">
        <v>3321</v>
      </c>
      <c r="B1331" t="s">
        <v>3322</v>
      </c>
      <c r="C1331" s="9" t="s">
        <v>3861</v>
      </c>
      <c r="D1331" s="9" t="s">
        <v>3862</v>
      </c>
      <c r="E1331" s="14">
        <v>1499</v>
      </c>
      <c r="F1331" s="3">
        <v>1099</v>
      </c>
      <c r="G1331" s="3">
        <f t="shared" si="101"/>
        <v>4497</v>
      </c>
      <c r="H1331" s="3">
        <f t="shared" si="100"/>
        <v>3297</v>
      </c>
      <c r="I1331" s="14">
        <f t="shared" si="102"/>
        <v>1214.19</v>
      </c>
      <c r="J1331" s="14">
        <f t="shared" si="103"/>
        <v>-1200</v>
      </c>
      <c r="K1331" s="1">
        <v>0.27</v>
      </c>
      <c r="L1331">
        <v>4.0999999999999996</v>
      </c>
      <c r="M1331" s="2">
        <v>4401</v>
      </c>
      <c r="N1331" t="s">
        <v>3323</v>
      </c>
      <c r="O1331">
        <f t="shared" si="104"/>
        <v>3</v>
      </c>
      <c r="P1331" s="12" t="e">
        <f>HYPERLINK(#REF!,"Link")</f>
        <v>#REF!</v>
      </c>
      <c r="Q1331" s="12" t="e">
        <f>HYPERLINK(#REF!,"Link")</f>
        <v>#REF!</v>
      </c>
    </row>
    <row r="1332" spans="1:17" x14ac:dyDescent="0.3">
      <c r="A1332" t="s">
        <v>3324</v>
      </c>
      <c r="B1332" t="s">
        <v>3325</v>
      </c>
      <c r="C1332" s="10" t="s">
        <v>3861</v>
      </c>
      <c r="D1332" s="10" t="s">
        <v>3863</v>
      </c>
      <c r="E1332" s="14">
        <v>6700</v>
      </c>
      <c r="F1332" s="3">
        <v>2575</v>
      </c>
      <c r="G1332" s="3">
        <f t="shared" si="101"/>
        <v>20100</v>
      </c>
      <c r="H1332" s="3">
        <f t="shared" si="100"/>
        <v>7725</v>
      </c>
      <c r="I1332" s="14">
        <f t="shared" si="102"/>
        <v>12462</v>
      </c>
      <c r="J1332" s="14">
        <f t="shared" si="103"/>
        <v>-12375</v>
      </c>
      <c r="K1332" s="1">
        <v>0.62</v>
      </c>
      <c r="L1332">
        <v>4.2</v>
      </c>
      <c r="M1332">
        <v>611</v>
      </c>
      <c r="N1332" t="s">
        <v>3326</v>
      </c>
      <c r="O1332">
        <f t="shared" si="104"/>
        <v>3</v>
      </c>
      <c r="P1332" s="12" t="e">
        <f>HYPERLINK(#REF!,"Link")</f>
        <v>#REF!</v>
      </c>
      <c r="Q1332" s="12" t="e">
        <f>HYPERLINK(#REF!,"Link")</f>
        <v>#REF!</v>
      </c>
    </row>
    <row r="1333" spans="1:17" x14ac:dyDescent="0.3">
      <c r="A1333" t="s">
        <v>3327</v>
      </c>
      <c r="B1333" t="s">
        <v>3328</v>
      </c>
      <c r="C1333" s="9" t="s">
        <v>3864</v>
      </c>
      <c r="D1333" s="9" t="s">
        <v>3865</v>
      </c>
      <c r="E1333" s="14">
        <v>2800</v>
      </c>
      <c r="F1333" s="3">
        <v>1649</v>
      </c>
      <c r="G1333" s="3">
        <f t="shared" si="101"/>
        <v>5600</v>
      </c>
      <c r="H1333" s="3">
        <f t="shared" si="100"/>
        <v>3298</v>
      </c>
      <c r="I1333" s="14">
        <f t="shared" si="102"/>
        <v>2296</v>
      </c>
      <c r="J1333" s="14">
        <f t="shared" si="103"/>
        <v>-2302</v>
      </c>
      <c r="K1333" s="1">
        <v>0.41</v>
      </c>
      <c r="L1333">
        <v>3.9</v>
      </c>
      <c r="M1333" s="2">
        <v>2162</v>
      </c>
      <c r="N1333" t="s">
        <v>3329</v>
      </c>
      <c r="O1333">
        <f t="shared" si="104"/>
        <v>2</v>
      </c>
      <c r="P1333" s="12" t="e">
        <f>HYPERLINK(#REF!,"Link")</f>
        <v>#REF!</v>
      </c>
      <c r="Q1333" s="12" t="e">
        <f>HYPERLINK(#REF!,"Link")</f>
        <v>#REF!</v>
      </c>
    </row>
    <row r="1334" spans="1:17" x14ac:dyDescent="0.3">
      <c r="A1334" t="s">
        <v>3330</v>
      </c>
      <c r="B1334" t="s">
        <v>3331</v>
      </c>
      <c r="C1334" s="10" t="s">
        <v>3859</v>
      </c>
      <c r="D1334" s="10" t="s">
        <v>3866</v>
      </c>
      <c r="E1334" s="14">
        <v>1699</v>
      </c>
      <c r="F1334" s="3">
        <v>799</v>
      </c>
      <c r="G1334" s="3">
        <f t="shared" si="101"/>
        <v>6796</v>
      </c>
      <c r="H1334" s="3">
        <f t="shared" si="100"/>
        <v>3196</v>
      </c>
      <c r="I1334" s="14">
        <f t="shared" si="102"/>
        <v>3601.88</v>
      </c>
      <c r="J1334" s="14">
        <f t="shared" si="103"/>
        <v>-3600</v>
      </c>
      <c r="K1334" s="1">
        <v>0.53</v>
      </c>
      <c r="L1334">
        <v>4</v>
      </c>
      <c r="M1334">
        <v>97</v>
      </c>
      <c r="N1334" t="s">
        <v>3332</v>
      </c>
      <c r="O1334">
        <f t="shared" si="104"/>
        <v>4</v>
      </c>
      <c r="P1334" s="12" t="e">
        <f>HYPERLINK(#REF!,"Link")</f>
        <v>#REF!</v>
      </c>
      <c r="Q1334" s="12" t="e">
        <f>HYPERLINK(#REF!,"Link")</f>
        <v>#REF!</v>
      </c>
    </row>
    <row r="1335" spans="1:17" x14ac:dyDescent="0.3">
      <c r="A1335" t="s">
        <v>3333</v>
      </c>
      <c r="B1335" t="s">
        <v>3334</v>
      </c>
      <c r="C1335" s="9" t="s">
        <v>3867</v>
      </c>
      <c r="D1335" s="9" t="s">
        <v>3868</v>
      </c>
      <c r="E1335" s="14">
        <v>970</v>
      </c>
      <c r="F1335" s="3">
        <v>765</v>
      </c>
      <c r="G1335" s="3">
        <f t="shared" si="101"/>
        <v>2910</v>
      </c>
      <c r="H1335" s="3">
        <f t="shared" si="100"/>
        <v>2295</v>
      </c>
      <c r="I1335" s="14">
        <f t="shared" si="102"/>
        <v>611.09999999999991</v>
      </c>
      <c r="J1335" s="14">
        <f t="shared" si="103"/>
        <v>-615</v>
      </c>
      <c r="K1335" s="1">
        <v>0.21</v>
      </c>
      <c r="L1335">
        <v>4.2</v>
      </c>
      <c r="M1335" s="2">
        <v>6055</v>
      </c>
      <c r="N1335" t="s">
        <v>3335</v>
      </c>
      <c r="O1335">
        <f t="shared" si="104"/>
        <v>3</v>
      </c>
      <c r="P1335" s="12" t="e">
        <f>HYPERLINK(#REF!,"Link")</f>
        <v>#REF!</v>
      </c>
      <c r="Q1335" s="12" t="e">
        <f>HYPERLINK(#REF!,"Link")</f>
        <v>#REF!</v>
      </c>
    </row>
    <row r="1336" spans="1:17" x14ac:dyDescent="0.3">
      <c r="A1336" t="s">
        <v>3336</v>
      </c>
      <c r="B1336" t="s">
        <v>3337</v>
      </c>
      <c r="C1336" s="10" t="s">
        <v>3859</v>
      </c>
      <c r="D1336" s="10" t="s">
        <v>3869</v>
      </c>
      <c r="E1336" s="14">
        <v>1500</v>
      </c>
      <c r="F1336" s="3">
        <v>999</v>
      </c>
      <c r="G1336" s="3">
        <f t="shared" si="101"/>
        <v>4500</v>
      </c>
      <c r="H1336" s="3">
        <f t="shared" si="100"/>
        <v>2997</v>
      </c>
      <c r="I1336" s="14">
        <f t="shared" si="102"/>
        <v>1485</v>
      </c>
      <c r="J1336" s="14">
        <f t="shared" si="103"/>
        <v>-1503</v>
      </c>
      <c r="K1336" s="1">
        <v>0.33</v>
      </c>
      <c r="L1336">
        <v>4.2</v>
      </c>
      <c r="M1336">
        <v>386</v>
      </c>
      <c r="N1336" t="s">
        <v>3338</v>
      </c>
      <c r="O1336">
        <f t="shared" si="104"/>
        <v>3</v>
      </c>
      <c r="P1336" s="12" t="e">
        <f>HYPERLINK(#REF!,"Link")</f>
        <v>#REF!</v>
      </c>
      <c r="Q1336" s="12" t="e">
        <f>HYPERLINK(#REF!,"Link")</f>
        <v>#REF!</v>
      </c>
    </row>
    <row r="1337" spans="1:17" x14ac:dyDescent="0.3">
      <c r="A1337" t="s">
        <v>3339</v>
      </c>
      <c r="B1337" t="s">
        <v>3340</v>
      </c>
      <c r="C1337" s="9" t="s">
        <v>3859</v>
      </c>
      <c r="D1337" s="9" t="s">
        <v>3870</v>
      </c>
      <c r="E1337" s="14">
        <v>1295</v>
      </c>
      <c r="F1337" s="3">
        <v>587</v>
      </c>
      <c r="G1337" s="3">
        <f t="shared" si="101"/>
        <v>5180</v>
      </c>
      <c r="H1337" s="3">
        <f t="shared" si="100"/>
        <v>2348</v>
      </c>
      <c r="I1337" s="14">
        <f t="shared" si="102"/>
        <v>2849.0000000000005</v>
      </c>
      <c r="J1337" s="14">
        <f t="shared" si="103"/>
        <v>-2832</v>
      </c>
      <c r="K1337" s="1">
        <v>0.55000000000000004</v>
      </c>
      <c r="L1337">
        <v>4.0999999999999996</v>
      </c>
      <c r="M1337">
        <v>557</v>
      </c>
      <c r="N1337" t="s">
        <v>3341</v>
      </c>
      <c r="O1337">
        <f t="shared" si="104"/>
        <v>4</v>
      </c>
      <c r="P1337" s="12" t="e">
        <f>HYPERLINK(#REF!,"Link")</f>
        <v>#REF!</v>
      </c>
      <c r="Q1337" s="12" t="e">
        <f>HYPERLINK(#REF!,"Link")</f>
        <v>#REF!</v>
      </c>
    </row>
    <row r="1338" spans="1:17" x14ac:dyDescent="0.3">
      <c r="A1338" t="s">
        <v>3342</v>
      </c>
      <c r="B1338" t="s">
        <v>3343</v>
      </c>
      <c r="C1338" s="10" t="s">
        <v>3864</v>
      </c>
      <c r="D1338" s="10" t="s">
        <v>3865</v>
      </c>
      <c r="E1338" s="14">
        <v>23999</v>
      </c>
      <c r="F1338" s="3">
        <v>12609</v>
      </c>
      <c r="G1338" s="3">
        <f t="shared" si="101"/>
        <v>47998</v>
      </c>
      <c r="H1338" s="3">
        <f t="shared" si="100"/>
        <v>25218</v>
      </c>
      <c r="I1338" s="14">
        <f t="shared" si="102"/>
        <v>22559.059999999998</v>
      </c>
      <c r="J1338" s="14">
        <f t="shared" si="103"/>
        <v>-22780</v>
      </c>
      <c r="K1338" s="1">
        <v>0.47</v>
      </c>
      <c r="L1338">
        <v>4.4000000000000004</v>
      </c>
      <c r="M1338" s="2">
        <v>2288</v>
      </c>
      <c r="N1338" t="s">
        <v>3344</v>
      </c>
      <c r="O1338">
        <f t="shared" si="104"/>
        <v>2</v>
      </c>
      <c r="P1338" s="12" t="e">
        <f>HYPERLINK(#REF!,"Link")</f>
        <v>#REF!</v>
      </c>
      <c r="Q1338" s="12" t="e">
        <f>HYPERLINK(#REF!,"Link")</f>
        <v>#REF!</v>
      </c>
    </row>
    <row r="1339" spans="1:17" x14ac:dyDescent="0.3">
      <c r="A1339" t="s">
        <v>3345</v>
      </c>
      <c r="B1339" t="s">
        <v>3346</v>
      </c>
      <c r="C1339" s="9" t="s">
        <v>3859</v>
      </c>
      <c r="D1339" s="9" t="s">
        <v>3871</v>
      </c>
      <c r="E1339" s="14">
        <v>850</v>
      </c>
      <c r="F1339" s="3">
        <v>699</v>
      </c>
      <c r="G1339" s="3">
        <f t="shared" si="101"/>
        <v>1700</v>
      </c>
      <c r="H1339" s="3">
        <f t="shared" si="100"/>
        <v>1398</v>
      </c>
      <c r="I1339" s="14">
        <f t="shared" si="102"/>
        <v>306</v>
      </c>
      <c r="J1339" s="14">
        <f t="shared" si="103"/>
        <v>-302</v>
      </c>
      <c r="K1339" s="1">
        <v>0.18</v>
      </c>
      <c r="L1339">
        <v>4.0999999999999996</v>
      </c>
      <c r="M1339" s="2">
        <v>1106</v>
      </c>
      <c r="N1339" t="s">
        <v>3347</v>
      </c>
      <c r="O1339">
        <f t="shared" si="104"/>
        <v>2</v>
      </c>
      <c r="P1339" s="12" t="e">
        <f>HYPERLINK(#REF!,"Link")</f>
        <v>#REF!</v>
      </c>
      <c r="Q1339" s="12" t="e">
        <f>HYPERLINK(#REF!,"Link")</f>
        <v>#REF!</v>
      </c>
    </row>
    <row r="1340" spans="1:17" x14ac:dyDescent="0.3">
      <c r="A1340" t="s">
        <v>3348</v>
      </c>
      <c r="B1340" t="s">
        <v>3349</v>
      </c>
      <c r="C1340" s="10" t="s">
        <v>3872</v>
      </c>
      <c r="D1340" s="10" t="s">
        <v>3873</v>
      </c>
      <c r="E1340" s="14">
        <v>6000</v>
      </c>
      <c r="F1340" s="3">
        <v>3799</v>
      </c>
      <c r="G1340" s="3">
        <f t="shared" si="101"/>
        <v>36000</v>
      </c>
      <c r="H1340" s="3">
        <f t="shared" si="100"/>
        <v>22794</v>
      </c>
      <c r="I1340" s="14">
        <f t="shared" si="102"/>
        <v>13320</v>
      </c>
      <c r="J1340" s="14">
        <f t="shared" si="103"/>
        <v>-13206</v>
      </c>
      <c r="K1340" s="1">
        <v>0.37</v>
      </c>
      <c r="L1340">
        <v>4.2</v>
      </c>
      <c r="M1340" s="2">
        <v>11935</v>
      </c>
      <c r="N1340" t="s">
        <v>3350</v>
      </c>
      <c r="O1340">
        <f t="shared" si="104"/>
        <v>6</v>
      </c>
      <c r="P1340" s="12" t="e">
        <f>HYPERLINK(#REF!,"Link")</f>
        <v>#REF!</v>
      </c>
      <c r="Q1340" s="12" t="e">
        <f>HYPERLINK(#REF!,"Link")</f>
        <v>#REF!</v>
      </c>
    </row>
    <row r="1341" spans="1:17" x14ac:dyDescent="0.3">
      <c r="A1341" t="s">
        <v>3351</v>
      </c>
      <c r="B1341" t="s">
        <v>3352</v>
      </c>
      <c r="C1341" s="9" t="s">
        <v>3861</v>
      </c>
      <c r="D1341" s="9"/>
      <c r="E1341" s="14">
        <v>1020</v>
      </c>
      <c r="F1341" s="3">
        <v>640</v>
      </c>
      <c r="G1341" s="3">
        <f t="shared" si="101"/>
        <v>1020</v>
      </c>
      <c r="H1341" s="3">
        <f t="shared" si="100"/>
        <v>640</v>
      </c>
      <c r="I1341" s="14">
        <f t="shared" si="102"/>
        <v>377.4</v>
      </c>
      <c r="J1341" s="14">
        <f t="shared" si="103"/>
        <v>-380</v>
      </c>
      <c r="K1341" s="1">
        <v>0.37</v>
      </c>
      <c r="L1341">
        <v>4.0999999999999996</v>
      </c>
      <c r="M1341" s="2">
        <v>5059</v>
      </c>
      <c r="N1341" t="s">
        <v>3353</v>
      </c>
      <c r="O1341">
        <f t="shared" si="104"/>
        <v>1</v>
      </c>
      <c r="P1341" s="12" t="e">
        <f>HYPERLINK(#REF!,"Link")</f>
        <v>#REF!</v>
      </c>
      <c r="Q1341" s="12" t="e">
        <f>HYPERLINK(#REF!,"Link")</f>
        <v>#REF!</v>
      </c>
    </row>
    <row r="1342" spans="1:17" x14ac:dyDescent="0.3">
      <c r="A1342" t="s">
        <v>3354</v>
      </c>
      <c r="B1342" t="s">
        <v>3355</v>
      </c>
      <c r="C1342" s="10" t="s">
        <v>3859</v>
      </c>
      <c r="D1342" s="10" t="s">
        <v>3860</v>
      </c>
      <c r="E1342" s="14">
        <v>1999</v>
      </c>
      <c r="F1342" s="3">
        <v>979</v>
      </c>
      <c r="G1342" s="3">
        <f t="shared" si="101"/>
        <v>5997</v>
      </c>
      <c r="H1342" s="3">
        <f t="shared" si="100"/>
        <v>2937</v>
      </c>
      <c r="I1342" s="14">
        <f t="shared" si="102"/>
        <v>3058.4700000000003</v>
      </c>
      <c r="J1342" s="14">
        <f t="shared" si="103"/>
        <v>-3060</v>
      </c>
      <c r="K1342" s="1">
        <v>0.51</v>
      </c>
      <c r="L1342">
        <v>3.9</v>
      </c>
      <c r="M1342">
        <v>157</v>
      </c>
      <c r="N1342" t="s">
        <v>3356</v>
      </c>
      <c r="O1342">
        <f t="shared" si="104"/>
        <v>3</v>
      </c>
      <c r="P1342" s="12" t="e">
        <f>HYPERLINK(#REF!,"Link")</f>
        <v>#REF!</v>
      </c>
      <c r="Q1342" s="12" t="e">
        <f>HYPERLINK(#REF!,"Link")</f>
        <v>#REF!</v>
      </c>
    </row>
    <row r="1343" spans="1:17" x14ac:dyDescent="0.3">
      <c r="A1343" t="s">
        <v>3357</v>
      </c>
      <c r="B1343" t="s">
        <v>3358</v>
      </c>
      <c r="C1343" s="9" t="s">
        <v>3872</v>
      </c>
      <c r="D1343" s="9" t="s">
        <v>3874</v>
      </c>
      <c r="E1343" s="14">
        <v>7445</v>
      </c>
      <c r="F1343" s="3">
        <v>5365</v>
      </c>
      <c r="G1343" s="3">
        <f t="shared" si="101"/>
        <v>14890</v>
      </c>
      <c r="H1343" s="3">
        <f t="shared" si="100"/>
        <v>10730</v>
      </c>
      <c r="I1343" s="14">
        <f t="shared" si="102"/>
        <v>4169.2000000000007</v>
      </c>
      <c r="J1343" s="14">
        <f t="shared" si="103"/>
        <v>-4160</v>
      </c>
      <c r="K1343" s="1">
        <v>0.28000000000000003</v>
      </c>
      <c r="L1343">
        <v>3.9</v>
      </c>
      <c r="M1343" s="2">
        <v>3584</v>
      </c>
      <c r="N1343" t="s">
        <v>3359</v>
      </c>
      <c r="O1343">
        <f t="shared" si="104"/>
        <v>2</v>
      </c>
      <c r="P1343" s="12" t="e">
        <f>HYPERLINK(#REF!,"Link")</f>
        <v>#REF!</v>
      </c>
      <c r="Q1343" s="12" t="e">
        <f>HYPERLINK(#REF!,"Link")</f>
        <v>#REF!</v>
      </c>
    </row>
    <row r="1344" spans="1:17" x14ac:dyDescent="0.3">
      <c r="A1344" t="s">
        <v>3360</v>
      </c>
      <c r="B1344" t="s">
        <v>3361</v>
      </c>
      <c r="C1344" s="10" t="s">
        <v>3872</v>
      </c>
      <c r="D1344" s="10" t="s">
        <v>3875</v>
      </c>
      <c r="E1344" s="14">
        <v>3500</v>
      </c>
      <c r="F1344" s="3">
        <v>3199</v>
      </c>
      <c r="G1344" s="3">
        <f t="shared" si="101"/>
        <v>7000</v>
      </c>
      <c r="H1344" s="3">
        <f t="shared" si="100"/>
        <v>6398</v>
      </c>
      <c r="I1344" s="14">
        <f t="shared" si="102"/>
        <v>630</v>
      </c>
      <c r="J1344" s="14">
        <f t="shared" si="103"/>
        <v>-602</v>
      </c>
      <c r="K1344" s="1">
        <v>0.09</v>
      </c>
      <c r="L1344">
        <v>4.2</v>
      </c>
      <c r="M1344" s="2">
        <v>1899</v>
      </c>
      <c r="N1344" t="s">
        <v>3362</v>
      </c>
      <c r="O1344">
        <f t="shared" si="104"/>
        <v>2</v>
      </c>
      <c r="P1344" s="12" t="e">
        <f>HYPERLINK(#REF!,"Link")</f>
        <v>#REF!</v>
      </c>
      <c r="Q1344" s="12" t="e">
        <f>HYPERLINK(#REF!,"Link")</f>
        <v>#REF!</v>
      </c>
    </row>
    <row r="1345" spans="1:17" x14ac:dyDescent="0.3">
      <c r="A1345" t="s">
        <v>3363</v>
      </c>
      <c r="B1345" t="s">
        <v>3364</v>
      </c>
      <c r="C1345" s="9" t="s">
        <v>3859</v>
      </c>
      <c r="D1345" s="9" t="s">
        <v>3876</v>
      </c>
      <c r="E1345" s="14">
        <v>1395</v>
      </c>
      <c r="F1345" s="3">
        <v>979</v>
      </c>
      <c r="G1345" s="3">
        <f t="shared" si="101"/>
        <v>5580</v>
      </c>
      <c r="H1345" s="3">
        <f t="shared" si="100"/>
        <v>3916</v>
      </c>
      <c r="I1345" s="14">
        <f t="shared" si="102"/>
        <v>1674</v>
      </c>
      <c r="J1345" s="14">
        <f t="shared" si="103"/>
        <v>-1664</v>
      </c>
      <c r="K1345" s="1">
        <v>0.3</v>
      </c>
      <c r="L1345">
        <v>4.2</v>
      </c>
      <c r="M1345" s="2">
        <v>15252</v>
      </c>
      <c r="N1345" t="s">
        <v>3365</v>
      </c>
      <c r="O1345">
        <f t="shared" si="104"/>
        <v>4</v>
      </c>
      <c r="P1345" s="12" t="e">
        <f>HYPERLINK(#REF!,"Link")</f>
        <v>#REF!</v>
      </c>
      <c r="Q1345" s="12" t="e">
        <f>HYPERLINK(#REF!,"Link")</f>
        <v>#REF!</v>
      </c>
    </row>
    <row r="1346" spans="1:17" x14ac:dyDescent="0.3">
      <c r="A1346" t="s">
        <v>3366</v>
      </c>
      <c r="B1346" t="s">
        <v>3367</v>
      </c>
      <c r="C1346" s="10" t="s">
        <v>3877</v>
      </c>
      <c r="D1346" s="10" t="s">
        <v>3878</v>
      </c>
      <c r="E1346" s="14">
        <v>2199</v>
      </c>
      <c r="F1346" s="3">
        <v>929</v>
      </c>
      <c r="G1346" s="3">
        <f t="shared" si="101"/>
        <v>6597</v>
      </c>
      <c r="H1346" s="3">
        <f t="shared" ref="H1346:H1409" si="105">F1346*O1346</f>
        <v>2787</v>
      </c>
      <c r="I1346" s="14">
        <f t="shared" si="102"/>
        <v>3826.2599999999993</v>
      </c>
      <c r="J1346" s="14">
        <f t="shared" si="103"/>
        <v>-3810</v>
      </c>
      <c r="K1346" s="1">
        <v>0.57999999999999996</v>
      </c>
      <c r="L1346">
        <v>3.7</v>
      </c>
      <c r="M1346">
        <v>4</v>
      </c>
      <c r="N1346" t="s">
        <v>3368</v>
      </c>
      <c r="O1346">
        <f t="shared" si="104"/>
        <v>3</v>
      </c>
      <c r="P1346" s="12" t="e">
        <f>HYPERLINK(#REF!,"Link")</f>
        <v>#REF!</v>
      </c>
      <c r="Q1346" s="12" t="e">
        <f>HYPERLINK(#REF!,"Link")</f>
        <v>#REF!</v>
      </c>
    </row>
    <row r="1347" spans="1:17" x14ac:dyDescent="0.3">
      <c r="A1347" t="s">
        <v>3369</v>
      </c>
      <c r="B1347" t="s">
        <v>3370</v>
      </c>
      <c r="C1347" s="9" t="s">
        <v>3859</v>
      </c>
      <c r="D1347" s="9" t="s">
        <v>3879</v>
      </c>
      <c r="E1347" s="14">
        <v>4330</v>
      </c>
      <c r="F1347" s="3">
        <v>3710</v>
      </c>
      <c r="G1347" s="3">
        <f t="shared" ref="G1347:G1410" si="106">E1347*O1347</f>
        <v>25980</v>
      </c>
      <c r="H1347" s="3">
        <f t="shared" si="105"/>
        <v>22260</v>
      </c>
      <c r="I1347" s="14">
        <f t="shared" ref="I1347:I1410" si="107">(E1347*K1347)*O1347</f>
        <v>3637.2000000000003</v>
      </c>
      <c r="J1347" s="14">
        <f t="shared" ref="J1347:J1410" si="108">H1347-G1347</f>
        <v>-3720</v>
      </c>
      <c r="K1347" s="1">
        <v>0.14000000000000001</v>
      </c>
      <c r="L1347">
        <v>3.7</v>
      </c>
      <c r="M1347" s="2">
        <v>1662</v>
      </c>
      <c r="N1347" t="s">
        <v>3371</v>
      </c>
      <c r="O1347">
        <f t="shared" ref="O1347:O1410" si="109">LEN(N1347)-LEN(SUBSTITUTE(N1347,",",""))+1</f>
        <v>6</v>
      </c>
      <c r="P1347" s="12" t="e">
        <f>HYPERLINK(#REF!,"Link")</f>
        <v>#REF!</v>
      </c>
      <c r="Q1347" s="12" t="e">
        <f>HYPERLINK(#REF!,"Link")</f>
        <v>#REF!</v>
      </c>
    </row>
    <row r="1348" spans="1:17" x14ac:dyDescent="0.3">
      <c r="A1348" t="s">
        <v>3372</v>
      </c>
      <c r="B1348" t="s">
        <v>3373</v>
      </c>
      <c r="C1348" s="10" t="s">
        <v>3864</v>
      </c>
      <c r="D1348" s="10" t="s">
        <v>3880</v>
      </c>
      <c r="E1348" s="14">
        <v>4295</v>
      </c>
      <c r="F1348" s="3">
        <v>2033</v>
      </c>
      <c r="G1348" s="3">
        <f t="shared" si="106"/>
        <v>12885</v>
      </c>
      <c r="H1348" s="3">
        <f t="shared" si="105"/>
        <v>6099</v>
      </c>
      <c r="I1348" s="14">
        <f t="shared" si="107"/>
        <v>6829.0499999999993</v>
      </c>
      <c r="J1348" s="14">
        <f t="shared" si="108"/>
        <v>-6786</v>
      </c>
      <c r="K1348" s="1">
        <v>0.53</v>
      </c>
      <c r="L1348">
        <v>3.4</v>
      </c>
      <c r="M1348">
        <v>422</v>
      </c>
      <c r="N1348" t="s">
        <v>3374</v>
      </c>
      <c r="O1348">
        <f t="shared" si="109"/>
        <v>3</v>
      </c>
      <c r="P1348" s="12" t="e">
        <f>HYPERLINK(#REF!,"Link")</f>
        <v>#REF!</v>
      </c>
      <c r="Q1348" s="12" t="e">
        <f>HYPERLINK(#REF!,"Link")</f>
        <v>#REF!</v>
      </c>
    </row>
    <row r="1349" spans="1:17" x14ac:dyDescent="0.3">
      <c r="A1349" t="s">
        <v>3375</v>
      </c>
      <c r="B1349" t="s">
        <v>3376</v>
      </c>
      <c r="C1349" s="9" t="s">
        <v>3859</v>
      </c>
      <c r="D1349" s="9" t="s">
        <v>3881</v>
      </c>
      <c r="E1349" s="14">
        <v>18990</v>
      </c>
      <c r="F1349" s="3">
        <v>9495</v>
      </c>
      <c r="G1349" s="3">
        <f t="shared" si="106"/>
        <v>37980</v>
      </c>
      <c r="H1349" s="3">
        <f t="shared" si="105"/>
        <v>18990</v>
      </c>
      <c r="I1349" s="14">
        <f t="shared" si="107"/>
        <v>18990</v>
      </c>
      <c r="J1349" s="14">
        <f t="shared" si="108"/>
        <v>-18990</v>
      </c>
      <c r="K1349" s="1">
        <v>0.5</v>
      </c>
      <c r="L1349">
        <v>4.2</v>
      </c>
      <c r="M1349">
        <v>79</v>
      </c>
      <c r="N1349" t="s">
        <v>3377</v>
      </c>
      <c r="O1349">
        <f t="shared" si="109"/>
        <v>2</v>
      </c>
      <c r="P1349" s="12" t="e">
        <f>HYPERLINK(#REF!,"Link")</f>
        <v>#REF!</v>
      </c>
      <c r="Q1349" s="12" t="e">
        <f>HYPERLINK(#REF!,"Link")</f>
        <v>#REF!</v>
      </c>
    </row>
    <row r="1350" spans="1:17" x14ac:dyDescent="0.3">
      <c r="A1350" t="s">
        <v>3378</v>
      </c>
      <c r="B1350" t="s">
        <v>3379</v>
      </c>
      <c r="C1350" s="10" t="s">
        <v>3859</v>
      </c>
      <c r="D1350" s="10" t="s">
        <v>3882</v>
      </c>
      <c r="E1350" s="14">
        <v>12500</v>
      </c>
      <c r="F1350" s="3">
        <v>7799</v>
      </c>
      <c r="G1350" s="3">
        <f t="shared" si="106"/>
        <v>12500</v>
      </c>
      <c r="H1350" s="3">
        <f t="shared" si="105"/>
        <v>7799</v>
      </c>
      <c r="I1350" s="14">
        <f t="shared" si="107"/>
        <v>4750</v>
      </c>
      <c r="J1350" s="14">
        <f t="shared" si="108"/>
        <v>-4701</v>
      </c>
      <c r="K1350" s="1">
        <v>0.38</v>
      </c>
      <c r="L1350">
        <v>4</v>
      </c>
      <c r="M1350" s="2">
        <v>5160</v>
      </c>
      <c r="N1350" t="s">
        <v>3380</v>
      </c>
      <c r="O1350">
        <f t="shared" si="109"/>
        <v>1</v>
      </c>
      <c r="P1350" s="12" t="e">
        <f>HYPERLINK(#REF!,"Link")</f>
        <v>#REF!</v>
      </c>
      <c r="Q1350" s="12" t="e">
        <f>HYPERLINK(#REF!,"Link")</f>
        <v>#REF!</v>
      </c>
    </row>
    <row r="1351" spans="1:17" x14ac:dyDescent="0.3">
      <c r="A1351" t="s">
        <v>3381</v>
      </c>
      <c r="B1351" t="s">
        <v>3382</v>
      </c>
      <c r="C1351" s="9" t="s">
        <v>3859</v>
      </c>
      <c r="D1351" s="9" t="s">
        <v>3883</v>
      </c>
      <c r="E1351" s="14">
        <v>2385</v>
      </c>
      <c r="F1351" s="3">
        <v>949</v>
      </c>
      <c r="G1351" s="3">
        <f t="shared" si="106"/>
        <v>14310</v>
      </c>
      <c r="H1351" s="3">
        <f t="shared" si="105"/>
        <v>5694</v>
      </c>
      <c r="I1351" s="14">
        <f t="shared" si="107"/>
        <v>8586</v>
      </c>
      <c r="J1351" s="14">
        <f t="shared" si="108"/>
        <v>-8616</v>
      </c>
      <c r="K1351" s="1">
        <v>0.6</v>
      </c>
      <c r="L1351">
        <v>4.0999999999999996</v>
      </c>
      <c r="M1351" s="2">
        <v>2311</v>
      </c>
      <c r="N1351" t="s">
        <v>3383</v>
      </c>
      <c r="O1351">
        <f t="shared" si="109"/>
        <v>6</v>
      </c>
      <c r="P1351" s="12" t="e">
        <f>HYPERLINK(#REF!,"Link")</f>
        <v>#REF!</v>
      </c>
      <c r="Q1351" s="12" t="e">
        <f>HYPERLINK(#REF!,"Link")</f>
        <v>#REF!</v>
      </c>
    </row>
    <row r="1352" spans="1:17" x14ac:dyDescent="0.3">
      <c r="A1352" t="s">
        <v>3384</v>
      </c>
      <c r="B1352" t="s">
        <v>3385</v>
      </c>
      <c r="C1352" s="10" t="s">
        <v>3859</v>
      </c>
      <c r="D1352" s="10" t="s">
        <v>3866</v>
      </c>
      <c r="E1352" s="14">
        <v>4890</v>
      </c>
      <c r="F1352" s="3">
        <v>2790</v>
      </c>
      <c r="G1352" s="3">
        <f t="shared" si="106"/>
        <v>29340</v>
      </c>
      <c r="H1352" s="3">
        <f t="shared" si="105"/>
        <v>16740</v>
      </c>
      <c r="I1352" s="14">
        <f t="shared" si="107"/>
        <v>12616.199999999999</v>
      </c>
      <c r="J1352" s="14">
        <f t="shared" si="108"/>
        <v>-12600</v>
      </c>
      <c r="K1352" s="1">
        <v>0.43</v>
      </c>
      <c r="L1352">
        <v>3.9</v>
      </c>
      <c r="M1352">
        <v>588</v>
      </c>
      <c r="N1352" t="s">
        <v>3386</v>
      </c>
      <c r="O1352">
        <f t="shared" si="109"/>
        <v>6</v>
      </c>
      <c r="P1352" s="12" t="e">
        <f>HYPERLINK(#REF!,"Link")</f>
        <v>#REF!</v>
      </c>
      <c r="Q1352" s="12" t="e">
        <f>HYPERLINK(#REF!,"Link")</f>
        <v>#REF!</v>
      </c>
    </row>
    <row r="1353" spans="1:17" x14ac:dyDescent="0.3">
      <c r="A1353" t="s">
        <v>3387</v>
      </c>
      <c r="B1353" t="s">
        <v>3388</v>
      </c>
      <c r="C1353" s="9" t="s">
        <v>3859</v>
      </c>
      <c r="D1353" s="9" t="s">
        <v>3884</v>
      </c>
      <c r="E1353" s="14">
        <v>1100</v>
      </c>
      <c r="F1353" s="3">
        <v>645</v>
      </c>
      <c r="G1353" s="3">
        <f t="shared" si="106"/>
        <v>2200</v>
      </c>
      <c r="H1353" s="3">
        <f t="shared" si="105"/>
        <v>1290</v>
      </c>
      <c r="I1353" s="14">
        <f t="shared" si="107"/>
        <v>902</v>
      </c>
      <c r="J1353" s="14">
        <f t="shared" si="108"/>
        <v>-910</v>
      </c>
      <c r="K1353" s="1">
        <v>0.41</v>
      </c>
      <c r="L1353">
        <v>4</v>
      </c>
      <c r="M1353" s="2">
        <v>3271</v>
      </c>
      <c r="N1353" t="s">
        <v>3389</v>
      </c>
      <c r="O1353">
        <f t="shared" si="109"/>
        <v>2</v>
      </c>
      <c r="P1353" s="12" t="e">
        <f>HYPERLINK(#REF!,"Link")</f>
        <v>#REF!</v>
      </c>
      <c r="Q1353" s="12" t="e">
        <f>HYPERLINK(#REF!,"Link")</f>
        <v>#REF!</v>
      </c>
    </row>
    <row r="1354" spans="1:17" x14ac:dyDescent="0.3">
      <c r="A1354" t="s">
        <v>3390</v>
      </c>
      <c r="B1354" t="s">
        <v>3391</v>
      </c>
      <c r="C1354" s="10" t="s">
        <v>3885</v>
      </c>
      <c r="D1354" s="10" t="s">
        <v>3886</v>
      </c>
      <c r="E1354" s="14">
        <v>3899</v>
      </c>
      <c r="F1354" s="3">
        <v>2237.81</v>
      </c>
      <c r="G1354" s="3">
        <f t="shared" si="106"/>
        <v>11697</v>
      </c>
      <c r="H1354" s="3">
        <f t="shared" si="105"/>
        <v>6713.43</v>
      </c>
      <c r="I1354" s="14">
        <f t="shared" si="107"/>
        <v>5029.71</v>
      </c>
      <c r="J1354" s="14">
        <f t="shared" si="108"/>
        <v>-4983.57</v>
      </c>
      <c r="K1354" s="1">
        <v>0.43</v>
      </c>
      <c r="L1354">
        <v>3.9</v>
      </c>
      <c r="M1354" s="2">
        <v>11004</v>
      </c>
      <c r="N1354" t="s">
        <v>3392</v>
      </c>
      <c r="O1354">
        <f t="shared" si="109"/>
        <v>3</v>
      </c>
      <c r="P1354" s="12" t="e">
        <f>HYPERLINK(#REF!,"Link")</f>
        <v>#REF!</v>
      </c>
      <c r="Q1354" s="12" t="e">
        <f>HYPERLINK(#REF!,"Link")</f>
        <v>#REF!</v>
      </c>
    </row>
    <row r="1355" spans="1:17" x14ac:dyDescent="0.3">
      <c r="A1355" t="s">
        <v>3393</v>
      </c>
      <c r="B1355" t="s">
        <v>3394</v>
      </c>
      <c r="C1355" s="9" t="s">
        <v>3864</v>
      </c>
      <c r="D1355" s="9" t="s">
        <v>3887</v>
      </c>
      <c r="E1355" s="14">
        <v>16899</v>
      </c>
      <c r="F1355" s="3">
        <v>8699</v>
      </c>
      <c r="G1355" s="3">
        <f t="shared" si="106"/>
        <v>50697</v>
      </c>
      <c r="H1355" s="3">
        <f t="shared" si="105"/>
        <v>26097</v>
      </c>
      <c r="I1355" s="14">
        <f t="shared" si="107"/>
        <v>24841.53</v>
      </c>
      <c r="J1355" s="14">
        <f t="shared" si="108"/>
        <v>-24600</v>
      </c>
      <c r="K1355" s="1">
        <v>0.49</v>
      </c>
      <c r="L1355">
        <v>4.2</v>
      </c>
      <c r="M1355" s="2">
        <v>3195</v>
      </c>
      <c r="N1355" t="s">
        <v>3395</v>
      </c>
      <c r="O1355">
        <f t="shared" si="109"/>
        <v>3</v>
      </c>
      <c r="P1355" s="12" t="e">
        <f>HYPERLINK(#REF!,"Link")</f>
        <v>#REF!</v>
      </c>
      <c r="Q1355" s="12" t="e">
        <f>HYPERLINK(#REF!,"Link")</f>
        <v>#REF!</v>
      </c>
    </row>
    <row r="1356" spans="1:17" x14ac:dyDescent="0.3">
      <c r="A1356" t="s">
        <v>3396</v>
      </c>
      <c r="B1356" t="s">
        <v>3397</v>
      </c>
      <c r="C1356" s="10" t="s">
        <v>3861</v>
      </c>
      <c r="D1356" s="10" t="s">
        <v>3888</v>
      </c>
      <c r="E1356" s="14">
        <v>75990</v>
      </c>
      <c r="F1356" s="3">
        <v>42990</v>
      </c>
      <c r="G1356" s="3">
        <f t="shared" si="106"/>
        <v>379950</v>
      </c>
      <c r="H1356" s="3">
        <f t="shared" si="105"/>
        <v>214950</v>
      </c>
      <c r="I1356" s="14">
        <f t="shared" si="107"/>
        <v>163378.5</v>
      </c>
      <c r="J1356" s="14">
        <f t="shared" si="108"/>
        <v>-165000</v>
      </c>
      <c r="K1356" s="1">
        <v>0.43</v>
      </c>
      <c r="L1356">
        <v>4.3</v>
      </c>
      <c r="M1356" s="2">
        <v>3231</v>
      </c>
      <c r="N1356" t="s">
        <v>3398</v>
      </c>
      <c r="O1356">
        <f t="shared" si="109"/>
        <v>5</v>
      </c>
      <c r="P1356" s="12" t="e">
        <f>HYPERLINK(#REF!,"Link")</f>
        <v>#REF!</v>
      </c>
      <c r="Q1356" s="12" t="e">
        <f>HYPERLINK(#REF!,"Link")</f>
        <v>#REF!</v>
      </c>
    </row>
    <row r="1357" spans="1:17" x14ac:dyDescent="0.3">
      <c r="A1357" t="s">
        <v>3399</v>
      </c>
      <c r="B1357" t="s">
        <v>3400</v>
      </c>
      <c r="C1357" s="9" t="s">
        <v>3859</v>
      </c>
      <c r="D1357" s="9" t="s">
        <v>3889</v>
      </c>
      <c r="E1357" s="14">
        <v>825</v>
      </c>
      <c r="F1357" s="3">
        <v>825</v>
      </c>
      <c r="G1357" s="3">
        <f t="shared" si="106"/>
        <v>1650</v>
      </c>
      <c r="H1357" s="3">
        <f t="shared" si="105"/>
        <v>1650</v>
      </c>
      <c r="I1357" s="14">
        <f t="shared" si="107"/>
        <v>0</v>
      </c>
      <c r="J1357" s="14">
        <f t="shared" si="108"/>
        <v>0</v>
      </c>
      <c r="K1357" s="1">
        <v>0</v>
      </c>
      <c r="L1357">
        <v>4</v>
      </c>
      <c r="M1357" s="2">
        <v>3246</v>
      </c>
      <c r="N1357" t="s">
        <v>3401</v>
      </c>
      <c r="O1357">
        <f t="shared" si="109"/>
        <v>2</v>
      </c>
      <c r="P1357" s="12" t="e">
        <f>HYPERLINK(#REF!,"Link")</f>
        <v>#REF!</v>
      </c>
      <c r="Q1357" s="12" t="e">
        <f>HYPERLINK(#REF!,"Link")</f>
        <v>#REF!</v>
      </c>
    </row>
    <row r="1358" spans="1:17" x14ac:dyDescent="0.3">
      <c r="A1358" t="s">
        <v>3402</v>
      </c>
      <c r="B1358" t="s">
        <v>3403</v>
      </c>
      <c r="C1358" s="10" t="s">
        <v>3861</v>
      </c>
      <c r="D1358" s="10" t="s">
        <v>3890</v>
      </c>
      <c r="E1358" s="14">
        <v>300</v>
      </c>
      <c r="F1358" s="3">
        <v>161</v>
      </c>
      <c r="G1358" s="3">
        <f t="shared" si="106"/>
        <v>600</v>
      </c>
      <c r="H1358" s="3">
        <f t="shared" si="105"/>
        <v>322</v>
      </c>
      <c r="I1358" s="14">
        <f t="shared" si="107"/>
        <v>276</v>
      </c>
      <c r="J1358" s="14">
        <f t="shared" si="108"/>
        <v>-278</v>
      </c>
      <c r="K1358" s="1">
        <v>0.46</v>
      </c>
      <c r="L1358">
        <v>2.6</v>
      </c>
      <c r="M1358">
        <v>24</v>
      </c>
      <c r="N1358" t="s">
        <v>3404</v>
      </c>
      <c r="O1358">
        <f t="shared" si="109"/>
        <v>2</v>
      </c>
      <c r="P1358" s="12" t="e">
        <f>HYPERLINK(#REF!,"Link")</f>
        <v>#REF!</v>
      </c>
      <c r="Q1358" s="12" t="e">
        <f>HYPERLINK(#REF!,"Link")</f>
        <v>#REF!</v>
      </c>
    </row>
    <row r="1359" spans="1:17" x14ac:dyDescent="0.3">
      <c r="A1359" t="s">
        <v>3405</v>
      </c>
      <c r="B1359" t="s">
        <v>3406</v>
      </c>
      <c r="C1359" s="9" t="s">
        <v>3891</v>
      </c>
      <c r="D1359" s="9" t="s">
        <v>3892</v>
      </c>
      <c r="E1359" s="14">
        <v>1499</v>
      </c>
      <c r="F1359" s="3">
        <v>697</v>
      </c>
      <c r="G1359" s="3">
        <f t="shared" si="106"/>
        <v>2998</v>
      </c>
      <c r="H1359" s="3">
        <f t="shared" si="105"/>
        <v>1394</v>
      </c>
      <c r="I1359" s="14">
        <f t="shared" si="107"/>
        <v>1618.92</v>
      </c>
      <c r="J1359" s="14">
        <f t="shared" si="108"/>
        <v>-1604</v>
      </c>
      <c r="K1359" s="1">
        <v>0.54</v>
      </c>
      <c r="L1359">
        <v>3.8</v>
      </c>
      <c r="M1359">
        <v>144</v>
      </c>
      <c r="N1359" t="s">
        <v>3407</v>
      </c>
      <c r="O1359">
        <f t="shared" si="109"/>
        <v>2</v>
      </c>
      <c r="P1359" s="12" t="e">
        <f>HYPERLINK(#REF!,"Link")</f>
        <v>#REF!</v>
      </c>
      <c r="Q1359" s="12" t="e">
        <f>HYPERLINK(#REF!,"Link")</f>
        <v>#REF!</v>
      </c>
    </row>
    <row r="1360" spans="1:17" x14ac:dyDescent="0.3">
      <c r="A1360" t="s">
        <v>3408</v>
      </c>
      <c r="B1360" t="s">
        <v>3409</v>
      </c>
      <c r="C1360" s="10" t="s">
        <v>3885</v>
      </c>
      <c r="D1360" s="10" t="s">
        <v>3893</v>
      </c>
      <c r="E1360" s="14">
        <v>747</v>
      </c>
      <c r="F1360" s="3">
        <v>688</v>
      </c>
      <c r="G1360" s="3">
        <f t="shared" si="106"/>
        <v>1494</v>
      </c>
      <c r="H1360" s="3">
        <f t="shared" si="105"/>
        <v>1376</v>
      </c>
      <c r="I1360" s="14">
        <f t="shared" si="107"/>
        <v>119.52</v>
      </c>
      <c r="J1360" s="14">
        <f t="shared" si="108"/>
        <v>-118</v>
      </c>
      <c r="K1360" s="1">
        <v>0.08</v>
      </c>
      <c r="L1360">
        <v>4.5</v>
      </c>
      <c r="M1360" s="2">
        <v>2280</v>
      </c>
      <c r="N1360" t="s">
        <v>3410</v>
      </c>
      <c r="O1360">
        <f t="shared" si="109"/>
        <v>2</v>
      </c>
      <c r="P1360" s="12" t="e">
        <f>HYPERLINK(#REF!,"Link")</f>
        <v>#REF!</v>
      </c>
      <c r="Q1360" s="12" t="e">
        <f>HYPERLINK(#REF!,"Link")</f>
        <v>#REF!</v>
      </c>
    </row>
    <row r="1361" spans="1:17" x14ac:dyDescent="0.3">
      <c r="A1361" t="s">
        <v>3411</v>
      </c>
      <c r="B1361" t="s">
        <v>3412</v>
      </c>
      <c r="C1361" s="9" t="s">
        <v>3891</v>
      </c>
      <c r="D1361" s="9" t="s">
        <v>3894</v>
      </c>
      <c r="E1361" s="14">
        <v>3999</v>
      </c>
      <c r="F1361" s="3">
        <v>2199</v>
      </c>
      <c r="G1361" s="3">
        <f t="shared" si="106"/>
        <v>11997</v>
      </c>
      <c r="H1361" s="3">
        <f t="shared" si="105"/>
        <v>6597</v>
      </c>
      <c r="I1361" s="14">
        <f t="shared" si="107"/>
        <v>5398.65</v>
      </c>
      <c r="J1361" s="14">
        <f t="shared" si="108"/>
        <v>-5400</v>
      </c>
      <c r="K1361" s="1">
        <v>0.45</v>
      </c>
      <c r="L1361">
        <v>3.5</v>
      </c>
      <c r="M1361">
        <v>340</v>
      </c>
      <c r="N1361" t="s">
        <v>3413</v>
      </c>
      <c r="O1361">
        <f t="shared" si="109"/>
        <v>3</v>
      </c>
      <c r="P1361" s="12" t="e">
        <f>HYPERLINK(#REF!,"Link")</f>
        <v>#REF!</v>
      </c>
      <c r="Q1361" s="12" t="e">
        <f>HYPERLINK(#REF!,"Link")</f>
        <v>#REF!</v>
      </c>
    </row>
    <row r="1362" spans="1:17" x14ac:dyDescent="0.3">
      <c r="A1362" t="s">
        <v>3414</v>
      </c>
      <c r="B1362" t="s">
        <v>3415</v>
      </c>
      <c r="C1362" s="10" t="s">
        <v>3895</v>
      </c>
      <c r="D1362" s="10" t="s">
        <v>3896</v>
      </c>
      <c r="E1362" s="14">
        <v>11990</v>
      </c>
      <c r="F1362" s="3">
        <v>6850</v>
      </c>
      <c r="G1362" s="3">
        <f t="shared" si="106"/>
        <v>35970</v>
      </c>
      <c r="H1362" s="3">
        <f t="shared" si="105"/>
        <v>20550</v>
      </c>
      <c r="I1362" s="14">
        <f t="shared" si="107"/>
        <v>15467.099999999999</v>
      </c>
      <c r="J1362" s="14">
        <f t="shared" si="108"/>
        <v>-15420</v>
      </c>
      <c r="K1362" s="1">
        <v>0.43</v>
      </c>
      <c r="L1362">
        <v>3.9</v>
      </c>
      <c r="M1362">
        <v>144</v>
      </c>
      <c r="N1362" t="s">
        <v>3416</v>
      </c>
      <c r="O1362">
        <f t="shared" si="109"/>
        <v>3</v>
      </c>
      <c r="P1362" s="12" t="e">
        <f>HYPERLINK(#REF!,"Link")</f>
        <v>#REF!</v>
      </c>
      <c r="Q1362" s="12" t="e">
        <f>HYPERLINK(#REF!,"Link")</f>
        <v>#REF!</v>
      </c>
    </row>
    <row r="1363" spans="1:17" x14ac:dyDescent="0.3">
      <c r="A1363" t="s">
        <v>3417</v>
      </c>
      <c r="B1363" t="s">
        <v>3418</v>
      </c>
      <c r="C1363" s="9" t="s">
        <v>3895</v>
      </c>
      <c r="D1363" s="9" t="s">
        <v>3897</v>
      </c>
      <c r="E1363" s="14">
        <v>3799</v>
      </c>
      <c r="F1363" s="3">
        <v>2699</v>
      </c>
      <c r="G1363" s="3">
        <f t="shared" si="106"/>
        <v>7598</v>
      </c>
      <c r="H1363" s="3">
        <f t="shared" si="105"/>
        <v>5398</v>
      </c>
      <c r="I1363" s="14">
        <f t="shared" si="107"/>
        <v>2203.42</v>
      </c>
      <c r="J1363" s="14">
        <f t="shared" si="108"/>
        <v>-2200</v>
      </c>
      <c r="K1363" s="1">
        <v>0.28999999999999998</v>
      </c>
      <c r="L1363">
        <v>4</v>
      </c>
      <c r="M1363">
        <v>727</v>
      </c>
      <c r="N1363" t="s">
        <v>3419</v>
      </c>
      <c r="O1363">
        <f t="shared" si="109"/>
        <v>2</v>
      </c>
      <c r="P1363" s="12" t="e">
        <f>HYPERLINK(#REF!,"Link")</f>
        <v>#REF!</v>
      </c>
      <c r="Q1363" s="12" t="e">
        <f>HYPERLINK(#REF!,"Link")</f>
        <v>#REF!</v>
      </c>
    </row>
    <row r="1364" spans="1:17" x14ac:dyDescent="0.3">
      <c r="A1364" t="s">
        <v>3420</v>
      </c>
      <c r="B1364" t="s">
        <v>3421</v>
      </c>
      <c r="C1364" s="10" t="s">
        <v>3859</v>
      </c>
      <c r="D1364" s="10" t="s">
        <v>3898</v>
      </c>
      <c r="E1364" s="14">
        <v>1999</v>
      </c>
      <c r="F1364" s="3">
        <v>899</v>
      </c>
      <c r="G1364" s="3">
        <f t="shared" si="106"/>
        <v>3998</v>
      </c>
      <c r="H1364" s="3">
        <f t="shared" si="105"/>
        <v>1798</v>
      </c>
      <c r="I1364" s="14">
        <f t="shared" si="107"/>
        <v>2198.9</v>
      </c>
      <c r="J1364" s="14">
        <f t="shared" si="108"/>
        <v>-2200</v>
      </c>
      <c r="K1364" s="1">
        <v>0.55000000000000004</v>
      </c>
      <c r="L1364">
        <v>4</v>
      </c>
      <c r="M1364">
        <v>832</v>
      </c>
      <c r="N1364" t="s">
        <v>3422</v>
      </c>
      <c r="O1364">
        <f t="shared" si="109"/>
        <v>2</v>
      </c>
      <c r="P1364" s="12" t="e">
        <f>HYPERLINK(#REF!,"Link")</f>
        <v>#REF!</v>
      </c>
      <c r="Q1364" s="12" t="e">
        <f>HYPERLINK(#REF!,"Link")</f>
        <v>#REF!</v>
      </c>
    </row>
    <row r="1365" spans="1:17" x14ac:dyDescent="0.3">
      <c r="A1365" t="s">
        <v>3423</v>
      </c>
      <c r="B1365" t="s">
        <v>3424</v>
      </c>
      <c r="C1365" s="9" t="s">
        <v>3899</v>
      </c>
      <c r="D1365" s="9" t="s">
        <v>3900</v>
      </c>
      <c r="E1365" s="14">
        <v>2999</v>
      </c>
      <c r="F1365" s="3">
        <v>1090</v>
      </c>
      <c r="G1365" s="3">
        <f t="shared" si="106"/>
        <v>5998</v>
      </c>
      <c r="H1365" s="3">
        <f t="shared" si="105"/>
        <v>2180</v>
      </c>
      <c r="I1365" s="14">
        <f t="shared" si="107"/>
        <v>3838.7200000000003</v>
      </c>
      <c r="J1365" s="14">
        <f t="shared" si="108"/>
        <v>-3818</v>
      </c>
      <c r="K1365" s="1">
        <v>0.64</v>
      </c>
      <c r="L1365">
        <v>3.5</v>
      </c>
      <c r="M1365">
        <v>57</v>
      </c>
      <c r="N1365" t="s">
        <v>3425</v>
      </c>
      <c r="O1365">
        <f t="shared" si="109"/>
        <v>2</v>
      </c>
      <c r="P1365" s="12" t="e">
        <f>HYPERLINK(#REF!,"Link")</f>
        <v>#REF!</v>
      </c>
      <c r="Q1365" s="12" t="e">
        <f>HYPERLINK(#REF!,"Link")</f>
        <v>#REF!</v>
      </c>
    </row>
    <row r="1366" spans="1:17" x14ac:dyDescent="0.3">
      <c r="A1366" t="s">
        <v>3426</v>
      </c>
      <c r="B1366" t="s">
        <v>3427</v>
      </c>
      <c r="C1366" s="10" t="s">
        <v>3901</v>
      </c>
      <c r="D1366" s="10" t="s">
        <v>3902</v>
      </c>
      <c r="E1366" s="14">
        <v>599</v>
      </c>
      <c r="F1366" s="3">
        <v>295</v>
      </c>
      <c r="G1366" s="3">
        <f t="shared" si="106"/>
        <v>1198</v>
      </c>
      <c r="H1366" s="3">
        <f t="shared" si="105"/>
        <v>590</v>
      </c>
      <c r="I1366" s="14">
        <f t="shared" si="107"/>
        <v>610.98</v>
      </c>
      <c r="J1366" s="14">
        <f t="shared" si="108"/>
        <v>-608</v>
      </c>
      <c r="K1366" s="1">
        <v>0.51</v>
      </c>
      <c r="L1366">
        <v>4</v>
      </c>
      <c r="M1366" s="2">
        <v>1644</v>
      </c>
      <c r="N1366" t="s">
        <v>3428</v>
      </c>
      <c r="O1366">
        <f t="shared" si="109"/>
        <v>2</v>
      </c>
      <c r="P1366" s="12" t="e">
        <f>HYPERLINK(#REF!,"Link")</f>
        <v>#REF!</v>
      </c>
      <c r="Q1366" s="12" t="e">
        <f>HYPERLINK(#REF!,"Link")</f>
        <v>#REF!</v>
      </c>
    </row>
    <row r="1367" spans="1:17" x14ac:dyDescent="0.3">
      <c r="A1367" t="s">
        <v>3429</v>
      </c>
      <c r="B1367" t="s">
        <v>3430</v>
      </c>
      <c r="C1367" s="9" t="s">
        <v>3895</v>
      </c>
      <c r="D1367" s="9" t="s">
        <v>3903</v>
      </c>
      <c r="E1367" s="14">
        <v>1999</v>
      </c>
      <c r="F1367" s="3">
        <v>479</v>
      </c>
      <c r="G1367" s="3">
        <f t="shared" si="106"/>
        <v>5997</v>
      </c>
      <c r="H1367" s="3">
        <f t="shared" si="105"/>
        <v>1437</v>
      </c>
      <c r="I1367" s="14">
        <f t="shared" si="107"/>
        <v>4557.72</v>
      </c>
      <c r="J1367" s="14">
        <f t="shared" si="108"/>
        <v>-4560</v>
      </c>
      <c r="K1367" s="1">
        <v>0.76</v>
      </c>
      <c r="L1367">
        <v>3.4</v>
      </c>
      <c r="M1367" s="2">
        <v>1066</v>
      </c>
      <c r="N1367" t="s">
        <v>3431</v>
      </c>
      <c r="O1367">
        <f t="shared" si="109"/>
        <v>3</v>
      </c>
      <c r="P1367" s="12" t="e">
        <f>HYPERLINK(#REF!,"Link")</f>
        <v>#REF!</v>
      </c>
      <c r="Q1367" s="12" t="e">
        <f>HYPERLINK(#REF!,"Link")</f>
        <v>#REF!</v>
      </c>
    </row>
    <row r="1368" spans="1:17" x14ac:dyDescent="0.3">
      <c r="A1368" t="s">
        <v>3432</v>
      </c>
      <c r="B1368" t="s">
        <v>3433</v>
      </c>
      <c r="C1368" s="10" t="s">
        <v>3877</v>
      </c>
      <c r="D1368" s="10" t="s">
        <v>3904</v>
      </c>
      <c r="E1368" s="14">
        <v>4849</v>
      </c>
      <c r="F1368" s="3">
        <v>2949</v>
      </c>
      <c r="G1368" s="3">
        <f t="shared" si="106"/>
        <v>4849</v>
      </c>
      <c r="H1368" s="3">
        <f t="shared" si="105"/>
        <v>2949</v>
      </c>
      <c r="I1368" s="14">
        <f t="shared" si="107"/>
        <v>1891.1100000000001</v>
      </c>
      <c r="J1368" s="14">
        <f t="shared" si="108"/>
        <v>-1900</v>
      </c>
      <c r="K1368" s="1">
        <v>0.39</v>
      </c>
      <c r="L1368">
        <v>4.2</v>
      </c>
      <c r="M1368" s="2">
        <v>7968</v>
      </c>
      <c r="N1368" t="s">
        <v>3434</v>
      </c>
      <c r="O1368">
        <f t="shared" si="109"/>
        <v>1</v>
      </c>
      <c r="P1368" s="12" t="e">
        <f>HYPERLINK(#REF!,"Link")</f>
        <v>#REF!</v>
      </c>
      <c r="Q1368" s="12" t="e">
        <f>HYPERLINK(#REF!,"Link")</f>
        <v>#REF!</v>
      </c>
    </row>
    <row r="1369" spans="1:17" x14ac:dyDescent="0.3">
      <c r="A1369" t="s">
        <v>3435</v>
      </c>
      <c r="B1369" t="s">
        <v>3436</v>
      </c>
      <c r="C1369" s="9" t="s">
        <v>3905</v>
      </c>
      <c r="D1369" s="9" t="s">
        <v>3906</v>
      </c>
      <c r="E1369" s="14">
        <v>510</v>
      </c>
      <c r="F1369" s="3">
        <v>335</v>
      </c>
      <c r="G1369" s="3">
        <f t="shared" si="106"/>
        <v>1020</v>
      </c>
      <c r="H1369" s="3">
        <f t="shared" si="105"/>
        <v>670</v>
      </c>
      <c r="I1369" s="14">
        <f t="shared" si="107"/>
        <v>346.8</v>
      </c>
      <c r="J1369" s="14">
        <f t="shared" si="108"/>
        <v>-350</v>
      </c>
      <c r="K1369" s="1">
        <v>0.34</v>
      </c>
      <c r="L1369">
        <v>3.8</v>
      </c>
      <c r="M1369" s="2">
        <v>3195</v>
      </c>
      <c r="N1369" t="s">
        <v>3437</v>
      </c>
      <c r="O1369">
        <f t="shared" si="109"/>
        <v>2</v>
      </c>
      <c r="P1369" s="12" t="e">
        <f>HYPERLINK(#REF!,"Link")</f>
        <v>#REF!</v>
      </c>
      <c r="Q1369" s="12" t="e">
        <f>HYPERLINK(#REF!,"Link")</f>
        <v>#REF!</v>
      </c>
    </row>
    <row r="1370" spans="1:17" x14ac:dyDescent="0.3">
      <c r="A1370" t="s">
        <v>3438</v>
      </c>
      <c r="B1370" t="s">
        <v>3439</v>
      </c>
      <c r="C1370" s="10" t="s">
        <v>3877</v>
      </c>
      <c r="D1370" s="10" t="s">
        <v>3907</v>
      </c>
      <c r="E1370" s="14">
        <v>499</v>
      </c>
      <c r="F1370" s="3">
        <v>293</v>
      </c>
      <c r="G1370" s="3">
        <f t="shared" si="106"/>
        <v>998</v>
      </c>
      <c r="H1370" s="3">
        <f t="shared" si="105"/>
        <v>586</v>
      </c>
      <c r="I1370" s="14">
        <f t="shared" si="107"/>
        <v>409.17999999999995</v>
      </c>
      <c r="J1370" s="14">
        <f t="shared" si="108"/>
        <v>-412</v>
      </c>
      <c r="K1370" s="1">
        <v>0.41</v>
      </c>
      <c r="L1370">
        <v>4.0999999999999996</v>
      </c>
      <c r="M1370" s="2">
        <v>1456</v>
      </c>
      <c r="N1370" t="s">
        <v>3440</v>
      </c>
      <c r="O1370">
        <f t="shared" si="109"/>
        <v>2</v>
      </c>
      <c r="P1370" s="12" t="e">
        <f>HYPERLINK(#REF!,"Link")</f>
        <v>#REF!</v>
      </c>
      <c r="Q1370" s="12" t="e">
        <f>HYPERLINK(#REF!,"Link")</f>
        <v>#REF!</v>
      </c>
    </row>
    <row r="1371" spans="1:17" x14ac:dyDescent="0.3">
      <c r="A1371" t="s">
        <v>3441</v>
      </c>
      <c r="B1371" t="s">
        <v>3442</v>
      </c>
      <c r="C1371" s="9" t="s">
        <v>3859</v>
      </c>
      <c r="D1371" s="9" t="s">
        <v>3908</v>
      </c>
      <c r="E1371" s="14">
        <v>1299</v>
      </c>
      <c r="F1371" s="3">
        <v>599</v>
      </c>
      <c r="G1371" s="3">
        <f t="shared" si="106"/>
        <v>3897</v>
      </c>
      <c r="H1371" s="3">
        <f t="shared" si="105"/>
        <v>1797</v>
      </c>
      <c r="I1371" s="14">
        <f t="shared" si="107"/>
        <v>2104.38</v>
      </c>
      <c r="J1371" s="14">
        <f t="shared" si="108"/>
        <v>-2100</v>
      </c>
      <c r="K1371" s="1">
        <v>0.54</v>
      </c>
      <c r="L1371">
        <v>4.2</v>
      </c>
      <c r="M1371">
        <v>590</v>
      </c>
      <c r="N1371" t="s">
        <v>3443</v>
      </c>
      <c r="O1371">
        <f t="shared" si="109"/>
        <v>3</v>
      </c>
      <c r="P1371" s="12" t="e">
        <f>HYPERLINK(#REF!,"Link")</f>
        <v>#REF!</v>
      </c>
      <c r="Q1371" s="12" t="e">
        <f>HYPERLINK(#REF!,"Link")</f>
        <v>#REF!</v>
      </c>
    </row>
    <row r="1372" spans="1:17" x14ac:dyDescent="0.3">
      <c r="A1372" t="s">
        <v>3444</v>
      </c>
      <c r="B1372" t="s">
        <v>3445</v>
      </c>
      <c r="C1372" s="10" t="s">
        <v>3859</v>
      </c>
      <c r="D1372" s="10" t="s">
        <v>3909</v>
      </c>
      <c r="E1372" s="14">
        <v>999</v>
      </c>
      <c r="F1372" s="3">
        <v>499</v>
      </c>
      <c r="G1372" s="3">
        <f t="shared" si="106"/>
        <v>2997</v>
      </c>
      <c r="H1372" s="3">
        <f t="shared" si="105"/>
        <v>1497</v>
      </c>
      <c r="I1372" s="14">
        <f t="shared" si="107"/>
        <v>1498.5</v>
      </c>
      <c r="J1372" s="14">
        <f t="shared" si="108"/>
        <v>-1500</v>
      </c>
      <c r="K1372" s="1">
        <v>0.5</v>
      </c>
      <c r="L1372">
        <v>4.3</v>
      </c>
      <c r="M1372" s="2">
        <v>1436</v>
      </c>
      <c r="N1372" t="s">
        <v>3446</v>
      </c>
      <c r="O1372">
        <f t="shared" si="109"/>
        <v>3</v>
      </c>
      <c r="P1372" s="12" t="e">
        <f>HYPERLINK(#REF!,"Link")</f>
        <v>#REF!</v>
      </c>
      <c r="Q1372" s="12" t="e">
        <f>HYPERLINK(#REF!,"Link")</f>
        <v>#REF!</v>
      </c>
    </row>
    <row r="1373" spans="1:17" x14ac:dyDescent="0.3">
      <c r="A1373" t="s">
        <v>3447</v>
      </c>
      <c r="B1373" t="s">
        <v>3448</v>
      </c>
      <c r="C1373" s="9" t="s">
        <v>3859</v>
      </c>
      <c r="D1373" s="9" t="s">
        <v>3910</v>
      </c>
      <c r="E1373" s="14">
        <v>1190</v>
      </c>
      <c r="F1373" s="3">
        <v>849</v>
      </c>
      <c r="G1373" s="3">
        <f t="shared" si="106"/>
        <v>2380</v>
      </c>
      <c r="H1373" s="3">
        <f t="shared" si="105"/>
        <v>1698</v>
      </c>
      <c r="I1373" s="14">
        <f t="shared" si="107"/>
        <v>690.19999999999993</v>
      </c>
      <c r="J1373" s="14">
        <f t="shared" si="108"/>
        <v>-682</v>
      </c>
      <c r="K1373" s="1">
        <v>0.28999999999999998</v>
      </c>
      <c r="L1373">
        <v>4.2</v>
      </c>
      <c r="M1373" s="2">
        <v>4184</v>
      </c>
      <c r="N1373" t="s">
        <v>3449</v>
      </c>
      <c r="O1373">
        <f t="shared" si="109"/>
        <v>2</v>
      </c>
      <c r="P1373" s="12" t="e">
        <f>HYPERLINK(#REF!,"Link")</f>
        <v>#REF!</v>
      </c>
      <c r="Q1373" s="12" t="e">
        <f>HYPERLINK(#REF!,"Link")</f>
        <v>#REF!</v>
      </c>
    </row>
    <row r="1374" spans="1:17" x14ac:dyDescent="0.3">
      <c r="A1374" t="s">
        <v>3450</v>
      </c>
      <c r="B1374" t="s">
        <v>3451</v>
      </c>
      <c r="C1374" s="10" t="s">
        <v>3859</v>
      </c>
      <c r="D1374" s="10" t="s">
        <v>3911</v>
      </c>
      <c r="E1374" s="14">
        <v>400</v>
      </c>
      <c r="F1374" s="3">
        <v>249</v>
      </c>
      <c r="G1374" s="3">
        <f t="shared" si="106"/>
        <v>800</v>
      </c>
      <c r="H1374" s="3">
        <f t="shared" si="105"/>
        <v>498</v>
      </c>
      <c r="I1374" s="14">
        <f t="shared" si="107"/>
        <v>304</v>
      </c>
      <c r="J1374" s="14">
        <f t="shared" si="108"/>
        <v>-302</v>
      </c>
      <c r="K1374" s="1">
        <v>0.38</v>
      </c>
      <c r="L1374">
        <v>4.0999999999999996</v>
      </c>
      <c r="M1374">
        <v>693</v>
      </c>
      <c r="N1374" t="s">
        <v>3452</v>
      </c>
      <c r="O1374">
        <f t="shared" si="109"/>
        <v>2</v>
      </c>
      <c r="P1374" s="12" t="e">
        <f>HYPERLINK(#REF!,"Link")</f>
        <v>#REF!</v>
      </c>
      <c r="Q1374" s="12" t="e">
        <f>HYPERLINK(#REF!,"Link")</f>
        <v>#REF!</v>
      </c>
    </row>
    <row r="1375" spans="1:17" x14ac:dyDescent="0.3">
      <c r="A1375" t="s">
        <v>3453</v>
      </c>
      <c r="B1375" t="s">
        <v>3454</v>
      </c>
      <c r="C1375" s="9" t="s">
        <v>3859</v>
      </c>
      <c r="D1375" s="9"/>
      <c r="E1375" s="14">
        <v>599</v>
      </c>
      <c r="F1375" s="3">
        <v>185</v>
      </c>
      <c r="G1375" s="3">
        <f t="shared" si="106"/>
        <v>599</v>
      </c>
      <c r="H1375" s="3">
        <f t="shared" si="105"/>
        <v>185</v>
      </c>
      <c r="I1375" s="14">
        <f t="shared" si="107"/>
        <v>413.30999999999995</v>
      </c>
      <c r="J1375" s="14">
        <f t="shared" si="108"/>
        <v>-414</v>
      </c>
      <c r="K1375" s="1">
        <v>0.69</v>
      </c>
      <c r="L1375">
        <v>3.9</v>
      </c>
      <c r="M1375" s="2">
        <v>1306</v>
      </c>
      <c r="N1375" t="s">
        <v>3455</v>
      </c>
      <c r="O1375">
        <f t="shared" si="109"/>
        <v>1</v>
      </c>
      <c r="P1375" s="12" t="e">
        <f>HYPERLINK(#REF!,"Link")</f>
        <v>#REF!</v>
      </c>
      <c r="Q1375" s="12" t="e">
        <f>HYPERLINK(#REF!,"Link")</f>
        <v>#REF!</v>
      </c>
    </row>
    <row r="1376" spans="1:17" x14ac:dyDescent="0.3">
      <c r="A1376" t="s">
        <v>3456</v>
      </c>
      <c r="B1376" t="s">
        <v>3457</v>
      </c>
      <c r="C1376" s="10" t="s">
        <v>3912</v>
      </c>
      <c r="D1376" s="10" t="s">
        <v>3913</v>
      </c>
      <c r="E1376" s="14">
        <v>999</v>
      </c>
      <c r="F1376" s="3">
        <v>778</v>
      </c>
      <c r="G1376" s="3">
        <f t="shared" si="106"/>
        <v>1998</v>
      </c>
      <c r="H1376" s="3">
        <f t="shared" si="105"/>
        <v>1556</v>
      </c>
      <c r="I1376" s="14">
        <f t="shared" si="107"/>
        <v>439.56</v>
      </c>
      <c r="J1376" s="14">
        <f t="shared" si="108"/>
        <v>-442</v>
      </c>
      <c r="K1376" s="1">
        <v>0.22</v>
      </c>
      <c r="L1376">
        <v>3.3</v>
      </c>
      <c r="M1376">
        <v>8</v>
      </c>
      <c r="N1376" t="s">
        <v>3458</v>
      </c>
      <c r="O1376">
        <f t="shared" si="109"/>
        <v>2</v>
      </c>
      <c r="P1376" s="12" t="e">
        <f>HYPERLINK(#REF!,"Link")</f>
        <v>#REF!</v>
      </c>
      <c r="Q1376" s="12" t="e">
        <f>HYPERLINK(#REF!,"Link")</f>
        <v>#REF!</v>
      </c>
    </row>
    <row r="1377" spans="1:17" x14ac:dyDescent="0.3">
      <c r="A1377" t="s">
        <v>3459</v>
      </c>
      <c r="B1377" t="s">
        <v>3460</v>
      </c>
      <c r="C1377" s="9" t="s">
        <v>3891</v>
      </c>
      <c r="D1377" s="9" t="s">
        <v>3914</v>
      </c>
      <c r="E1377" s="14">
        <v>699</v>
      </c>
      <c r="F1377" s="3">
        <v>279</v>
      </c>
      <c r="G1377" s="3">
        <f t="shared" si="106"/>
        <v>3495</v>
      </c>
      <c r="H1377" s="3">
        <f t="shared" si="105"/>
        <v>1395</v>
      </c>
      <c r="I1377" s="14">
        <f t="shared" si="107"/>
        <v>2097</v>
      </c>
      <c r="J1377" s="14">
        <f t="shared" si="108"/>
        <v>-2100</v>
      </c>
      <c r="K1377" s="1">
        <v>0.6</v>
      </c>
      <c r="L1377">
        <v>4.3</v>
      </c>
      <c r="M1377" s="2">
        <v>2326</v>
      </c>
      <c r="N1377" t="s">
        <v>3461</v>
      </c>
      <c r="O1377">
        <f t="shared" si="109"/>
        <v>5</v>
      </c>
      <c r="P1377" s="12" t="e">
        <f>HYPERLINK(#REF!,"Link")</f>
        <v>#REF!</v>
      </c>
      <c r="Q1377" s="12" t="e">
        <f>HYPERLINK(#REF!,"Link")</f>
        <v>#REF!</v>
      </c>
    </row>
    <row r="1378" spans="1:17" x14ac:dyDescent="0.3">
      <c r="A1378" t="s">
        <v>3462</v>
      </c>
      <c r="B1378" t="s">
        <v>3463</v>
      </c>
      <c r="C1378" s="10" t="s">
        <v>3885</v>
      </c>
      <c r="D1378" s="10" t="s">
        <v>3915</v>
      </c>
      <c r="E1378" s="14">
        <v>1499</v>
      </c>
      <c r="F1378" s="3">
        <v>215</v>
      </c>
      <c r="G1378" s="3">
        <f t="shared" si="106"/>
        <v>2998</v>
      </c>
      <c r="H1378" s="3">
        <f t="shared" si="105"/>
        <v>430</v>
      </c>
      <c r="I1378" s="14">
        <f t="shared" si="107"/>
        <v>2578.2799999999997</v>
      </c>
      <c r="J1378" s="14">
        <f t="shared" si="108"/>
        <v>-2568</v>
      </c>
      <c r="K1378" s="1">
        <v>0.86</v>
      </c>
      <c r="L1378">
        <v>3.9</v>
      </c>
      <c r="M1378" s="2">
        <v>1004</v>
      </c>
      <c r="N1378" t="s">
        <v>3464</v>
      </c>
      <c r="O1378">
        <f t="shared" si="109"/>
        <v>2</v>
      </c>
      <c r="P1378" s="12" t="e">
        <f>HYPERLINK(#REF!,"Link")</f>
        <v>#REF!</v>
      </c>
      <c r="Q1378" s="12" t="e">
        <f>HYPERLINK(#REF!,"Link")</f>
        <v>#REF!</v>
      </c>
    </row>
    <row r="1379" spans="1:17" x14ac:dyDescent="0.3">
      <c r="A1379" t="s">
        <v>3465</v>
      </c>
      <c r="B1379" t="s">
        <v>3466</v>
      </c>
      <c r="C1379" s="9" t="s">
        <v>3891</v>
      </c>
      <c r="D1379" s="9" t="s">
        <v>3916</v>
      </c>
      <c r="E1379" s="14">
        <v>1295</v>
      </c>
      <c r="F1379" s="3">
        <v>889</v>
      </c>
      <c r="G1379" s="3">
        <f t="shared" si="106"/>
        <v>5180</v>
      </c>
      <c r="H1379" s="3">
        <f t="shared" si="105"/>
        <v>3556</v>
      </c>
      <c r="I1379" s="14">
        <f t="shared" si="107"/>
        <v>1605.8</v>
      </c>
      <c r="J1379" s="14">
        <f t="shared" si="108"/>
        <v>-1624</v>
      </c>
      <c r="K1379" s="1">
        <v>0.31</v>
      </c>
      <c r="L1379">
        <v>4.3</v>
      </c>
      <c r="M1379" s="2">
        <v>6400</v>
      </c>
      <c r="N1379" t="s">
        <v>3467</v>
      </c>
      <c r="O1379">
        <f t="shared" si="109"/>
        <v>4</v>
      </c>
      <c r="P1379" s="12" t="e">
        <f>HYPERLINK(#REF!,"Link")</f>
        <v>#REF!</v>
      </c>
      <c r="Q1379" s="12" t="e">
        <f>HYPERLINK(#REF!,"Link")</f>
        <v>#REF!</v>
      </c>
    </row>
    <row r="1380" spans="1:17" x14ac:dyDescent="0.3">
      <c r="A1380" t="s">
        <v>3468</v>
      </c>
      <c r="B1380" t="s">
        <v>3469</v>
      </c>
      <c r="C1380" s="10" t="s">
        <v>3917</v>
      </c>
      <c r="D1380" s="10"/>
      <c r="E1380" s="14">
        <v>4999</v>
      </c>
      <c r="F1380" s="3">
        <v>1449</v>
      </c>
      <c r="G1380" s="3">
        <f t="shared" si="106"/>
        <v>19996</v>
      </c>
      <c r="H1380" s="3">
        <f t="shared" si="105"/>
        <v>5796</v>
      </c>
      <c r="I1380" s="14">
        <f t="shared" si="107"/>
        <v>14197.16</v>
      </c>
      <c r="J1380" s="14">
        <f t="shared" si="108"/>
        <v>-14200</v>
      </c>
      <c r="K1380" s="1">
        <v>0.71</v>
      </c>
      <c r="L1380">
        <v>3.6</v>
      </c>
      <c r="M1380">
        <v>63</v>
      </c>
      <c r="N1380" t="s">
        <v>3470</v>
      </c>
      <c r="O1380">
        <f t="shared" si="109"/>
        <v>4</v>
      </c>
      <c r="P1380" s="12" t="e">
        <f>HYPERLINK(#REF!,"Link")</f>
        <v>#REF!</v>
      </c>
      <c r="Q1380" s="12" t="e">
        <f>HYPERLINK(#REF!,"Link")</f>
        <v>#REF!</v>
      </c>
    </row>
    <row r="1381" spans="1:17" x14ac:dyDescent="0.3">
      <c r="A1381" t="s">
        <v>3471</v>
      </c>
      <c r="B1381" t="s">
        <v>3472</v>
      </c>
      <c r="C1381" s="9" t="s">
        <v>3859</v>
      </c>
      <c r="D1381" s="9" t="s">
        <v>3918</v>
      </c>
      <c r="E1381" s="14">
        <v>2550</v>
      </c>
      <c r="F1381" s="3">
        <v>1190</v>
      </c>
      <c r="G1381" s="3">
        <f t="shared" si="106"/>
        <v>7650</v>
      </c>
      <c r="H1381" s="3">
        <f t="shared" si="105"/>
        <v>3570</v>
      </c>
      <c r="I1381" s="14">
        <f t="shared" si="107"/>
        <v>4054.5</v>
      </c>
      <c r="J1381" s="14">
        <f t="shared" si="108"/>
        <v>-4080</v>
      </c>
      <c r="K1381" s="1">
        <v>0.53</v>
      </c>
      <c r="L1381">
        <v>3.8</v>
      </c>
      <c r="M1381" s="2">
        <v>1181</v>
      </c>
      <c r="N1381" t="s">
        <v>3473</v>
      </c>
      <c r="O1381">
        <f t="shared" si="109"/>
        <v>3</v>
      </c>
      <c r="P1381" s="12" t="e">
        <f>HYPERLINK(#REF!,"Link")</f>
        <v>#REF!</v>
      </c>
      <c r="Q1381" s="12" t="e">
        <f>HYPERLINK(#REF!,"Link")</f>
        <v>#REF!</v>
      </c>
    </row>
    <row r="1382" spans="1:17" x14ac:dyDescent="0.3">
      <c r="A1382" t="s">
        <v>3474</v>
      </c>
      <c r="B1382" t="s">
        <v>3475</v>
      </c>
      <c r="C1382" s="10" t="s">
        <v>3859</v>
      </c>
      <c r="D1382" s="10" t="s">
        <v>3919</v>
      </c>
      <c r="E1382" s="14">
        <v>1950</v>
      </c>
      <c r="F1382" s="3">
        <v>1799</v>
      </c>
      <c r="G1382" s="3">
        <f t="shared" si="106"/>
        <v>3900</v>
      </c>
      <c r="H1382" s="3">
        <f t="shared" si="105"/>
        <v>3598</v>
      </c>
      <c r="I1382" s="14">
        <f t="shared" si="107"/>
        <v>312</v>
      </c>
      <c r="J1382" s="14">
        <f t="shared" si="108"/>
        <v>-302</v>
      </c>
      <c r="K1382" s="1">
        <v>0.08</v>
      </c>
      <c r="L1382">
        <v>3.9</v>
      </c>
      <c r="M1382" s="2">
        <v>1888</v>
      </c>
      <c r="N1382" t="s">
        <v>3476</v>
      </c>
      <c r="O1382">
        <f t="shared" si="109"/>
        <v>2</v>
      </c>
      <c r="P1382" s="12" t="e">
        <f>HYPERLINK(#REF!,"Link")</f>
        <v>#REF!</v>
      </c>
      <c r="Q1382" s="12" t="e">
        <f>HYPERLINK(#REF!,"Link")</f>
        <v>#REF!</v>
      </c>
    </row>
    <row r="1383" spans="1:17" x14ac:dyDescent="0.3">
      <c r="A1383" t="s">
        <v>3477</v>
      </c>
      <c r="B1383" t="s">
        <v>3478</v>
      </c>
      <c r="C1383" s="9" t="s">
        <v>3859</v>
      </c>
      <c r="D1383" s="9" t="s">
        <v>3911</v>
      </c>
      <c r="E1383" s="14">
        <v>8478</v>
      </c>
      <c r="F1383" s="3">
        <v>6120</v>
      </c>
      <c r="G1383" s="3">
        <f t="shared" si="106"/>
        <v>33912</v>
      </c>
      <c r="H1383" s="3">
        <f t="shared" si="105"/>
        <v>24480</v>
      </c>
      <c r="I1383" s="14">
        <f t="shared" si="107"/>
        <v>9495.36</v>
      </c>
      <c r="J1383" s="14">
        <f t="shared" si="108"/>
        <v>-9432</v>
      </c>
      <c r="K1383" s="1">
        <v>0.28000000000000003</v>
      </c>
      <c r="L1383">
        <v>4.5999999999999996</v>
      </c>
      <c r="M1383" s="2">
        <v>6550</v>
      </c>
      <c r="N1383" t="s">
        <v>3479</v>
      </c>
      <c r="O1383">
        <f t="shared" si="109"/>
        <v>4</v>
      </c>
      <c r="P1383" s="12" t="e">
        <f>HYPERLINK(#REF!,"Link")</f>
        <v>#REF!</v>
      </c>
      <c r="Q1383" s="12" t="e">
        <f>HYPERLINK(#REF!,"Link")</f>
        <v>#REF!</v>
      </c>
    </row>
    <row r="1384" spans="1:17" x14ac:dyDescent="0.3">
      <c r="A1384" t="s">
        <v>3480</v>
      </c>
      <c r="B1384" t="s">
        <v>3481</v>
      </c>
      <c r="C1384" s="10" t="s">
        <v>3920</v>
      </c>
      <c r="D1384" s="10" t="s">
        <v>3921</v>
      </c>
      <c r="E1384" s="14">
        <v>3299</v>
      </c>
      <c r="F1384" s="3">
        <v>1799</v>
      </c>
      <c r="G1384" s="3">
        <f t="shared" si="106"/>
        <v>6598</v>
      </c>
      <c r="H1384" s="3">
        <f t="shared" si="105"/>
        <v>3598</v>
      </c>
      <c r="I1384" s="14">
        <f t="shared" si="107"/>
        <v>2969.1</v>
      </c>
      <c r="J1384" s="14">
        <f t="shared" si="108"/>
        <v>-3000</v>
      </c>
      <c r="K1384" s="1">
        <v>0.45</v>
      </c>
      <c r="L1384">
        <v>3.8</v>
      </c>
      <c r="M1384" s="2">
        <v>1846</v>
      </c>
      <c r="N1384" t="s">
        <v>3482</v>
      </c>
      <c r="O1384">
        <f t="shared" si="109"/>
        <v>2</v>
      </c>
      <c r="P1384" s="12" t="e">
        <f>HYPERLINK(#REF!,"Link")</f>
        <v>#REF!</v>
      </c>
      <c r="Q1384" s="12" t="e">
        <f>HYPERLINK(#REF!,"Link")</f>
        <v>#REF!</v>
      </c>
    </row>
    <row r="1385" spans="1:17" x14ac:dyDescent="0.3">
      <c r="A1385" t="s">
        <v>3483</v>
      </c>
      <c r="B1385" t="s">
        <v>3484</v>
      </c>
      <c r="C1385" s="9" t="s">
        <v>3859</v>
      </c>
      <c r="D1385" s="9" t="s">
        <v>3918</v>
      </c>
      <c r="E1385" s="14">
        <v>3895</v>
      </c>
      <c r="F1385" s="3">
        <v>2199</v>
      </c>
      <c r="G1385" s="3">
        <f t="shared" si="106"/>
        <v>7790</v>
      </c>
      <c r="H1385" s="3">
        <f t="shared" si="105"/>
        <v>4398</v>
      </c>
      <c r="I1385" s="14">
        <f t="shared" si="107"/>
        <v>3427.6</v>
      </c>
      <c r="J1385" s="14">
        <f t="shared" si="108"/>
        <v>-3392</v>
      </c>
      <c r="K1385" s="1">
        <v>0.44</v>
      </c>
      <c r="L1385">
        <v>3.9</v>
      </c>
      <c r="M1385" s="2">
        <v>1085</v>
      </c>
      <c r="N1385" t="s">
        <v>719</v>
      </c>
      <c r="O1385">
        <f t="shared" si="109"/>
        <v>2</v>
      </c>
      <c r="P1385" s="12" t="e">
        <f>HYPERLINK(#REF!,"Link")</f>
        <v>#REF!</v>
      </c>
      <c r="Q1385" s="12" t="e">
        <f>HYPERLINK(#REF!,"Link")</f>
        <v>#REF!</v>
      </c>
    </row>
    <row r="1386" spans="1:17" x14ac:dyDescent="0.3">
      <c r="A1386" t="s">
        <v>3485</v>
      </c>
      <c r="B1386" t="s">
        <v>3486</v>
      </c>
      <c r="C1386" s="10" t="s">
        <v>3859</v>
      </c>
      <c r="D1386" s="10" t="s">
        <v>3922</v>
      </c>
      <c r="E1386" s="14">
        <v>5495</v>
      </c>
      <c r="F1386" s="3">
        <v>3685</v>
      </c>
      <c r="G1386" s="3">
        <f t="shared" si="106"/>
        <v>10990</v>
      </c>
      <c r="H1386" s="3">
        <f t="shared" si="105"/>
        <v>7370</v>
      </c>
      <c r="I1386" s="14">
        <f t="shared" si="107"/>
        <v>3626.7000000000003</v>
      </c>
      <c r="J1386" s="14">
        <f t="shared" si="108"/>
        <v>-3620</v>
      </c>
      <c r="K1386" s="1">
        <v>0.33</v>
      </c>
      <c r="L1386">
        <v>4.0999999999999996</v>
      </c>
      <c r="M1386">
        <v>290</v>
      </c>
      <c r="N1386" t="s">
        <v>3487</v>
      </c>
      <c r="O1386">
        <f t="shared" si="109"/>
        <v>2</v>
      </c>
      <c r="P1386" s="12" t="e">
        <f>HYPERLINK(#REF!,"Link")</f>
        <v>#REF!</v>
      </c>
      <c r="Q1386" s="12" t="e">
        <f>HYPERLINK(#REF!,"Link")</f>
        <v>#REF!</v>
      </c>
    </row>
    <row r="1387" spans="1:17" x14ac:dyDescent="0.3">
      <c r="A1387" t="s">
        <v>3488</v>
      </c>
      <c r="B1387" t="s">
        <v>3489</v>
      </c>
      <c r="C1387" s="9" t="s">
        <v>3891</v>
      </c>
      <c r="D1387" s="9" t="s">
        <v>3923</v>
      </c>
      <c r="E1387" s="14">
        <v>999</v>
      </c>
      <c r="F1387" s="3">
        <v>649</v>
      </c>
      <c r="G1387" s="3">
        <f t="shared" si="106"/>
        <v>1998</v>
      </c>
      <c r="H1387" s="3">
        <f t="shared" si="105"/>
        <v>1298</v>
      </c>
      <c r="I1387" s="14">
        <f t="shared" si="107"/>
        <v>699.3</v>
      </c>
      <c r="J1387" s="14">
        <f t="shared" si="108"/>
        <v>-700</v>
      </c>
      <c r="K1387" s="1">
        <v>0.35</v>
      </c>
      <c r="L1387">
        <v>3.6</v>
      </c>
      <c r="M1387">
        <v>4</v>
      </c>
      <c r="N1387" t="s">
        <v>3490</v>
      </c>
      <c r="O1387">
        <f t="shared" si="109"/>
        <v>2</v>
      </c>
      <c r="P1387" s="12" t="e">
        <f>HYPERLINK(#REF!,"Link")</f>
        <v>#REF!</v>
      </c>
      <c r="Q1387" s="12" t="e">
        <f>HYPERLINK(#REF!,"Link")</f>
        <v>#REF!</v>
      </c>
    </row>
    <row r="1388" spans="1:17" x14ac:dyDescent="0.3">
      <c r="A1388" t="s">
        <v>3491</v>
      </c>
      <c r="B1388" t="s">
        <v>3492</v>
      </c>
      <c r="C1388" s="10" t="s">
        <v>3891</v>
      </c>
      <c r="D1388" s="10" t="s">
        <v>3924</v>
      </c>
      <c r="E1388" s="14">
        <v>8995</v>
      </c>
      <c r="F1388" s="3">
        <v>8599</v>
      </c>
      <c r="G1388" s="3">
        <f t="shared" si="106"/>
        <v>8995</v>
      </c>
      <c r="H1388" s="3">
        <f t="shared" si="105"/>
        <v>8599</v>
      </c>
      <c r="I1388" s="14">
        <f t="shared" si="107"/>
        <v>359.8</v>
      </c>
      <c r="J1388" s="14">
        <f t="shared" si="108"/>
        <v>-396</v>
      </c>
      <c r="K1388" s="1">
        <v>0.04</v>
      </c>
      <c r="L1388">
        <v>4.4000000000000004</v>
      </c>
      <c r="M1388" s="2">
        <v>9734</v>
      </c>
      <c r="N1388" t="s">
        <v>3493</v>
      </c>
      <c r="O1388">
        <f t="shared" si="109"/>
        <v>1</v>
      </c>
      <c r="P1388" s="12" t="e">
        <f>HYPERLINK(#REF!,"Link")</f>
        <v>#REF!</v>
      </c>
      <c r="Q1388" s="12" t="e">
        <f>HYPERLINK(#REF!,"Link")</f>
        <v>#REF!</v>
      </c>
    </row>
    <row r="1389" spans="1:17" x14ac:dyDescent="0.3">
      <c r="A1389" t="s">
        <v>3494</v>
      </c>
      <c r="B1389" t="s">
        <v>3495</v>
      </c>
      <c r="C1389" s="9" t="s">
        <v>3891</v>
      </c>
      <c r="D1389" s="9" t="s">
        <v>3925</v>
      </c>
      <c r="E1389" s="14">
        <v>1599</v>
      </c>
      <c r="F1389" s="3">
        <v>1110</v>
      </c>
      <c r="G1389" s="3">
        <f t="shared" si="106"/>
        <v>9594</v>
      </c>
      <c r="H1389" s="3">
        <f t="shared" si="105"/>
        <v>6660</v>
      </c>
      <c r="I1389" s="14">
        <f t="shared" si="107"/>
        <v>2974.14</v>
      </c>
      <c r="J1389" s="14">
        <f t="shared" si="108"/>
        <v>-2934</v>
      </c>
      <c r="K1389" s="1">
        <v>0.31</v>
      </c>
      <c r="L1389">
        <v>4.3</v>
      </c>
      <c r="M1389" s="2">
        <v>4022</v>
      </c>
      <c r="N1389" t="s">
        <v>3496</v>
      </c>
      <c r="O1389">
        <f t="shared" si="109"/>
        <v>6</v>
      </c>
      <c r="P1389" s="12" t="e">
        <f>HYPERLINK(#REF!,"Link")</f>
        <v>#REF!</v>
      </c>
      <c r="Q1389" s="12" t="e">
        <f>HYPERLINK(#REF!,"Link")</f>
        <v>#REF!</v>
      </c>
    </row>
    <row r="1390" spans="1:17" x14ac:dyDescent="0.3">
      <c r="A1390" t="s">
        <v>3497</v>
      </c>
      <c r="B1390" t="s">
        <v>3498</v>
      </c>
      <c r="C1390" s="10" t="s">
        <v>3859</v>
      </c>
      <c r="D1390" s="10" t="s">
        <v>3926</v>
      </c>
      <c r="E1390" s="14">
        <v>3500</v>
      </c>
      <c r="F1390" s="3">
        <v>1499</v>
      </c>
      <c r="G1390" s="3">
        <f t="shared" si="106"/>
        <v>7000</v>
      </c>
      <c r="H1390" s="3">
        <f t="shared" si="105"/>
        <v>2998</v>
      </c>
      <c r="I1390" s="14">
        <f t="shared" si="107"/>
        <v>3989.9999999999995</v>
      </c>
      <c r="J1390" s="14">
        <f t="shared" si="108"/>
        <v>-4002</v>
      </c>
      <c r="K1390" s="1">
        <v>0.56999999999999995</v>
      </c>
      <c r="L1390">
        <v>4.7</v>
      </c>
      <c r="M1390" s="2">
        <v>2591</v>
      </c>
      <c r="N1390" t="s">
        <v>3499</v>
      </c>
      <c r="O1390">
        <f t="shared" si="109"/>
        <v>2</v>
      </c>
      <c r="P1390" s="12" t="e">
        <f>HYPERLINK(#REF!,"Link")</f>
        <v>#REF!</v>
      </c>
      <c r="Q1390" s="12" t="e">
        <f>HYPERLINK(#REF!,"Link")</f>
        <v>#REF!</v>
      </c>
    </row>
    <row r="1391" spans="1:17" x14ac:dyDescent="0.3">
      <c r="A1391" t="s">
        <v>3500</v>
      </c>
      <c r="B1391" t="s">
        <v>3501</v>
      </c>
      <c r="C1391" s="9" t="s">
        <v>3927</v>
      </c>
      <c r="D1391" s="9" t="s">
        <v>3928</v>
      </c>
      <c r="E1391" s="14">
        <v>1999</v>
      </c>
      <c r="F1391" s="3">
        <v>759</v>
      </c>
      <c r="G1391" s="3">
        <f t="shared" si="106"/>
        <v>3998</v>
      </c>
      <c r="H1391" s="3">
        <f t="shared" si="105"/>
        <v>1518</v>
      </c>
      <c r="I1391" s="14">
        <f t="shared" si="107"/>
        <v>2478.7599999999998</v>
      </c>
      <c r="J1391" s="14">
        <f t="shared" si="108"/>
        <v>-2480</v>
      </c>
      <c r="K1391" s="1">
        <v>0.62</v>
      </c>
      <c r="L1391">
        <v>4.3</v>
      </c>
      <c r="M1391">
        <v>532</v>
      </c>
      <c r="N1391" t="s">
        <v>3502</v>
      </c>
      <c r="O1391">
        <f t="shared" si="109"/>
        <v>2</v>
      </c>
      <c r="P1391" s="12" t="e">
        <f>HYPERLINK(#REF!,"Link")</f>
        <v>#REF!</v>
      </c>
      <c r="Q1391" s="12" t="e">
        <f>HYPERLINK(#REF!,"Link")</f>
        <v>#REF!</v>
      </c>
    </row>
    <row r="1392" spans="1:17" x14ac:dyDescent="0.3">
      <c r="A1392" t="s">
        <v>3503</v>
      </c>
      <c r="B1392" t="s">
        <v>3504</v>
      </c>
      <c r="C1392" s="10" t="s">
        <v>3859</v>
      </c>
      <c r="D1392" s="10" t="s">
        <v>3929</v>
      </c>
      <c r="E1392" s="14">
        <v>3199</v>
      </c>
      <c r="F1392" s="3">
        <v>2669</v>
      </c>
      <c r="G1392" s="3">
        <f t="shared" si="106"/>
        <v>12796</v>
      </c>
      <c r="H1392" s="3">
        <f t="shared" si="105"/>
        <v>10676</v>
      </c>
      <c r="I1392" s="14">
        <f t="shared" si="107"/>
        <v>2175.3200000000002</v>
      </c>
      <c r="J1392" s="14">
        <f t="shared" si="108"/>
        <v>-2120</v>
      </c>
      <c r="K1392" s="1">
        <v>0.17</v>
      </c>
      <c r="L1392">
        <v>3.9</v>
      </c>
      <c r="M1392">
        <v>260</v>
      </c>
      <c r="N1392" t="s">
        <v>3505</v>
      </c>
      <c r="O1392">
        <f t="shared" si="109"/>
        <v>4</v>
      </c>
      <c r="P1392" s="12" t="e">
        <f>HYPERLINK(#REF!,"Link")</f>
        <v>#REF!</v>
      </c>
      <c r="Q1392" s="12" t="e">
        <f>HYPERLINK(#REF!,"Link")</f>
        <v>#REF!</v>
      </c>
    </row>
    <row r="1393" spans="1:17" x14ac:dyDescent="0.3">
      <c r="A1393" t="s">
        <v>3506</v>
      </c>
      <c r="B1393" t="s">
        <v>3507</v>
      </c>
      <c r="C1393" s="9" t="s">
        <v>3885</v>
      </c>
      <c r="D1393" s="9" t="s">
        <v>3930</v>
      </c>
      <c r="E1393" s="14">
        <v>1300</v>
      </c>
      <c r="F1393" s="3">
        <v>929</v>
      </c>
      <c r="G1393" s="3">
        <f t="shared" si="106"/>
        <v>2600</v>
      </c>
      <c r="H1393" s="3">
        <f t="shared" si="105"/>
        <v>1858</v>
      </c>
      <c r="I1393" s="14">
        <f t="shared" si="107"/>
        <v>754</v>
      </c>
      <c r="J1393" s="14">
        <f t="shared" si="108"/>
        <v>-742</v>
      </c>
      <c r="K1393" s="1">
        <v>0.28999999999999998</v>
      </c>
      <c r="L1393">
        <v>3.9</v>
      </c>
      <c r="M1393" s="2">
        <v>1672</v>
      </c>
      <c r="N1393" t="s">
        <v>3508</v>
      </c>
      <c r="O1393">
        <f t="shared" si="109"/>
        <v>2</v>
      </c>
      <c r="P1393" s="12" t="e">
        <f>HYPERLINK(#REF!,"Link")</f>
        <v>#REF!</v>
      </c>
      <c r="Q1393" s="12" t="e">
        <f>HYPERLINK(#REF!,"Link")</f>
        <v>#REF!</v>
      </c>
    </row>
    <row r="1394" spans="1:17" x14ac:dyDescent="0.3">
      <c r="A1394" t="s">
        <v>3509</v>
      </c>
      <c r="B1394" t="s">
        <v>3510</v>
      </c>
      <c r="C1394" s="10" t="s">
        <v>3864</v>
      </c>
      <c r="D1394" s="10" t="s">
        <v>3880</v>
      </c>
      <c r="E1394" s="14">
        <v>399</v>
      </c>
      <c r="F1394" s="3">
        <v>199</v>
      </c>
      <c r="G1394" s="3">
        <f t="shared" si="106"/>
        <v>1995</v>
      </c>
      <c r="H1394" s="3">
        <f t="shared" si="105"/>
        <v>995</v>
      </c>
      <c r="I1394" s="14">
        <f t="shared" si="107"/>
        <v>997.5</v>
      </c>
      <c r="J1394" s="14">
        <f t="shared" si="108"/>
        <v>-1000</v>
      </c>
      <c r="K1394" s="1">
        <v>0.5</v>
      </c>
      <c r="L1394">
        <v>3.7</v>
      </c>
      <c r="M1394" s="2">
        <v>7945</v>
      </c>
      <c r="N1394" t="s">
        <v>3511</v>
      </c>
      <c r="O1394">
        <f t="shared" si="109"/>
        <v>5</v>
      </c>
      <c r="P1394" s="12" t="e">
        <f>HYPERLINK(#REF!,"Link")</f>
        <v>#REF!</v>
      </c>
      <c r="Q1394" s="12" t="e">
        <f>HYPERLINK(#REF!,"Link")</f>
        <v>#REF!</v>
      </c>
    </row>
    <row r="1395" spans="1:17" x14ac:dyDescent="0.3">
      <c r="A1395" t="s">
        <v>3512</v>
      </c>
      <c r="B1395" t="s">
        <v>3513</v>
      </c>
      <c r="C1395" s="10" t="s">
        <v>3725</v>
      </c>
      <c r="D1395" s="10" t="s">
        <v>3726</v>
      </c>
      <c r="E1395" s="14">
        <v>599</v>
      </c>
      <c r="F1395" s="3">
        <v>279</v>
      </c>
      <c r="G1395" s="3">
        <f t="shared" si="106"/>
        <v>3594</v>
      </c>
      <c r="H1395" s="3">
        <f t="shared" si="105"/>
        <v>1674</v>
      </c>
      <c r="I1395" s="14">
        <f t="shared" si="107"/>
        <v>1904.8200000000002</v>
      </c>
      <c r="J1395" s="14">
        <f t="shared" si="108"/>
        <v>-1920</v>
      </c>
      <c r="K1395" s="1">
        <v>0.53</v>
      </c>
      <c r="L1395">
        <v>3.5</v>
      </c>
      <c r="M1395" s="2">
        <v>1367</v>
      </c>
      <c r="N1395" t="s">
        <v>3514</v>
      </c>
      <c r="O1395">
        <f t="shared" si="109"/>
        <v>6</v>
      </c>
      <c r="P1395" s="12" t="e">
        <f>HYPERLINK(#REF!,"Link")</f>
        <v>#REF!</v>
      </c>
      <c r="Q1395" s="12" t="e">
        <f>HYPERLINK(#REF!,"Link")</f>
        <v>#REF!</v>
      </c>
    </row>
    <row r="1396" spans="1:17" x14ac:dyDescent="0.3">
      <c r="A1396" t="s">
        <v>3515</v>
      </c>
      <c r="B1396" t="s">
        <v>3516</v>
      </c>
      <c r="C1396" s="9" t="s">
        <v>3727</v>
      </c>
      <c r="D1396" s="9" t="s">
        <v>3728</v>
      </c>
      <c r="E1396" s="14">
        <v>999</v>
      </c>
      <c r="F1396" s="3">
        <v>549</v>
      </c>
      <c r="G1396" s="3">
        <f t="shared" si="106"/>
        <v>1998</v>
      </c>
      <c r="H1396" s="3">
        <f t="shared" si="105"/>
        <v>1098</v>
      </c>
      <c r="I1396" s="14">
        <f t="shared" si="107"/>
        <v>899.1</v>
      </c>
      <c r="J1396" s="14">
        <f t="shared" si="108"/>
        <v>-900</v>
      </c>
      <c r="K1396" s="1">
        <v>0.45</v>
      </c>
      <c r="L1396">
        <v>4</v>
      </c>
      <c r="M1396" s="2">
        <v>1313</v>
      </c>
      <c r="N1396" t="s">
        <v>3517</v>
      </c>
      <c r="O1396">
        <f t="shared" si="109"/>
        <v>2</v>
      </c>
      <c r="P1396" s="12" t="e">
        <f>HYPERLINK(#REF!,"Link")</f>
        <v>#REF!</v>
      </c>
      <c r="Q1396" s="12" t="e">
        <f>HYPERLINK(#REF!,"Link")</f>
        <v>#REF!</v>
      </c>
    </row>
    <row r="1397" spans="1:17" x14ac:dyDescent="0.3">
      <c r="A1397" t="s">
        <v>3518</v>
      </c>
      <c r="B1397" t="s">
        <v>3519</v>
      </c>
      <c r="C1397" s="10" t="s">
        <v>3729</v>
      </c>
      <c r="D1397" s="10" t="s">
        <v>3726</v>
      </c>
      <c r="E1397" s="14">
        <v>199</v>
      </c>
      <c r="F1397" s="3">
        <v>85</v>
      </c>
      <c r="G1397" s="3">
        <f t="shared" si="106"/>
        <v>796</v>
      </c>
      <c r="H1397" s="3">
        <f t="shared" si="105"/>
        <v>340</v>
      </c>
      <c r="I1397" s="14">
        <f t="shared" si="107"/>
        <v>453.71999999999997</v>
      </c>
      <c r="J1397" s="14">
        <f t="shared" si="108"/>
        <v>-456</v>
      </c>
      <c r="K1397" s="1">
        <v>0.56999999999999995</v>
      </c>
      <c r="L1397">
        <v>4.0999999999999996</v>
      </c>
      <c r="M1397">
        <v>212</v>
      </c>
      <c r="N1397" t="s">
        <v>3520</v>
      </c>
      <c r="O1397">
        <f t="shared" si="109"/>
        <v>4</v>
      </c>
      <c r="P1397" s="12" t="e">
        <f>HYPERLINK(#REF!,"Link")</f>
        <v>#REF!</v>
      </c>
      <c r="Q1397" s="12" t="e">
        <f>HYPERLINK(#REF!,"Link")</f>
        <v>#REF!</v>
      </c>
    </row>
    <row r="1398" spans="1:17" x14ac:dyDescent="0.3">
      <c r="A1398" t="s">
        <v>3521</v>
      </c>
      <c r="B1398" t="s">
        <v>3522</v>
      </c>
      <c r="C1398" s="9" t="s">
        <v>3730</v>
      </c>
      <c r="D1398" s="9" t="s">
        <v>3731</v>
      </c>
      <c r="E1398" s="14">
        <v>1299</v>
      </c>
      <c r="F1398" s="3">
        <v>499</v>
      </c>
      <c r="G1398" s="3">
        <f t="shared" si="106"/>
        <v>3897</v>
      </c>
      <c r="H1398" s="3">
        <f t="shared" si="105"/>
        <v>1497</v>
      </c>
      <c r="I1398" s="14">
        <f t="shared" si="107"/>
        <v>2416.14</v>
      </c>
      <c r="J1398" s="14">
        <f t="shared" si="108"/>
        <v>-2400</v>
      </c>
      <c r="K1398" s="1">
        <v>0.62</v>
      </c>
      <c r="L1398">
        <v>3.9</v>
      </c>
      <c r="M1398">
        <v>65</v>
      </c>
      <c r="N1398" t="s">
        <v>3523</v>
      </c>
      <c r="O1398">
        <f t="shared" si="109"/>
        <v>3</v>
      </c>
      <c r="P1398" s="12" t="e">
        <f>HYPERLINK(#REF!,"Link")</f>
        <v>#REF!</v>
      </c>
      <c r="Q1398" s="12" t="e">
        <f>HYPERLINK(#REF!,"Link")</f>
        <v>#REF!</v>
      </c>
    </row>
    <row r="1399" spans="1:17" x14ac:dyDescent="0.3">
      <c r="A1399" t="s">
        <v>3524</v>
      </c>
      <c r="B1399" t="s">
        <v>3525</v>
      </c>
      <c r="C1399" s="10" t="s">
        <v>3729</v>
      </c>
      <c r="D1399" s="10" t="s">
        <v>3732</v>
      </c>
      <c r="E1399" s="14">
        <v>7776</v>
      </c>
      <c r="F1399" s="3">
        <v>5865</v>
      </c>
      <c r="G1399" s="3">
        <f t="shared" si="106"/>
        <v>7776</v>
      </c>
      <c r="H1399" s="3">
        <f t="shared" si="105"/>
        <v>5865</v>
      </c>
      <c r="I1399" s="14">
        <f t="shared" si="107"/>
        <v>1944</v>
      </c>
      <c r="J1399" s="14">
        <f t="shared" si="108"/>
        <v>-1911</v>
      </c>
      <c r="K1399" s="1">
        <v>0.25</v>
      </c>
      <c r="L1399">
        <v>4.4000000000000004</v>
      </c>
      <c r="M1399" s="2">
        <v>2737</v>
      </c>
      <c r="N1399" t="s">
        <v>3526</v>
      </c>
      <c r="O1399">
        <f t="shared" si="109"/>
        <v>1</v>
      </c>
      <c r="P1399" s="12" t="e">
        <f>HYPERLINK(#REF!,"Link")</f>
        <v>#REF!</v>
      </c>
      <c r="Q1399" s="12" t="e">
        <f>HYPERLINK(#REF!,"Link")</f>
        <v>#REF!</v>
      </c>
    </row>
    <row r="1400" spans="1:17" x14ac:dyDescent="0.3">
      <c r="A1400" t="s">
        <v>3527</v>
      </c>
      <c r="B1400" t="s">
        <v>3528</v>
      </c>
      <c r="C1400" s="9" t="s">
        <v>3730</v>
      </c>
      <c r="D1400" s="9" t="s">
        <v>3733</v>
      </c>
      <c r="E1400" s="14">
        <v>2299</v>
      </c>
      <c r="F1400" s="3">
        <v>1260</v>
      </c>
      <c r="G1400" s="3">
        <f t="shared" si="106"/>
        <v>6897</v>
      </c>
      <c r="H1400" s="3">
        <f t="shared" si="105"/>
        <v>3780</v>
      </c>
      <c r="I1400" s="14">
        <f t="shared" si="107"/>
        <v>3103.6499999999996</v>
      </c>
      <c r="J1400" s="14">
        <f t="shared" si="108"/>
        <v>-3117</v>
      </c>
      <c r="K1400" s="1">
        <v>0.45</v>
      </c>
      <c r="L1400">
        <v>4.3</v>
      </c>
      <c r="M1400">
        <v>55</v>
      </c>
      <c r="N1400" t="s">
        <v>3529</v>
      </c>
      <c r="O1400">
        <f t="shared" si="109"/>
        <v>3</v>
      </c>
      <c r="P1400" s="12" t="e">
        <f>HYPERLINK(#REF!,"Link")</f>
        <v>#REF!</v>
      </c>
      <c r="Q1400" s="12" t="e">
        <f>HYPERLINK(#REF!,"Link")</f>
        <v>#REF!</v>
      </c>
    </row>
    <row r="1401" spans="1:17" x14ac:dyDescent="0.3">
      <c r="A1401" t="s">
        <v>3530</v>
      </c>
      <c r="B1401" t="s">
        <v>3531</v>
      </c>
      <c r="C1401" s="10" t="s">
        <v>3729</v>
      </c>
      <c r="D1401" s="10" t="s">
        <v>3734</v>
      </c>
      <c r="E1401" s="14">
        <v>1500</v>
      </c>
      <c r="F1401" s="3">
        <v>1099</v>
      </c>
      <c r="G1401" s="3">
        <f t="shared" si="106"/>
        <v>9000</v>
      </c>
      <c r="H1401" s="3">
        <f t="shared" si="105"/>
        <v>6594</v>
      </c>
      <c r="I1401" s="14">
        <f t="shared" si="107"/>
        <v>2430</v>
      </c>
      <c r="J1401" s="14">
        <f t="shared" si="108"/>
        <v>-2406</v>
      </c>
      <c r="K1401" s="1">
        <v>0.27</v>
      </c>
      <c r="L1401">
        <v>4.5</v>
      </c>
      <c r="M1401" s="2">
        <v>1065</v>
      </c>
      <c r="N1401" t="s">
        <v>3532</v>
      </c>
      <c r="O1401">
        <f t="shared" si="109"/>
        <v>6</v>
      </c>
      <c r="P1401" s="12" t="e">
        <f>HYPERLINK(#REF!,"Link")</f>
        <v>#REF!</v>
      </c>
      <c r="Q1401" s="12" t="e">
        <f>HYPERLINK(#REF!,"Link")</f>
        <v>#REF!</v>
      </c>
    </row>
    <row r="1402" spans="1:17" x14ac:dyDescent="0.3">
      <c r="A1402" t="s">
        <v>3533</v>
      </c>
      <c r="B1402" t="s">
        <v>3534</v>
      </c>
      <c r="C1402" s="9" t="s">
        <v>3729</v>
      </c>
      <c r="D1402" s="9" t="s">
        <v>3726</v>
      </c>
      <c r="E1402" s="14">
        <v>2590</v>
      </c>
      <c r="F1402" s="3">
        <v>1928</v>
      </c>
      <c r="G1402" s="3">
        <f t="shared" si="106"/>
        <v>5180</v>
      </c>
      <c r="H1402" s="3">
        <f t="shared" si="105"/>
        <v>3856</v>
      </c>
      <c r="I1402" s="14">
        <f t="shared" si="107"/>
        <v>1346.8</v>
      </c>
      <c r="J1402" s="14">
        <f t="shared" si="108"/>
        <v>-1324</v>
      </c>
      <c r="K1402" s="1">
        <v>0.26</v>
      </c>
      <c r="L1402">
        <v>4</v>
      </c>
      <c r="M1402" s="2">
        <v>2377</v>
      </c>
      <c r="N1402" t="s">
        <v>3535</v>
      </c>
      <c r="O1402">
        <f t="shared" si="109"/>
        <v>2</v>
      </c>
      <c r="P1402" s="12" t="e">
        <f>HYPERLINK(#REF!,"Link")</f>
        <v>#REF!</v>
      </c>
      <c r="Q1402" s="12" t="e">
        <f>HYPERLINK(#REF!,"Link")</f>
        <v>#REF!</v>
      </c>
    </row>
    <row r="1403" spans="1:17" x14ac:dyDescent="0.3">
      <c r="A1403" t="s">
        <v>3536</v>
      </c>
      <c r="B1403" t="s">
        <v>3537</v>
      </c>
      <c r="C1403" s="10" t="s">
        <v>3729</v>
      </c>
      <c r="D1403" s="10" t="s">
        <v>3735</v>
      </c>
      <c r="E1403" s="14">
        <v>6299</v>
      </c>
      <c r="F1403" s="3">
        <v>3249</v>
      </c>
      <c r="G1403" s="3">
        <f t="shared" si="106"/>
        <v>12598</v>
      </c>
      <c r="H1403" s="3">
        <f t="shared" si="105"/>
        <v>6498</v>
      </c>
      <c r="I1403" s="14">
        <f t="shared" si="107"/>
        <v>6047.04</v>
      </c>
      <c r="J1403" s="14">
        <f t="shared" si="108"/>
        <v>-6100</v>
      </c>
      <c r="K1403" s="1">
        <v>0.48</v>
      </c>
      <c r="L1403">
        <v>3.9</v>
      </c>
      <c r="M1403" s="2">
        <v>2569</v>
      </c>
      <c r="N1403" t="s">
        <v>3538</v>
      </c>
      <c r="O1403">
        <f t="shared" si="109"/>
        <v>2</v>
      </c>
      <c r="P1403" s="12" t="e">
        <f>HYPERLINK(#REF!,"Link")</f>
        <v>#REF!</v>
      </c>
      <c r="Q1403" s="12" t="e">
        <f>HYPERLINK(#REF!,"Link")</f>
        <v>#REF!</v>
      </c>
    </row>
    <row r="1404" spans="1:17" x14ac:dyDescent="0.3">
      <c r="A1404" t="s">
        <v>3539</v>
      </c>
      <c r="B1404" t="s">
        <v>3540</v>
      </c>
      <c r="C1404" s="9" t="s">
        <v>3729</v>
      </c>
      <c r="D1404" s="9" t="s">
        <v>3726</v>
      </c>
      <c r="E1404" s="14">
        <v>1795</v>
      </c>
      <c r="F1404" s="3">
        <v>1199</v>
      </c>
      <c r="G1404" s="3">
        <f t="shared" si="106"/>
        <v>5385</v>
      </c>
      <c r="H1404" s="3">
        <f t="shared" si="105"/>
        <v>3597</v>
      </c>
      <c r="I1404" s="14">
        <f t="shared" si="107"/>
        <v>1777.0500000000002</v>
      </c>
      <c r="J1404" s="14">
        <f t="shared" si="108"/>
        <v>-1788</v>
      </c>
      <c r="K1404" s="1">
        <v>0.33</v>
      </c>
      <c r="L1404">
        <v>4.2</v>
      </c>
      <c r="M1404" s="2">
        <v>5967</v>
      </c>
      <c r="N1404" t="s">
        <v>3541</v>
      </c>
      <c r="O1404">
        <f t="shared" si="109"/>
        <v>3</v>
      </c>
      <c r="P1404" s="12" t="e">
        <f>HYPERLINK(#REF!,"Link")</f>
        <v>#REF!</v>
      </c>
      <c r="Q1404" s="12" t="e">
        <f>HYPERLINK(#REF!,"Link")</f>
        <v>#REF!</v>
      </c>
    </row>
    <row r="1405" spans="1:17" x14ac:dyDescent="0.3">
      <c r="A1405" t="s">
        <v>3542</v>
      </c>
      <c r="B1405" t="s">
        <v>3543</v>
      </c>
      <c r="C1405" s="10" t="s">
        <v>3737</v>
      </c>
      <c r="D1405" s="10"/>
      <c r="E1405" s="14">
        <v>3190</v>
      </c>
      <c r="F1405" s="3">
        <v>1456</v>
      </c>
      <c r="G1405" s="3">
        <f t="shared" si="106"/>
        <v>12760</v>
      </c>
      <c r="H1405" s="3">
        <f t="shared" si="105"/>
        <v>5824</v>
      </c>
      <c r="I1405" s="14">
        <f t="shared" si="107"/>
        <v>6890.4000000000005</v>
      </c>
      <c r="J1405" s="14">
        <f t="shared" si="108"/>
        <v>-6936</v>
      </c>
      <c r="K1405" s="1">
        <v>0.54</v>
      </c>
      <c r="L1405">
        <v>4.0999999999999996</v>
      </c>
      <c r="M1405" s="2">
        <v>1776</v>
      </c>
      <c r="N1405" t="s">
        <v>3544</v>
      </c>
      <c r="O1405">
        <f t="shared" si="109"/>
        <v>4</v>
      </c>
      <c r="P1405" s="12" t="e">
        <f>HYPERLINK(#REF!,"Link")</f>
        <v>#REF!</v>
      </c>
      <c r="Q1405" s="12" t="e">
        <f>HYPERLINK(#REF!,"Link")</f>
        <v>#REF!</v>
      </c>
    </row>
    <row r="1406" spans="1:17" x14ac:dyDescent="0.3">
      <c r="A1406" t="s">
        <v>3545</v>
      </c>
      <c r="B1406" t="s">
        <v>3546</v>
      </c>
      <c r="C1406" s="9" t="s">
        <v>3729</v>
      </c>
      <c r="D1406" s="9" t="s">
        <v>3738</v>
      </c>
      <c r="E1406" s="14">
        <v>4799</v>
      </c>
      <c r="F1406" s="3">
        <v>3349</v>
      </c>
      <c r="G1406" s="3">
        <f t="shared" si="106"/>
        <v>4799</v>
      </c>
      <c r="H1406" s="3">
        <f t="shared" si="105"/>
        <v>3349</v>
      </c>
      <c r="I1406" s="14">
        <f t="shared" si="107"/>
        <v>1439.7</v>
      </c>
      <c r="J1406" s="14">
        <f t="shared" si="108"/>
        <v>-1450</v>
      </c>
      <c r="K1406" s="1">
        <v>0.3</v>
      </c>
      <c r="L1406">
        <v>3.7</v>
      </c>
      <c r="M1406" s="2">
        <v>4200</v>
      </c>
      <c r="N1406" t="s">
        <v>3547</v>
      </c>
      <c r="O1406">
        <f t="shared" si="109"/>
        <v>1</v>
      </c>
      <c r="P1406" s="12" t="e">
        <f>HYPERLINK(#REF!,"Link")</f>
        <v>#REF!</v>
      </c>
      <c r="Q1406" s="12" t="e">
        <f>HYPERLINK(#REF!,"Link")</f>
        <v>#REF!</v>
      </c>
    </row>
    <row r="1407" spans="1:17" x14ac:dyDescent="0.3">
      <c r="A1407" t="s">
        <v>3548</v>
      </c>
      <c r="B1407" t="s">
        <v>3549</v>
      </c>
      <c r="C1407" s="10" t="s">
        <v>3739</v>
      </c>
      <c r="D1407" s="10" t="s">
        <v>3740</v>
      </c>
      <c r="E1407" s="14">
        <v>8999</v>
      </c>
      <c r="F1407" s="3">
        <v>4899</v>
      </c>
      <c r="G1407" s="3">
        <f t="shared" si="106"/>
        <v>8999</v>
      </c>
      <c r="H1407" s="3">
        <f t="shared" si="105"/>
        <v>4899</v>
      </c>
      <c r="I1407" s="14">
        <f t="shared" si="107"/>
        <v>4139.54</v>
      </c>
      <c r="J1407" s="14">
        <f t="shared" si="108"/>
        <v>-4100</v>
      </c>
      <c r="K1407" s="1">
        <v>0.46</v>
      </c>
      <c r="L1407">
        <v>4.0999999999999996</v>
      </c>
      <c r="M1407">
        <v>297</v>
      </c>
      <c r="N1407" t="s">
        <v>3550</v>
      </c>
      <c r="O1407">
        <f t="shared" si="109"/>
        <v>1</v>
      </c>
      <c r="P1407" s="12" t="e">
        <f>HYPERLINK(#REF!,"Link")</f>
        <v>#REF!</v>
      </c>
      <c r="Q1407" s="12" t="e">
        <f>HYPERLINK(#REF!,"Link")</f>
        <v>#REF!</v>
      </c>
    </row>
    <row r="1408" spans="1:17" x14ac:dyDescent="0.3">
      <c r="A1408" t="s">
        <v>3551</v>
      </c>
      <c r="B1408" t="s">
        <v>3552</v>
      </c>
      <c r="C1408" s="9" t="s">
        <v>3725</v>
      </c>
      <c r="D1408" s="9" t="s">
        <v>3726</v>
      </c>
      <c r="E1408" s="14">
        <v>1899</v>
      </c>
      <c r="F1408" s="3">
        <v>1199</v>
      </c>
      <c r="G1408" s="3">
        <f t="shared" si="106"/>
        <v>3798</v>
      </c>
      <c r="H1408" s="3">
        <f t="shared" si="105"/>
        <v>2398</v>
      </c>
      <c r="I1408" s="14">
        <f t="shared" si="107"/>
        <v>1405.26</v>
      </c>
      <c r="J1408" s="14">
        <f t="shared" si="108"/>
        <v>-1400</v>
      </c>
      <c r="K1408" s="1">
        <v>0.37</v>
      </c>
      <c r="L1408">
        <v>4.2</v>
      </c>
      <c r="M1408" s="2">
        <v>3858</v>
      </c>
      <c r="N1408" t="s">
        <v>3553</v>
      </c>
      <c r="O1408">
        <f t="shared" si="109"/>
        <v>2</v>
      </c>
      <c r="P1408" s="12" t="e">
        <f>HYPERLINK(#REF!,"Link")</f>
        <v>#REF!</v>
      </c>
      <c r="Q1408" s="12" t="e">
        <f>HYPERLINK(#REF!,"Link")</f>
        <v>#REF!</v>
      </c>
    </row>
    <row r="1409" spans="1:17" x14ac:dyDescent="0.3">
      <c r="A1409" t="s">
        <v>3554</v>
      </c>
      <c r="B1409" t="s">
        <v>3555</v>
      </c>
      <c r="C1409" s="10" t="s">
        <v>3729</v>
      </c>
      <c r="D1409" s="10" t="s">
        <v>3726</v>
      </c>
      <c r="E1409" s="14">
        <v>5799</v>
      </c>
      <c r="F1409" s="3">
        <v>3290</v>
      </c>
      <c r="G1409" s="3">
        <f t="shared" si="106"/>
        <v>28995</v>
      </c>
      <c r="H1409" s="3">
        <f t="shared" si="105"/>
        <v>16450</v>
      </c>
      <c r="I1409" s="14">
        <f t="shared" si="107"/>
        <v>12467.85</v>
      </c>
      <c r="J1409" s="14">
        <f t="shared" si="108"/>
        <v>-12545</v>
      </c>
      <c r="K1409" s="1">
        <v>0.43</v>
      </c>
      <c r="L1409">
        <v>4.3</v>
      </c>
      <c r="M1409">
        <v>168</v>
      </c>
      <c r="N1409" t="s">
        <v>3556</v>
      </c>
      <c r="O1409">
        <f t="shared" si="109"/>
        <v>5</v>
      </c>
      <c r="P1409" s="12" t="e">
        <f>HYPERLINK(#REF!,"Link")</f>
        <v>#REF!</v>
      </c>
      <c r="Q1409" s="12" t="e">
        <f>HYPERLINK(#REF!,"Link")</f>
        <v>#REF!</v>
      </c>
    </row>
    <row r="1410" spans="1:17" x14ac:dyDescent="0.3">
      <c r="A1410" t="s">
        <v>3557</v>
      </c>
      <c r="B1410" t="s">
        <v>3558</v>
      </c>
      <c r="C1410" s="9" t="s">
        <v>3741</v>
      </c>
      <c r="D1410" s="9" t="s">
        <v>3742</v>
      </c>
      <c r="E1410" s="14">
        <v>799</v>
      </c>
      <c r="F1410" s="3">
        <v>179</v>
      </c>
      <c r="G1410" s="3">
        <f t="shared" si="106"/>
        <v>3196</v>
      </c>
      <c r="H1410" s="3">
        <f t="shared" ref="H1410:H1466" si="110">F1410*O1410</f>
        <v>716</v>
      </c>
      <c r="I1410" s="14">
        <f t="shared" si="107"/>
        <v>2492.88</v>
      </c>
      <c r="J1410" s="14">
        <f t="shared" si="108"/>
        <v>-2480</v>
      </c>
      <c r="K1410" s="1">
        <v>0.78</v>
      </c>
      <c r="L1410">
        <v>3.6</v>
      </c>
      <c r="M1410">
        <v>101</v>
      </c>
      <c r="N1410" t="s">
        <v>3559</v>
      </c>
      <c r="O1410">
        <f t="shared" si="109"/>
        <v>4</v>
      </c>
      <c r="P1410" s="12" t="e">
        <f>HYPERLINK(#REF!,"Link")</f>
        <v>#REF!</v>
      </c>
      <c r="Q1410" s="12" t="e">
        <f>HYPERLINK(#REF!,"Link")</f>
        <v>#REF!</v>
      </c>
    </row>
    <row r="1411" spans="1:17" x14ac:dyDescent="0.3">
      <c r="A1411" t="s">
        <v>3560</v>
      </c>
      <c r="B1411" t="s">
        <v>3561</v>
      </c>
      <c r="C1411" s="10" t="s">
        <v>3743</v>
      </c>
      <c r="D1411" s="10"/>
      <c r="E1411" s="14">
        <v>300</v>
      </c>
      <c r="F1411" s="3">
        <v>149</v>
      </c>
      <c r="G1411" s="3">
        <f t="shared" ref="G1411:G1466" si="111">E1411*O1411</f>
        <v>600</v>
      </c>
      <c r="H1411" s="3">
        <f t="shared" si="110"/>
        <v>298</v>
      </c>
      <c r="I1411" s="14">
        <f t="shared" ref="I1411:I1466" si="112">(E1411*K1411)*O1411</f>
        <v>300</v>
      </c>
      <c r="J1411" s="14">
        <f t="shared" ref="J1411:J1466" si="113">H1411-G1411</f>
        <v>-302</v>
      </c>
      <c r="K1411" s="1">
        <v>0.5</v>
      </c>
      <c r="L1411">
        <v>4.0999999999999996</v>
      </c>
      <c r="M1411" s="2">
        <v>4074</v>
      </c>
      <c r="N1411" t="s">
        <v>3562</v>
      </c>
      <c r="O1411">
        <f t="shared" ref="O1411:O1466" si="114">LEN(N1411)-LEN(SUBSTITUTE(N1411,",",""))+1</f>
        <v>2</v>
      </c>
      <c r="P1411" s="12" t="e">
        <f>HYPERLINK(#REF!,"Link")</f>
        <v>#REF!</v>
      </c>
      <c r="Q1411" s="12" t="e">
        <f>HYPERLINK(#REF!,"Link")</f>
        <v>#REF!</v>
      </c>
    </row>
    <row r="1412" spans="1:17" x14ac:dyDescent="0.3">
      <c r="A1412" t="s">
        <v>3563</v>
      </c>
      <c r="B1412" t="s">
        <v>3564</v>
      </c>
      <c r="C1412" s="9" t="s">
        <v>3744</v>
      </c>
      <c r="D1412" s="9" t="s">
        <v>3745</v>
      </c>
      <c r="E1412" s="14">
        <v>7200</v>
      </c>
      <c r="F1412" s="3">
        <v>5490</v>
      </c>
      <c r="G1412" s="3">
        <f t="shared" si="111"/>
        <v>14400</v>
      </c>
      <c r="H1412" s="3">
        <f t="shared" si="110"/>
        <v>10980</v>
      </c>
      <c r="I1412" s="14">
        <f t="shared" si="112"/>
        <v>3456</v>
      </c>
      <c r="J1412" s="14">
        <f t="shared" si="113"/>
        <v>-3420</v>
      </c>
      <c r="K1412" s="1">
        <v>0.24</v>
      </c>
      <c r="L1412">
        <v>4.5</v>
      </c>
      <c r="M1412" s="2">
        <v>1408</v>
      </c>
      <c r="N1412" t="s">
        <v>3565</v>
      </c>
      <c r="O1412">
        <f t="shared" si="114"/>
        <v>2</v>
      </c>
      <c r="P1412" s="12" t="e">
        <f>HYPERLINK(#REF!,"Link")</f>
        <v>#REF!</v>
      </c>
      <c r="Q1412" s="12" t="e">
        <f>HYPERLINK(#REF!,"Link")</f>
        <v>#REF!</v>
      </c>
    </row>
    <row r="1413" spans="1:17" x14ac:dyDescent="0.3">
      <c r="A1413" t="s">
        <v>3566</v>
      </c>
      <c r="B1413" t="s">
        <v>3567</v>
      </c>
      <c r="C1413" s="10" t="s">
        <v>3729</v>
      </c>
      <c r="D1413" s="10" t="s">
        <v>3746</v>
      </c>
      <c r="E1413" s="14">
        <v>389</v>
      </c>
      <c r="F1413" s="3">
        <v>379</v>
      </c>
      <c r="G1413" s="3">
        <f t="shared" si="111"/>
        <v>778</v>
      </c>
      <c r="H1413" s="3">
        <f t="shared" si="110"/>
        <v>758</v>
      </c>
      <c r="I1413" s="14">
        <f t="shared" si="112"/>
        <v>23.34</v>
      </c>
      <c r="J1413" s="14">
        <f t="shared" si="113"/>
        <v>-20</v>
      </c>
      <c r="K1413" s="1">
        <v>0.03</v>
      </c>
      <c r="L1413">
        <v>4.2</v>
      </c>
      <c r="M1413" s="2">
        <v>3739</v>
      </c>
      <c r="N1413" t="s">
        <v>3568</v>
      </c>
      <c r="O1413">
        <f t="shared" si="114"/>
        <v>2</v>
      </c>
      <c r="P1413" s="12" t="e">
        <f>HYPERLINK(#REF!,"Link")</f>
        <v>#REF!</v>
      </c>
      <c r="Q1413" s="12" t="e">
        <f>HYPERLINK(#REF!,"Link")</f>
        <v>#REF!</v>
      </c>
    </row>
    <row r="1414" spans="1:17" x14ac:dyDescent="0.3">
      <c r="A1414" t="s">
        <v>3569</v>
      </c>
      <c r="B1414" t="s">
        <v>3570</v>
      </c>
      <c r="C1414" s="9" t="s">
        <v>3747</v>
      </c>
      <c r="D1414" s="9"/>
      <c r="E1414" s="14">
        <v>13049</v>
      </c>
      <c r="F1414" s="3">
        <v>8699</v>
      </c>
      <c r="G1414" s="3">
        <f t="shared" si="111"/>
        <v>26098</v>
      </c>
      <c r="H1414" s="3">
        <f t="shared" si="110"/>
        <v>17398</v>
      </c>
      <c r="I1414" s="14">
        <f t="shared" si="112"/>
        <v>8612.34</v>
      </c>
      <c r="J1414" s="14">
        <f t="shared" si="113"/>
        <v>-8700</v>
      </c>
      <c r="K1414" s="1">
        <v>0.33</v>
      </c>
      <c r="L1414">
        <v>4.3</v>
      </c>
      <c r="M1414" s="2">
        <v>5891</v>
      </c>
      <c r="N1414" t="s">
        <v>3571</v>
      </c>
      <c r="O1414">
        <f t="shared" si="114"/>
        <v>2</v>
      </c>
      <c r="P1414" s="12" t="e">
        <f>HYPERLINK(#REF!,"Link")</f>
        <v>#REF!</v>
      </c>
      <c r="Q1414" s="12" t="e">
        <f>HYPERLINK(#REF!,"Link")</f>
        <v>#REF!</v>
      </c>
    </row>
    <row r="1415" spans="1:17" x14ac:dyDescent="0.3">
      <c r="A1415" t="s">
        <v>3572</v>
      </c>
      <c r="B1415" t="s">
        <v>3573</v>
      </c>
      <c r="C1415" s="10" t="s">
        <v>3748</v>
      </c>
      <c r="D1415" s="10" t="s">
        <v>3749</v>
      </c>
      <c r="E1415" s="14">
        <v>5999</v>
      </c>
      <c r="F1415" s="3">
        <v>3041.67</v>
      </c>
      <c r="G1415" s="3">
        <f t="shared" si="111"/>
        <v>11998</v>
      </c>
      <c r="H1415" s="3">
        <f t="shared" si="110"/>
        <v>6083.34</v>
      </c>
      <c r="I1415" s="14">
        <f t="shared" si="112"/>
        <v>5879.0199999999995</v>
      </c>
      <c r="J1415" s="14">
        <f t="shared" si="113"/>
        <v>-5914.66</v>
      </c>
      <c r="K1415" s="1">
        <v>0.49</v>
      </c>
      <c r="L1415">
        <v>4</v>
      </c>
      <c r="M1415">
        <v>777</v>
      </c>
      <c r="N1415" t="s">
        <v>3574</v>
      </c>
      <c r="O1415">
        <f t="shared" si="114"/>
        <v>2</v>
      </c>
      <c r="P1415" s="12" t="e">
        <f>HYPERLINK(#REF!,"Link")</f>
        <v>#REF!</v>
      </c>
      <c r="Q1415" s="12" t="e">
        <f>HYPERLINK(#REF!,"Link")</f>
        <v>#REF!</v>
      </c>
    </row>
    <row r="1416" spans="1:17" x14ac:dyDescent="0.3">
      <c r="A1416" t="s">
        <v>3575</v>
      </c>
      <c r="B1416" t="s">
        <v>3576</v>
      </c>
      <c r="C1416" s="9" t="s">
        <v>3750</v>
      </c>
      <c r="D1416" s="9" t="s">
        <v>3751</v>
      </c>
      <c r="E1416" s="14">
        <v>2400</v>
      </c>
      <c r="F1416" s="3">
        <v>1745</v>
      </c>
      <c r="G1416" s="3">
        <f t="shared" si="111"/>
        <v>12000</v>
      </c>
      <c r="H1416" s="3">
        <f t="shared" si="110"/>
        <v>8725</v>
      </c>
      <c r="I1416" s="14">
        <f t="shared" si="112"/>
        <v>3240</v>
      </c>
      <c r="J1416" s="14">
        <f t="shared" si="113"/>
        <v>-3275</v>
      </c>
      <c r="K1416" s="1">
        <v>0.27</v>
      </c>
      <c r="L1416">
        <v>4.2</v>
      </c>
      <c r="M1416" s="2">
        <v>14160</v>
      </c>
      <c r="N1416" t="s">
        <v>3577</v>
      </c>
      <c r="O1416">
        <f t="shared" si="114"/>
        <v>5</v>
      </c>
      <c r="P1416" s="12" t="e">
        <f>HYPERLINK(#REF!,"Link")</f>
        <v>#REF!</v>
      </c>
      <c r="Q1416" s="12" t="e">
        <f>HYPERLINK(#REF!,"Link")</f>
        <v>#REF!</v>
      </c>
    </row>
    <row r="1417" spans="1:17" x14ac:dyDescent="0.3">
      <c r="A1417" t="s">
        <v>3578</v>
      </c>
      <c r="B1417" t="s">
        <v>3579</v>
      </c>
      <c r="C1417" s="10" t="s">
        <v>3752</v>
      </c>
      <c r="D1417" s="10" t="s">
        <v>3753</v>
      </c>
      <c r="E1417" s="14">
        <v>5295</v>
      </c>
      <c r="F1417" s="3">
        <v>3180</v>
      </c>
      <c r="G1417" s="3">
        <f t="shared" si="111"/>
        <v>15885</v>
      </c>
      <c r="H1417" s="3">
        <f t="shared" si="110"/>
        <v>9540</v>
      </c>
      <c r="I1417" s="14">
        <f t="shared" si="112"/>
        <v>6354</v>
      </c>
      <c r="J1417" s="14">
        <f t="shared" si="113"/>
        <v>-6345</v>
      </c>
      <c r="K1417" s="1">
        <v>0.4</v>
      </c>
      <c r="L1417">
        <v>4.2</v>
      </c>
      <c r="M1417" s="2">
        <v>6919</v>
      </c>
      <c r="N1417" t="s">
        <v>3580</v>
      </c>
      <c r="O1417">
        <f t="shared" si="114"/>
        <v>3</v>
      </c>
      <c r="P1417" s="12" t="e">
        <f>HYPERLINK(#REF!,"Link")</f>
        <v>#REF!</v>
      </c>
      <c r="Q1417" s="12" t="e">
        <f>HYPERLINK(#REF!,"Link")</f>
        <v>#REF!</v>
      </c>
    </row>
    <row r="1418" spans="1:17" x14ac:dyDescent="0.3">
      <c r="A1418" t="s">
        <v>3581</v>
      </c>
      <c r="B1418" t="s">
        <v>3582</v>
      </c>
      <c r="C1418" s="9" t="s">
        <v>3750</v>
      </c>
      <c r="D1418" s="9" t="s">
        <v>3754</v>
      </c>
      <c r="E1418" s="14">
        <v>24999</v>
      </c>
      <c r="F1418" s="3">
        <v>4999</v>
      </c>
      <c r="G1418" s="3">
        <f t="shared" si="111"/>
        <v>49998</v>
      </c>
      <c r="H1418" s="3">
        <f t="shared" si="110"/>
        <v>9998</v>
      </c>
      <c r="I1418" s="14">
        <f t="shared" si="112"/>
        <v>39998.400000000001</v>
      </c>
      <c r="J1418" s="14">
        <f t="shared" si="113"/>
        <v>-40000</v>
      </c>
      <c r="K1418" s="1">
        <v>0.8</v>
      </c>
      <c r="L1418">
        <v>4.5</v>
      </c>
      <c r="M1418">
        <v>287</v>
      </c>
      <c r="N1418" t="s">
        <v>3583</v>
      </c>
      <c r="O1418">
        <f t="shared" si="114"/>
        <v>2</v>
      </c>
      <c r="P1418" s="12" t="e">
        <f>HYPERLINK(#REF!,"Link")</f>
        <v>#REF!</v>
      </c>
      <c r="Q1418" s="12" t="e">
        <f>HYPERLINK(#REF!,"Link")</f>
        <v>#REF!</v>
      </c>
    </row>
    <row r="1419" spans="1:17" x14ac:dyDescent="0.3">
      <c r="A1419" t="s">
        <v>3584</v>
      </c>
      <c r="B1419" t="s">
        <v>3585</v>
      </c>
      <c r="C1419" s="10" t="s">
        <v>3755</v>
      </c>
      <c r="D1419" s="10" t="s">
        <v>3756</v>
      </c>
      <c r="E1419" s="14">
        <v>799</v>
      </c>
      <c r="F1419" s="3">
        <v>390</v>
      </c>
      <c r="G1419" s="3">
        <f t="shared" si="111"/>
        <v>1598</v>
      </c>
      <c r="H1419" s="3">
        <f t="shared" si="110"/>
        <v>780</v>
      </c>
      <c r="I1419" s="14">
        <f t="shared" si="112"/>
        <v>814.98</v>
      </c>
      <c r="J1419" s="14">
        <f t="shared" si="113"/>
        <v>-818</v>
      </c>
      <c r="K1419" s="1">
        <v>0.51</v>
      </c>
      <c r="L1419">
        <v>3.8</v>
      </c>
      <c r="M1419">
        <v>287</v>
      </c>
      <c r="N1419" t="s">
        <v>3586</v>
      </c>
      <c r="O1419">
        <f t="shared" si="114"/>
        <v>2</v>
      </c>
      <c r="P1419" s="12" t="e">
        <f>HYPERLINK(#REF!,"Link")</f>
        <v>#REF!</v>
      </c>
      <c r="Q1419" s="12" t="e">
        <f>HYPERLINK(#REF!,"Link")</f>
        <v>#REF!</v>
      </c>
    </row>
    <row r="1420" spans="1:17" x14ac:dyDescent="0.3">
      <c r="A1420" t="s">
        <v>3587</v>
      </c>
      <c r="B1420" t="s">
        <v>3588</v>
      </c>
      <c r="C1420" s="9" t="s">
        <v>3748</v>
      </c>
      <c r="D1420" s="9" t="s">
        <v>3749</v>
      </c>
      <c r="E1420" s="14">
        <v>2999</v>
      </c>
      <c r="F1420" s="3">
        <v>1999</v>
      </c>
      <c r="G1420" s="3">
        <f t="shared" si="111"/>
        <v>11996</v>
      </c>
      <c r="H1420" s="3">
        <f t="shared" si="110"/>
        <v>7996</v>
      </c>
      <c r="I1420" s="14">
        <f t="shared" si="112"/>
        <v>3958.6800000000003</v>
      </c>
      <c r="J1420" s="14">
        <f t="shared" si="113"/>
        <v>-4000</v>
      </c>
      <c r="K1420" s="1">
        <v>0.33</v>
      </c>
      <c r="L1420">
        <v>4.4000000000000004</v>
      </c>
      <c r="M1420">
        <v>388</v>
      </c>
      <c r="N1420" t="s">
        <v>3589</v>
      </c>
      <c r="O1420">
        <f t="shared" si="114"/>
        <v>4</v>
      </c>
      <c r="P1420" s="12" t="e">
        <f>HYPERLINK(#REF!,"Link")</f>
        <v>#REF!</v>
      </c>
      <c r="Q1420" s="12" t="e">
        <f>HYPERLINK(#REF!,"Link")</f>
        <v>#REF!</v>
      </c>
    </row>
    <row r="1421" spans="1:17" x14ac:dyDescent="0.3">
      <c r="A1421" t="s">
        <v>3590</v>
      </c>
      <c r="B1421" t="s">
        <v>3591</v>
      </c>
      <c r="C1421" s="10" t="s">
        <v>3748</v>
      </c>
      <c r="D1421" s="10" t="s">
        <v>3757</v>
      </c>
      <c r="E1421" s="14">
        <v>2495</v>
      </c>
      <c r="F1421" s="3">
        <v>1624</v>
      </c>
      <c r="G1421" s="3">
        <f t="shared" si="111"/>
        <v>12475</v>
      </c>
      <c r="H1421" s="3">
        <f t="shared" si="110"/>
        <v>8120</v>
      </c>
      <c r="I1421" s="14">
        <f t="shared" si="112"/>
        <v>4366.25</v>
      </c>
      <c r="J1421" s="14">
        <f t="shared" si="113"/>
        <v>-4355</v>
      </c>
      <c r="K1421" s="1">
        <v>0.35</v>
      </c>
      <c r="L1421">
        <v>4.0999999999999996</v>
      </c>
      <c r="M1421">
        <v>827</v>
      </c>
      <c r="N1421" t="s">
        <v>3592</v>
      </c>
      <c r="O1421">
        <f t="shared" si="114"/>
        <v>5</v>
      </c>
      <c r="P1421" s="12" t="e">
        <f>HYPERLINK(#REF!,"Link")</f>
        <v>#REF!</v>
      </c>
      <c r="Q1421" s="12" t="e">
        <f>HYPERLINK(#REF!,"Link")</f>
        <v>#REF!</v>
      </c>
    </row>
    <row r="1422" spans="1:17" x14ac:dyDescent="0.3">
      <c r="A1422" t="s">
        <v>3593</v>
      </c>
      <c r="B1422" t="s">
        <v>3594</v>
      </c>
      <c r="C1422" s="9" t="s">
        <v>3748</v>
      </c>
      <c r="D1422" s="9" t="s">
        <v>3749</v>
      </c>
      <c r="E1422" s="14">
        <v>450</v>
      </c>
      <c r="F1422" s="3">
        <v>184</v>
      </c>
      <c r="G1422" s="3">
        <f t="shared" si="111"/>
        <v>3600</v>
      </c>
      <c r="H1422" s="3">
        <f t="shared" si="110"/>
        <v>1472</v>
      </c>
      <c r="I1422" s="14">
        <f t="shared" si="112"/>
        <v>2124</v>
      </c>
      <c r="J1422" s="14">
        <f t="shared" si="113"/>
        <v>-2128</v>
      </c>
      <c r="K1422" s="1">
        <v>0.59</v>
      </c>
      <c r="L1422">
        <v>4.2</v>
      </c>
      <c r="M1422" s="2">
        <v>4971</v>
      </c>
      <c r="N1422" t="s">
        <v>3595</v>
      </c>
      <c r="O1422">
        <f t="shared" si="114"/>
        <v>8</v>
      </c>
      <c r="P1422" s="12" t="e">
        <f>HYPERLINK(#REF!,"Link")</f>
        <v>#REF!</v>
      </c>
      <c r="Q1422" s="12" t="e">
        <f>HYPERLINK(#REF!,"Link")</f>
        <v>#REF!</v>
      </c>
    </row>
    <row r="1423" spans="1:17" x14ac:dyDescent="0.3">
      <c r="A1423" t="s">
        <v>3596</v>
      </c>
      <c r="B1423" t="s">
        <v>3597</v>
      </c>
      <c r="C1423" s="10" t="s">
        <v>3748</v>
      </c>
      <c r="D1423" s="10" t="s">
        <v>3758</v>
      </c>
      <c r="E1423" s="14">
        <v>999</v>
      </c>
      <c r="F1423" s="3">
        <v>445</v>
      </c>
      <c r="G1423" s="3">
        <f t="shared" si="111"/>
        <v>4995</v>
      </c>
      <c r="H1423" s="3">
        <f t="shared" si="110"/>
        <v>2225</v>
      </c>
      <c r="I1423" s="14">
        <f t="shared" si="112"/>
        <v>2747.25</v>
      </c>
      <c r="J1423" s="14">
        <f t="shared" si="113"/>
        <v>-2770</v>
      </c>
      <c r="K1423" s="1">
        <v>0.55000000000000004</v>
      </c>
      <c r="L1423">
        <v>4.3</v>
      </c>
      <c r="M1423">
        <v>229</v>
      </c>
      <c r="N1423" t="s">
        <v>3598</v>
      </c>
      <c r="O1423">
        <f t="shared" si="114"/>
        <v>5</v>
      </c>
      <c r="P1423" s="12" t="e">
        <f>HYPERLINK(#REF!,"Link")</f>
        <v>#REF!</v>
      </c>
      <c r="Q1423" s="12" t="e">
        <f>HYPERLINK(#REF!,"Link")</f>
        <v>#REF!</v>
      </c>
    </row>
    <row r="1424" spans="1:17" x14ac:dyDescent="0.3">
      <c r="A1424" t="s">
        <v>3599</v>
      </c>
      <c r="B1424" t="s">
        <v>3600</v>
      </c>
      <c r="C1424" s="9" t="s">
        <v>3748</v>
      </c>
      <c r="D1424" s="9" t="s">
        <v>3759</v>
      </c>
      <c r="E1424" s="14">
        <v>1690</v>
      </c>
      <c r="F1424" s="3">
        <v>699</v>
      </c>
      <c r="G1424" s="3">
        <f t="shared" si="111"/>
        <v>5070</v>
      </c>
      <c r="H1424" s="3">
        <f t="shared" si="110"/>
        <v>2097</v>
      </c>
      <c r="I1424" s="14">
        <f t="shared" si="112"/>
        <v>2991.2999999999997</v>
      </c>
      <c r="J1424" s="14">
        <f t="shared" si="113"/>
        <v>-2973</v>
      </c>
      <c r="K1424" s="1">
        <v>0.59</v>
      </c>
      <c r="L1424">
        <v>4.0999999999999996</v>
      </c>
      <c r="M1424" s="2">
        <v>3524</v>
      </c>
      <c r="N1424" t="s">
        <v>3601</v>
      </c>
      <c r="O1424">
        <f t="shared" si="114"/>
        <v>3</v>
      </c>
      <c r="P1424" s="12" t="e">
        <f>HYPERLINK(#REF!,"Link")</f>
        <v>#REF!</v>
      </c>
      <c r="Q1424" s="12" t="e">
        <f>HYPERLINK(#REF!,"Link")</f>
        <v>#REF!</v>
      </c>
    </row>
    <row r="1425" spans="1:17" x14ac:dyDescent="0.3">
      <c r="A1425" t="s">
        <v>3602</v>
      </c>
      <c r="B1425" t="s">
        <v>3603</v>
      </c>
      <c r="C1425" s="10" t="s">
        <v>3748</v>
      </c>
      <c r="D1425" s="10" t="s">
        <v>3759</v>
      </c>
      <c r="E1425" s="14">
        <v>3890</v>
      </c>
      <c r="F1425" s="3">
        <v>1601</v>
      </c>
      <c r="G1425" s="3">
        <f t="shared" si="111"/>
        <v>11670</v>
      </c>
      <c r="H1425" s="3">
        <f t="shared" si="110"/>
        <v>4803</v>
      </c>
      <c r="I1425" s="14">
        <f t="shared" si="112"/>
        <v>6885.2999999999993</v>
      </c>
      <c r="J1425" s="14">
        <f t="shared" si="113"/>
        <v>-6867</v>
      </c>
      <c r="K1425" s="1">
        <v>0.59</v>
      </c>
      <c r="L1425">
        <v>4.2</v>
      </c>
      <c r="M1425">
        <v>156</v>
      </c>
      <c r="N1425" t="s">
        <v>3604</v>
      </c>
      <c r="O1425">
        <f t="shared" si="114"/>
        <v>3</v>
      </c>
      <c r="P1425" s="12" t="e">
        <f>HYPERLINK(#REF!,"Link")</f>
        <v>#REF!</v>
      </c>
      <c r="Q1425" s="12" t="e">
        <f>HYPERLINK(#REF!,"Link")</f>
        <v>#REF!</v>
      </c>
    </row>
    <row r="1426" spans="1:17" x14ac:dyDescent="0.3">
      <c r="A1426" t="s">
        <v>3605</v>
      </c>
      <c r="B1426" t="s">
        <v>3606</v>
      </c>
      <c r="C1426" s="9" t="s">
        <v>3748</v>
      </c>
      <c r="D1426" s="9" t="s">
        <v>3760</v>
      </c>
      <c r="E1426" s="14">
        <v>260</v>
      </c>
      <c r="F1426" s="3">
        <v>231</v>
      </c>
      <c r="G1426" s="3">
        <f t="shared" si="111"/>
        <v>520</v>
      </c>
      <c r="H1426" s="3">
        <f t="shared" si="110"/>
        <v>462</v>
      </c>
      <c r="I1426" s="14">
        <f t="shared" si="112"/>
        <v>57.2</v>
      </c>
      <c r="J1426" s="14">
        <f t="shared" si="113"/>
        <v>-58</v>
      </c>
      <c r="K1426" s="1">
        <v>0.11</v>
      </c>
      <c r="L1426">
        <v>4.0999999999999996</v>
      </c>
      <c r="M1426">
        <v>490</v>
      </c>
      <c r="N1426" t="s">
        <v>3607</v>
      </c>
      <c r="O1426">
        <f t="shared" si="114"/>
        <v>2</v>
      </c>
      <c r="P1426" s="12" t="e">
        <f>HYPERLINK(#REF!,"Link")</f>
        <v>#REF!</v>
      </c>
      <c r="Q1426" s="12" t="e">
        <f>HYPERLINK(#REF!,"Link")</f>
        <v>#REF!</v>
      </c>
    </row>
    <row r="1427" spans="1:17" x14ac:dyDescent="0.3">
      <c r="A1427" t="s">
        <v>3608</v>
      </c>
      <c r="B1427" t="s">
        <v>3609</v>
      </c>
      <c r="C1427" s="10" t="s">
        <v>3725</v>
      </c>
      <c r="D1427" s="10" t="s">
        <v>3761</v>
      </c>
      <c r="E1427" s="14">
        <v>599</v>
      </c>
      <c r="F1427" s="3">
        <v>369</v>
      </c>
      <c r="G1427" s="3">
        <f t="shared" si="111"/>
        <v>1198</v>
      </c>
      <c r="H1427" s="3">
        <f t="shared" si="110"/>
        <v>738</v>
      </c>
      <c r="I1427" s="14">
        <f t="shared" si="112"/>
        <v>455.24</v>
      </c>
      <c r="J1427" s="14">
        <f t="shared" si="113"/>
        <v>-460</v>
      </c>
      <c r="K1427" s="1">
        <v>0.38</v>
      </c>
      <c r="L1427">
        <v>3.9</v>
      </c>
      <c r="M1427">
        <v>82</v>
      </c>
      <c r="N1427" t="s">
        <v>3610</v>
      </c>
      <c r="O1427">
        <f t="shared" si="114"/>
        <v>2</v>
      </c>
      <c r="P1427" s="12" t="e">
        <f>HYPERLINK(#REF!,"Link")</f>
        <v>#REF!</v>
      </c>
      <c r="Q1427" s="12" t="e">
        <f>HYPERLINK(#REF!,"Link")</f>
        <v>#REF!</v>
      </c>
    </row>
    <row r="1428" spans="1:17" x14ac:dyDescent="0.3">
      <c r="A1428" t="s">
        <v>3611</v>
      </c>
      <c r="B1428" t="s">
        <v>3612</v>
      </c>
      <c r="C1428" s="9" t="s">
        <v>3748</v>
      </c>
      <c r="D1428" s="9" t="s">
        <v>3762</v>
      </c>
      <c r="E1428" s="14">
        <v>1950</v>
      </c>
      <c r="F1428" s="3">
        <v>809</v>
      </c>
      <c r="G1428" s="3">
        <f t="shared" si="111"/>
        <v>5850</v>
      </c>
      <c r="H1428" s="3">
        <f t="shared" si="110"/>
        <v>2427</v>
      </c>
      <c r="I1428" s="14">
        <f t="shared" si="112"/>
        <v>3451.5</v>
      </c>
      <c r="J1428" s="14">
        <f t="shared" si="113"/>
        <v>-3423</v>
      </c>
      <c r="K1428" s="1">
        <v>0.59</v>
      </c>
      <c r="L1428">
        <v>3.9</v>
      </c>
      <c r="M1428">
        <v>710</v>
      </c>
      <c r="N1428" t="s">
        <v>3613</v>
      </c>
      <c r="O1428">
        <f t="shared" si="114"/>
        <v>3</v>
      </c>
      <c r="P1428" s="12" t="e">
        <f>HYPERLINK(#REF!,"Link")</f>
        <v>#REF!</v>
      </c>
      <c r="Q1428" s="12" t="e">
        <f>HYPERLINK(#REF!,"Link")</f>
        <v>#REF!</v>
      </c>
    </row>
    <row r="1429" spans="1:17" x14ac:dyDescent="0.3">
      <c r="A1429" t="s">
        <v>3614</v>
      </c>
      <c r="B1429" t="s">
        <v>3615</v>
      </c>
      <c r="C1429" s="10" t="s">
        <v>3748</v>
      </c>
      <c r="D1429" s="10" t="s">
        <v>3763</v>
      </c>
      <c r="E1429" s="14">
        <v>2990</v>
      </c>
      <c r="F1429" s="3">
        <v>1199</v>
      </c>
      <c r="G1429" s="3">
        <f t="shared" si="111"/>
        <v>5980</v>
      </c>
      <c r="H1429" s="3">
        <f t="shared" si="110"/>
        <v>2398</v>
      </c>
      <c r="I1429" s="14">
        <f t="shared" si="112"/>
        <v>3588</v>
      </c>
      <c r="J1429" s="14">
        <f t="shared" si="113"/>
        <v>-3582</v>
      </c>
      <c r="K1429" s="1">
        <v>0.6</v>
      </c>
      <c r="L1429">
        <v>3.8</v>
      </c>
      <c r="M1429">
        <v>133</v>
      </c>
      <c r="N1429" t="s">
        <v>3616</v>
      </c>
      <c r="O1429">
        <f t="shared" si="114"/>
        <v>2</v>
      </c>
      <c r="P1429" s="12" t="e">
        <f>HYPERLINK(#REF!,"Link")</f>
        <v>#REF!</v>
      </c>
      <c r="Q1429" s="12" t="e">
        <f>HYPERLINK(#REF!,"Link")</f>
        <v>#REF!</v>
      </c>
    </row>
    <row r="1430" spans="1:17" x14ac:dyDescent="0.3">
      <c r="A1430" t="s">
        <v>3617</v>
      </c>
      <c r="B1430" t="s">
        <v>3618</v>
      </c>
      <c r="C1430" s="9" t="s">
        <v>3748</v>
      </c>
      <c r="D1430" s="9" t="s">
        <v>3765</v>
      </c>
      <c r="E1430" s="14">
        <v>8073</v>
      </c>
      <c r="F1430" s="3">
        <v>6120</v>
      </c>
      <c r="G1430" s="3">
        <f t="shared" si="111"/>
        <v>32292</v>
      </c>
      <c r="H1430" s="3">
        <f t="shared" si="110"/>
        <v>24480</v>
      </c>
      <c r="I1430" s="14">
        <f t="shared" si="112"/>
        <v>7750.08</v>
      </c>
      <c r="J1430" s="14">
        <f t="shared" si="113"/>
        <v>-7812</v>
      </c>
      <c r="K1430" s="1">
        <v>0.24</v>
      </c>
      <c r="L1430">
        <v>4.5999999999999996</v>
      </c>
      <c r="M1430" s="2">
        <v>2751</v>
      </c>
      <c r="N1430" t="s">
        <v>3619</v>
      </c>
      <c r="O1430">
        <f t="shared" si="114"/>
        <v>4</v>
      </c>
      <c r="P1430" s="12" t="e">
        <f>HYPERLINK(#REF!,"Link")</f>
        <v>#REF!</v>
      </c>
      <c r="Q1430" s="12" t="e">
        <f>HYPERLINK(#REF!,"Link")</f>
        <v>#REF!</v>
      </c>
    </row>
    <row r="1431" spans="1:17" x14ac:dyDescent="0.3">
      <c r="A1431" t="s">
        <v>3620</v>
      </c>
      <c r="B1431" t="s">
        <v>3621</v>
      </c>
      <c r="C1431" s="10" t="s">
        <v>3748</v>
      </c>
      <c r="D1431" s="10" t="s">
        <v>3736</v>
      </c>
      <c r="E1431" s="14">
        <v>2599</v>
      </c>
      <c r="F1431" s="3">
        <v>1799</v>
      </c>
      <c r="G1431" s="3">
        <f t="shared" si="111"/>
        <v>10396</v>
      </c>
      <c r="H1431" s="3">
        <f t="shared" si="110"/>
        <v>7196</v>
      </c>
      <c r="I1431" s="14">
        <f t="shared" si="112"/>
        <v>3222.7599999999998</v>
      </c>
      <c r="J1431" s="14">
        <f t="shared" si="113"/>
        <v>-3200</v>
      </c>
      <c r="K1431" s="1">
        <v>0.31</v>
      </c>
      <c r="L1431">
        <v>3.6</v>
      </c>
      <c r="M1431">
        <v>771</v>
      </c>
      <c r="N1431" t="s">
        <v>3622</v>
      </c>
      <c r="O1431">
        <f t="shared" si="114"/>
        <v>4</v>
      </c>
      <c r="P1431" s="12" t="e">
        <f>HYPERLINK(#REF!,"Link")</f>
        <v>#REF!</v>
      </c>
      <c r="Q1431" s="12" t="e">
        <f>HYPERLINK(#REF!,"Link")</f>
        <v>#REF!</v>
      </c>
    </row>
    <row r="1432" spans="1:17" x14ac:dyDescent="0.3">
      <c r="A1432" t="s">
        <v>3623</v>
      </c>
      <c r="B1432" t="s">
        <v>3624</v>
      </c>
      <c r="C1432" s="9" t="s">
        <v>3748</v>
      </c>
      <c r="D1432" s="9" t="s">
        <v>3766</v>
      </c>
      <c r="E1432" s="14">
        <v>29999</v>
      </c>
      <c r="F1432" s="3">
        <v>18999</v>
      </c>
      <c r="G1432" s="3">
        <f t="shared" si="111"/>
        <v>59998</v>
      </c>
      <c r="H1432" s="3">
        <f t="shared" si="110"/>
        <v>37998</v>
      </c>
      <c r="I1432" s="14">
        <f t="shared" si="112"/>
        <v>22199.26</v>
      </c>
      <c r="J1432" s="14">
        <f t="shared" si="113"/>
        <v>-22000</v>
      </c>
      <c r="K1432" s="1">
        <v>0.37</v>
      </c>
      <c r="L1432">
        <v>4.0999999999999996</v>
      </c>
      <c r="M1432" s="2">
        <v>2536</v>
      </c>
      <c r="N1432" t="s">
        <v>3625</v>
      </c>
      <c r="O1432">
        <f t="shared" si="114"/>
        <v>2</v>
      </c>
      <c r="P1432" s="12" t="e">
        <f>HYPERLINK(#REF!,"Link")</f>
        <v>#REF!</v>
      </c>
      <c r="Q1432" s="12" t="e">
        <f>HYPERLINK(#REF!,"Link")</f>
        <v>#REF!</v>
      </c>
    </row>
    <row r="1433" spans="1:17" x14ac:dyDescent="0.3">
      <c r="A1433" t="s">
        <v>3626</v>
      </c>
      <c r="B1433" t="s">
        <v>3627</v>
      </c>
      <c r="C1433" s="10" t="s">
        <v>3748</v>
      </c>
      <c r="D1433" s="10" t="s">
        <v>3736</v>
      </c>
      <c r="E1433" s="14">
        <v>2360</v>
      </c>
      <c r="F1433" s="3">
        <v>1999</v>
      </c>
      <c r="G1433" s="3">
        <f t="shared" si="111"/>
        <v>2360</v>
      </c>
      <c r="H1433" s="3">
        <f t="shared" si="110"/>
        <v>1999</v>
      </c>
      <c r="I1433" s="14">
        <f t="shared" si="112"/>
        <v>354</v>
      </c>
      <c r="J1433" s="14">
        <f t="shared" si="113"/>
        <v>-361</v>
      </c>
      <c r="K1433" s="1">
        <v>0.15</v>
      </c>
      <c r="L1433">
        <v>4.2</v>
      </c>
      <c r="M1433" s="2">
        <v>7801</v>
      </c>
      <c r="N1433" t="s">
        <v>3628</v>
      </c>
      <c r="O1433">
        <f t="shared" si="114"/>
        <v>1</v>
      </c>
      <c r="P1433" s="12" t="e">
        <f>HYPERLINK(#REF!,"Link")</f>
        <v>#REF!</v>
      </c>
      <c r="Q1433" s="12" t="e">
        <f>HYPERLINK(#REF!,"Link")</f>
        <v>#REF!</v>
      </c>
    </row>
    <row r="1434" spans="1:17" x14ac:dyDescent="0.3">
      <c r="A1434" t="s">
        <v>3629</v>
      </c>
      <c r="B1434" t="s">
        <v>3630</v>
      </c>
      <c r="C1434" s="9" t="s">
        <v>3755</v>
      </c>
      <c r="D1434" s="9" t="s">
        <v>3767</v>
      </c>
      <c r="E1434" s="14">
        <v>11495</v>
      </c>
      <c r="F1434" s="3">
        <v>5999</v>
      </c>
      <c r="G1434" s="3">
        <f t="shared" si="111"/>
        <v>22990</v>
      </c>
      <c r="H1434" s="3">
        <f t="shared" si="110"/>
        <v>11998</v>
      </c>
      <c r="I1434" s="14">
        <f t="shared" si="112"/>
        <v>11035.199999999999</v>
      </c>
      <c r="J1434" s="14">
        <f t="shared" si="113"/>
        <v>-10992</v>
      </c>
      <c r="K1434" s="1">
        <v>0.48</v>
      </c>
      <c r="L1434">
        <v>4.3</v>
      </c>
      <c r="M1434">
        <v>534</v>
      </c>
      <c r="N1434" t="s">
        <v>3631</v>
      </c>
      <c r="O1434">
        <f t="shared" si="114"/>
        <v>2</v>
      </c>
      <c r="P1434" s="12" t="e">
        <f>HYPERLINK(#REF!,"Link")</f>
        <v>#REF!</v>
      </c>
      <c r="Q1434" s="12" t="e">
        <f>HYPERLINK(#REF!,"Link")</f>
        <v>#REF!</v>
      </c>
    </row>
    <row r="1435" spans="1:17" x14ac:dyDescent="0.3">
      <c r="A1435" t="s">
        <v>3632</v>
      </c>
      <c r="B1435" t="s">
        <v>3633</v>
      </c>
      <c r="C1435" s="10" t="s">
        <v>3768</v>
      </c>
      <c r="D1435" s="10" t="s">
        <v>3769</v>
      </c>
      <c r="E1435" s="14">
        <v>4780</v>
      </c>
      <c r="F1435" s="3">
        <v>2599</v>
      </c>
      <c r="G1435" s="3">
        <f t="shared" si="111"/>
        <v>9560</v>
      </c>
      <c r="H1435" s="3">
        <f t="shared" si="110"/>
        <v>5198</v>
      </c>
      <c r="I1435" s="14">
        <f t="shared" si="112"/>
        <v>4397.6000000000004</v>
      </c>
      <c r="J1435" s="14">
        <f t="shared" si="113"/>
        <v>-4362</v>
      </c>
      <c r="K1435" s="1">
        <v>0.46</v>
      </c>
      <c r="L1435">
        <v>3.9</v>
      </c>
      <c r="M1435">
        <v>898</v>
      </c>
      <c r="N1435" t="s">
        <v>3634</v>
      </c>
      <c r="O1435">
        <f t="shared" si="114"/>
        <v>2</v>
      </c>
      <c r="P1435" s="12" t="e">
        <f>HYPERLINK(#REF!,"Link")</f>
        <v>#REF!</v>
      </c>
      <c r="Q1435" s="12" t="e">
        <f>HYPERLINK(#REF!,"Link")</f>
        <v>#REF!</v>
      </c>
    </row>
    <row r="1436" spans="1:17" x14ac:dyDescent="0.3">
      <c r="A1436" t="s">
        <v>3635</v>
      </c>
      <c r="B1436" t="s">
        <v>3636</v>
      </c>
      <c r="C1436" s="9" t="s">
        <v>3738</v>
      </c>
      <c r="D1436" s="9"/>
      <c r="E1436" s="14">
        <v>2400</v>
      </c>
      <c r="F1436" s="3">
        <v>1199</v>
      </c>
      <c r="G1436" s="3">
        <f t="shared" si="111"/>
        <v>4800</v>
      </c>
      <c r="H1436" s="3">
        <f t="shared" si="110"/>
        <v>2398</v>
      </c>
      <c r="I1436" s="14">
        <f t="shared" si="112"/>
        <v>2400</v>
      </c>
      <c r="J1436" s="14">
        <f t="shared" si="113"/>
        <v>-2402</v>
      </c>
      <c r="K1436" s="1">
        <v>0.5</v>
      </c>
      <c r="L1436">
        <v>3.9</v>
      </c>
      <c r="M1436" s="2">
        <v>1202</v>
      </c>
      <c r="N1436" t="s">
        <v>3637</v>
      </c>
      <c r="O1436">
        <f t="shared" si="114"/>
        <v>2</v>
      </c>
      <c r="P1436" s="12" t="e">
        <f>HYPERLINK(#REF!,"Link")</f>
        <v>#REF!</v>
      </c>
      <c r="Q1436" s="12" t="e">
        <f>HYPERLINK(#REF!,"Link")</f>
        <v>#REF!</v>
      </c>
    </row>
    <row r="1437" spans="1:17" x14ac:dyDescent="0.3">
      <c r="A1437" t="s">
        <v>3638</v>
      </c>
      <c r="B1437" t="s">
        <v>2691</v>
      </c>
      <c r="C1437" s="10" t="s">
        <v>3748</v>
      </c>
      <c r="D1437" s="10" t="s">
        <v>3762</v>
      </c>
      <c r="E1437" s="14">
        <v>249</v>
      </c>
      <c r="F1437" s="3">
        <v>219</v>
      </c>
      <c r="G1437" s="3">
        <f t="shared" si="111"/>
        <v>747</v>
      </c>
      <c r="H1437" s="3">
        <f t="shared" si="110"/>
        <v>657</v>
      </c>
      <c r="I1437" s="14">
        <f t="shared" si="112"/>
        <v>89.64</v>
      </c>
      <c r="J1437" s="14">
        <f t="shared" si="113"/>
        <v>-90</v>
      </c>
      <c r="K1437" s="1">
        <v>0.12</v>
      </c>
      <c r="L1437">
        <v>4</v>
      </c>
      <c r="M1437" s="2">
        <v>1108</v>
      </c>
      <c r="N1437" t="s">
        <v>3639</v>
      </c>
      <c r="O1437">
        <f t="shared" si="114"/>
        <v>3</v>
      </c>
      <c r="P1437" s="12" t="e">
        <f>HYPERLINK(#REF!,"Link")</f>
        <v>#REF!</v>
      </c>
      <c r="Q1437" s="12" t="e">
        <f>HYPERLINK(#REF!,"Link")</f>
        <v>#REF!</v>
      </c>
    </row>
    <row r="1438" spans="1:17" x14ac:dyDescent="0.3">
      <c r="A1438" t="s">
        <v>3640</v>
      </c>
      <c r="B1438" t="s">
        <v>3641</v>
      </c>
      <c r="C1438" s="9" t="s">
        <v>3748</v>
      </c>
      <c r="D1438" s="9" t="s">
        <v>3736</v>
      </c>
      <c r="E1438" s="14">
        <v>1199</v>
      </c>
      <c r="F1438" s="3">
        <v>799</v>
      </c>
      <c r="G1438" s="3">
        <f t="shared" si="111"/>
        <v>2398</v>
      </c>
      <c r="H1438" s="3">
        <f t="shared" si="110"/>
        <v>1598</v>
      </c>
      <c r="I1438" s="14">
        <f t="shared" si="112"/>
        <v>791.34</v>
      </c>
      <c r="J1438" s="14">
        <f t="shared" si="113"/>
        <v>-800</v>
      </c>
      <c r="K1438" s="1">
        <v>0.33</v>
      </c>
      <c r="L1438">
        <v>4.4000000000000004</v>
      </c>
      <c r="M1438">
        <v>17</v>
      </c>
      <c r="N1438" t="s">
        <v>3642</v>
      </c>
      <c r="O1438">
        <f t="shared" si="114"/>
        <v>2</v>
      </c>
      <c r="P1438" s="12" t="e">
        <f>HYPERLINK(#REF!,"Link")</f>
        <v>#REF!</v>
      </c>
      <c r="Q1438" s="12" t="e">
        <f>HYPERLINK(#REF!,"Link")</f>
        <v>#REF!</v>
      </c>
    </row>
    <row r="1439" spans="1:17" x14ac:dyDescent="0.3">
      <c r="A1439" t="s">
        <v>3643</v>
      </c>
      <c r="B1439" t="s">
        <v>3644</v>
      </c>
      <c r="C1439" s="10" t="s">
        <v>3770</v>
      </c>
      <c r="D1439" s="10"/>
      <c r="E1439" s="14">
        <v>10999</v>
      </c>
      <c r="F1439" s="3">
        <v>6199</v>
      </c>
      <c r="G1439" s="3">
        <f t="shared" si="111"/>
        <v>32997</v>
      </c>
      <c r="H1439" s="3">
        <f t="shared" si="110"/>
        <v>18597</v>
      </c>
      <c r="I1439" s="14">
        <f t="shared" si="112"/>
        <v>14518.68</v>
      </c>
      <c r="J1439" s="14">
        <f t="shared" si="113"/>
        <v>-14400</v>
      </c>
      <c r="K1439" s="1">
        <v>0.44</v>
      </c>
      <c r="L1439">
        <v>4.2</v>
      </c>
      <c r="M1439" s="2">
        <v>10429</v>
      </c>
      <c r="N1439" t="s">
        <v>3645</v>
      </c>
      <c r="O1439">
        <f t="shared" si="114"/>
        <v>3</v>
      </c>
      <c r="P1439" s="12" t="e">
        <f>HYPERLINK(#REF!,"Link")</f>
        <v>#REF!</v>
      </c>
      <c r="Q1439" s="12" t="e">
        <f>HYPERLINK(#REF!,"Link")</f>
        <v>#REF!</v>
      </c>
    </row>
    <row r="1440" spans="1:17" x14ac:dyDescent="0.3">
      <c r="A1440" t="s">
        <v>3646</v>
      </c>
      <c r="B1440" t="s">
        <v>3647</v>
      </c>
      <c r="C1440" s="9" t="s">
        <v>3771</v>
      </c>
      <c r="D1440" s="9" t="s">
        <v>3772</v>
      </c>
      <c r="E1440" s="14">
        <v>10995</v>
      </c>
      <c r="F1440" s="3">
        <v>6790</v>
      </c>
      <c r="G1440" s="3">
        <f t="shared" si="111"/>
        <v>32985</v>
      </c>
      <c r="H1440" s="3">
        <f t="shared" si="110"/>
        <v>20370</v>
      </c>
      <c r="I1440" s="14">
        <f t="shared" si="112"/>
        <v>12534.300000000001</v>
      </c>
      <c r="J1440" s="14">
        <f t="shared" si="113"/>
        <v>-12615</v>
      </c>
      <c r="K1440" s="1">
        <v>0.38</v>
      </c>
      <c r="L1440">
        <v>4.5</v>
      </c>
      <c r="M1440" s="2">
        <v>3192</v>
      </c>
      <c r="N1440" t="s">
        <v>3648</v>
      </c>
      <c r="O1440">
        <f t="shared" si="114"/>
        <v>3</v>
      </c>
      <c r="P1440" s="12" t="e">
        <f>HYPERLINK(#REF!,"Link")</f>
        <v>#REF!</v>
      </c>
      <c r="Q1440" s="12" t="e">
        <f>HYPERLINK(#REF!,"Link")</f>
        <v>#REF!</v>
      </c>
    </row>
    <row r="1441" spans="1:17" x14ac:dyDescent="0.3">
      <c r="A1441" t="s">
        <v>3649</v>
      </c>
      <c r="B1441" t="s">
        <v>3650</v>
      </c>
      <c r="C1441" s="10" t="s">
        <v>3771</v>
      </c>
      <c r="D1441" s="10" t="s">
        <v>3773</v>
      </c>
      <c r="E1441" s="14">
        <v>3300</v>
      </c>
      <c r="F1441" s="3">
        <v>1982.84</v>
      </c>
      <c r="G1441" s="3">
        <f t="shared" si="111"/>
        <v>13200</v>
      </c>
      <c r="H1441" s="3">
        <f t="shared" si="110"/>
        <v>7931.36</v>
      </c>
      <c r="I1441" s="14">
        <f t="shared" si="112"/>
        <v>5280</v>
      </c>
      <c r="J1441" s="14">
        <f t="shared" si="113"/>
        <v>-5268.64</v>
      </c>
      <c r="K1441" s="1">
        <v>0.4</v>
      </c>
      <c r="L1441">
        <v>4.0999999999999996</v>
      </c>
      <c r="M1441" s="2">
        <v>5873</v>
      </c>
      <c r="N1441" t="s">
        <v>3651</v>
      </c>
      <c r="O1441">
        <f t="shared" si="114"/>
        <v>4</v>
      </c>
      <c r="P1441" s="12" t="e">
        <f>HYPERLINK(#REF!,"Link")</f>
        <v>#REF!</v>
      </c>
      <c r="Q1441" s="12" t="e">
        <f>HYPERLINK(#REF!,"Link")</f>
        <v>#REF!</v>
      </c>
    </row>
    <row r="1442" spans="1:17" x14ac:dyDescent="0.3">
      <c r="A1442" t="s">
        <v>3652</v>
      </c>
      <c r="B1442" t="s">
        <v>3653</v>
      </c>
      <c r="C1442" s="9" t="s">
        <v>3768</v>
      </c>
      <c r="D1442" s="9" t="s">
        <v>3774</v>
      </c>
      <c r="E1442" s="14">
        <v>400</v>
      </c>
      <c r="F1442" s="3">
        <v>199</v>
      </c>
      <c r="G1442" s="3">
        <f t="shared" si="111"/>
        <v>800</v>
      </c>
      <c r="H1442" s="3">
        <f t="shared" si="110"/>
        <v>398</v>
      </c>
      <c r="I1442" s="14">
        <f t="shared" si="112"/>
        <v>400</v>
      </c>
      <c r="J1442" s="14">
        <f t="shared" si="113"/>
        <v>-402</v>
      </c>
      <c r="K1442" s="1">
        <v>0.5</v>
      </c>
      <c r="L1442">
        <v>4.0999999999999996</v>
      </c>
      <c r="M1442" s="2">
        <v>1379</v>
      </c>
      <c r="N1442" t="s">
        <v>3654</v>
      </c>
      <c r="O1442">
        <f t="shared" si="114"/>
        <v>2</v>
      </c>
      <c r="P1442" s="12" t="e">
        <f>HYPERLINK(#REF!,"Link")</f>
        <v>#REF!</v>
      </c>
      <c r="Q1442" s="12" t="e">
        <f>HYPERLINK(#REF!,"Link")</f>
        <v>#REF!</v>
      </c>
    </row>
    <row r="1443" spans="1:17" x14ac:dyDescent="0.3">
      <c r="A1443" t="s">
        <v>3655</v>
      </c>
      <c r="B1443" t="s">
        <v>3656</v>
      </c>
      <c r="C1443" s="10" t="s">
        <v>3768</v>
      </c>
      <c r="D1443" s="10" t="s">
        <v>3775</v>
      </c>
      <c r="E1443" s="14">
        <v>1440</v>
      </c>
      <c r="F1443" s="3">
        <v>1180</v>
      </c>
      <c r="G1443" s="3">
        <f t="shared" si="111"/>
        <v>1440</v>
      </c>
      <c r="H1443" s="3">
        <f t="shared" si="110"/>
        <v>1180</v>
      </c>
      <c r="I1443" s="14">
        <f t="shared" si="112"/>
        <v>259.2</v>
      </c>
      <c r="J1443" s="14">
        <f t="shared" si="113"/>
        <v>-260</v>
      </c>
      <c r="K1443" s="1">
        <v>0.18</v>
      </c>
      <c r="L1443">
        <v>4.2</v>
      </c>
      <c r="M1443" s="2">
        <v>1527</v>
      </c>
      <c r="N1443" t="s">
        <v>3657</v>
      </c>
      <c r="O1443">
        <f t="shared" si="114"/>
        <v>1</v>
      </c>
      <c r="P1443" s="12" t="e">
        <f>HYPERLINK(#REF!,"Link")</f>
        <v>#REF!</v>
      </c>
      <c r="Q1443" s="12" t="e">
        <f>HYPERLINK(#REF!,"Link")</f>
        <v>#REF!</v>
      </c>
    </row>
    <row r="1444" spans="1:17" x14ac:dyDescent="0.3">
      <c r="A1444" t="s">
        <v>3658</v>
      </c>
      <c r="B1444" t="s">
        <v>2867</v>
      </c>
      <c r="C1444" s="9" t="s">
        <v>3771</v>
      </c>
      <c r="D1444" s="9" t="s">
        <v>3776</v>
      </c>
      <c r="E1444" s="14">
        <v>3045</v>
      </c>
      <c r="F1444" s="3">
        <v>2199</v>
      </c>
      <c r="G1444" s="3">
        <f t="shared" si="111"/>
        <v>6090</v>
      </c>
      <c r="H1444" s="3">
        <f t="shared" si="110"/>
        <v>4398</v>
      </c>
      <c r="I1444" s="14">
        <f t="shared" si="112"/>
        <v>1705.2000000000003</v>
      </c>
      <c r="J1444" s="14">
        <f t="shared" si="113"/>
        <v>-1692</v>
      </c>
      <c r="K1444" s="1">
        <v>0.28000000000000003</v>
      </c>
      <c r="L1444">
        <v>4.2</v>
      </c>
      <c r="M1444" s="2">
        <v>2686</v>
      </c>
      <c r="N1444" t="s">
        <v>3659</v>
      </c>
      <c r="O1444">
        <f t="shared" si="114"/>
        <v>2</v>
      </c>
      <c r="P1444" s="12" t="e">
        <f>HYPERLINK(#REF!,"Link")</f>
        <v>#REF!</v>
      </c>
      <c r="Q1444" s="12" t="e">
        <f>HYPERLINK(#REF!,"Link")</f>
        <v>#REF!</v>
      </c>
    </row>
    <row r="1445" spans="1:17" x14ac:dyDescent="0.3">
      <c r="A1445" t="s">
        <v>3660</v>
      </c>
      <c r="B1445" t="s">
        <v>3661</v>
      </c>
      <c r="C1445" s="10" t="s">
        <v>3777</v>
      </c>
      <c r="D1445" s="10"/>
      <c r="E1445" s="14">
        <v>3595</v>
      </c>
      <c r="F1445" s="3">
        <v>2999</v>
      </c>
      <c r="G1445" s="3">
        <f t="shared" si="111"/>
        <v>7190</v>
      </c>
      <c r="H1445" s="3">
        <f t="shared" si="110"/>
        <v>5998</v>
      </c>
      <c r="I1445" s="14">
        <f t="shared" si="112"/>
        <v>1222.3000000000002</v>
      </c>
      <c r="J1445" s="14">
        <f t="shared" si="113"/>
        <v>-1192</v>
      </c>
      <c r="K1445" s="1">
        <v>0.17</v>
      </c>
      <c r="L1445">
        <v>4</v>
      </c>
      <c r="M1445">
        <v>178</v>
      </c>
      <c r="N1445" t="s">
        <v>3662</v>
      </c>
      <c r="O1445">
        <f t="shared" si="114"/>
        <v>2</v>
      </c>
      <c r="P1445" s="12" t="e">
        <f>HYPERLINK(#REF!,"Link")</f>
        <v>#REF!</v>
      </c>
      <c r="Q1445" s="12" t="e">
        <f>HYPERLINK(#REF!,"Link")</f>
        <v>#REF!</v>
      </c>
    </row>
    <row r="1446" spans="1:17" x14ac:dyDescent="0.3">
      <c r="A1446" t="s">
        <v>3663</v>
      </c>
      <c r="B1446" t="s">
        <v>3664</v>
      </c>
      <c r="C1446" s="9" t="s">
        <v>3778</v>
      </c>
      <c r="D1446" s="9"/>
      <c r="E1446" s="14">
        <v>500</v>
      </c>
      <c r="F1446" s="3">
        <v>253</v>
      </c>
      <c r="G1446" s="3">
        <f t="shared" si="111"/>
        <v>3000</v>
      </c>
      <c r="H1446" s="3">
        <f t="shared" si="110"/>
        <v>1518</v>
      </c>
      <c r="I1446" s="14">
        <f t="shared" si="112"/>
        <v>1470</v>
      </c>
      <c r="J1446" s="14">
        <f t="shared" si="113"/>
        <v>-1482</v>
      </c>
      <c r="K1446" s="1">
        <v>0.49</v>
      </c>
      <c r="L1446">
        <v>4.3</v>
      </c>
      <c r="M1446" s="2">
        <v>2664</v>
      </c>
      <c r="N1446" t="s">
        <v>3665</v>
      </c>
      <c r="O1446">
        <f t="shared" si="114"/>
        <v>6</v>
      </c>
      <c r="P1446" s="12" t="e">
        <f>HYPERLINK(#REF!,"Link")</f>
        <v>#REF!</v>
      </c>
      <c r="Q1446" s="12" t="e">
        <f>HYPERLINK(#REF!,"Link")</f>
        <v>#REF!</v>
      </c>
    </row>
    <row r="1447" spans="1:17" x14ac:dyDescent="0.3">
      <c r="A1447" t="s">
        <v>3666</v>
      </c>
      <c r="B1447" t="s">
        <v>3667</v>
      </c>
      <c r="C1447" s="10" t="s">
        <v>3779</v>
      </c>
      <c r="D1447" s="10" t="s">
        <v>3780</v>
      </c>
      <c r="E1447" s="14">
        <v>799</v>
      </c>
      <c r="F1447" s="3">
        <v>499</v>
      </c>
      <c r="G1447" s="3">
        <f t="shared" si="111"/>
        <v>1598</v>
      </c>
      <c r="H1447" s="3">
        <f t="shared" si="110"/>
        <v>998</v>
      </c>
      <c r="I1447" s="14">
        <f t="shared" si="112"/>
        <v>607.24</v>
      </c>
      <c r="J1447" s="14">
        <f t="shared" si="113"/>
        <v>-600</v>
      </c>
      <c r="K1447" s="1">
        <v>0.38</v>
      </c>
      <c r="L1447">
        <v>3.6</v>
      </c>
      <c r="M1447">
        <v>212</v>
      </c>
      <c r="N1447" t="s">
        <v>3668</v>
      </c>
      <c r="O1447">
        <f t="shared" si="114"/>
        <v>2</v>
      </c>
      <c r="P1447" s="12" t="e">
        <f>HYPERLINK(#REF!,"Link")</f>
        <v>#REF!</v>
      </c>
      <c r="Q1447" s="12" t="e">
        <f>HYPERLINK(#REF!,"Link")</f>
        <v>#REF!</v>
      </c>
    </row>
    <row r="1448" spans="1:17" x14ac:dyDescent="0.3">
      <c r="A1448" t="s">
        <v>3669</v>
      </c>
      <c r="B1448" t="s">
        <v>3670</v>
      </c>
      <c r="C1448" s="9" t="s">
        <v>3781</v>
      </c>
      <c r="D1448" s="9" t="s">
        <v>3782</v>
      </c>
      <c r="E1448" s="14">
        <v>1899</v>
      </c>
      <c r="F1448" s="3">
        <v>1149</v>
      </c>
      <c r="G1448" s="3">
        <f t="shared" si="111"/>
        <v>3798</v>
      </c>
      <c r="H1448" s="3">
        <f t="shared" si="110"/>
        <v>2298</v>
      </c>
      <c r="I1448" s="14">
        <f t="shared" si="112"/>
        <v>1481.22</v>
      </c>
      <c r="J1448" s="14">
        <f t="shared" si="113"/>
        <v>-1500</v>
      </c>
      <c r="K1448" s="1">
        <v>0.39</v>
      </c>
      <c r="L1448">
        <v>3.5</v>
      </c>
      <c r="M1448">
        <v>24</v>
      </c>
      <c r="N1448" t="s">
        <v>3671</v>
      </c>
      <c r="O1448">
        <f t="shared" si="114"/>
        <v>2</v>
      </c>
      <c r="P1448" s="12" t="e">
        <f>HYPERLINK(#REF!,"Link")</f>
        <v>#REF!</v>
      </c>
      <c r="Q1448" s="12" t="e">
        <f>HYPERLINK(#REF!,"Link")</f>
        <v>#REF!</v>
      </c>
    </row>
    <row r="1449" spans="1:17" x14ac:dyDescent="0.3">
      <c r="A1449" t="s">
        <v>3672</v>
      </c>
      <c r="B1449" t="s">
        <v>3673</v>
      </c>
      <c r="C1449" s="10" t="s">
        <v>3771</v>
      </c>
      <c r="D1449" s="10" t="s">
        <v>3783</v>
      </c>
      <c r="E1449" s="14">
        <v>799</v>
      </c>
      <c r="F1449" s="3">
        <v>457</v>
      </c>
      <c r="G1449" s="3">
        <f t="shared" si="111"/>
        <v>1598</v>
      </c>
      <c r="H1449" s="3">
        <f t="shared" si="110"/>
        <v>914</v>
      </c>
      <c r="I1449" s="14">
        <f t="shared" si="112"/>
        <v>687.14</v>
      </c>
      <c r="J1449" s="14">
        <f t="shared" si="113"/>
        <v>-684</v>
      </c>
      <c r="K1449" s="1">
        <v>0.43</v>
      </c>
      <c r="L1449">
        <v>4.3</v>
      </c>
      <c r="M1449" s="2">
        <v>1868</v>
      </c>
      <c r="N1449" t="s">
        <v>3674</v>
      </c>
      <c r="O1449">
        <f t="shared" si="114"/>
        <v>2</v>
      </c>
      <c r="P1449" s="12" t="e">
        <f>HYPERLINK(#REF!,"Link")</f>
        <v>#REF!</v>
      </c>
      <c r="Q1449" s="12" t="e">
        <f>HYPERLINK(#REF!,"Link")</f>
        <v>#REF!</v>
      </c>
    </row>
    <row r="1450" spans="1:17" x14ac:dyDescent="0.3">
      <c r="A1450" t="s">
        <v>3675</v>
      </c>
      <c r="B1450" t="s">
        <v>3676</v>
      </c>
      <c r="C1450" s="9" t="s">
        <v>3784</v>
      </c>
      <c r="D1450" s="9"/>
      <c r="E1450" s="14">
        <v>399</v>
      </c>
      <c r="F1450" s="3">
        <v>229</v>
      </c>
      <c r="G1450" s="3">
        <f t="shared" si="111"/>
        <v>1197</v>
      </c>
      <c r="H1450" s="3">
        <f t="shared" si="110"/>
        <v>687</v>
      </c>
      <c r="I1450" s="14">
        <f t="shared" si="112"/>
        <v>514.71</v>
      </c>
      <c r="J1450" s="14">
        <f t="shared" si="113"/>
        <v>-510</v>
      </c>
      <c r="K1450" s="1">
        <v>0.43</v>
      </c>
      <c r="L1450">
        <v>3.6</v>
      </c>
      <c r="M1450">
        <v>451</v>
      </c>
      <c r="N1450" t="s">
        <v>3677</v>
      </c>
      <c r="O1450">
        <f t="shared" si="114"/>
        <v>3</v>
      </c>
      <c r="P1450" s="12" t="e">
        <f>HYPERLINK(#REF!,"Link")</f>
        <v>#REF!</v>
      </c>
      <c r="Q1450" s="12" t="e">
        <f>HYPERLINK(#REF!,"Link")</f>
        <v>#REF!</v>
      </c>
    </row>
    <row r="1451" spans="1:17" x14ac:dyDescent="0.3">
      <c r="A1451" t="s">
        <v>3678</v>
      </c>
      <c r="B1451" t="s">
        <v>3679</v>
      </c>
      <c r="C1451" s="10" t="s">
        <v>3785</v>
      </c>
      <c r="D1451" s="10"/>
      <c r="E1451" s="14">
        <v>699</v>
      </c>
      <c r="F1451" s="3">
        <v>199</v>
      </c>
      <c r="G1451" s="3">
        <f t="shared" si="111"/>
        <v>2097</v>
      </c>
      <c r="H1451" s="3">
        <f t="shared" si="110"/>
        <v>597</v>
      </c>
      <c r="I1451" s="14">
        <f t="shared" si="112"/>
        <v>1509.84</v>
      </c>
      <c r="J1451" s="14">
        <f t="shared" si="113"/>
        <v>-1500</v>
      </c>
      <c r="K1451" s="1">
        <v>0.72</v>
      </c>
      <c r="L1451">
        <v>2.9</v>
      </c>
      <c r="M1451">
        <v>159</v>
      </c>
      <c r="N1451" t="s">
        <v>3680</v>
      </c>
      <c r="O1451">
        <f t="shared" si="114"/>
        <v>3</v>
      </c>
      <c r="P1451" s="12" t="e">
        <f>HYPERLINK(#REF!,"Link")</f>
        <v>#REF!</v>
      </c>
      <c r="Q1451" s="12" t="e">
        <f>HYPERLINK(#REF!,"Link")</f>
        <v>#REF!</v>
      </c>
    </row>
    <row r="1452" spans="1:17" x14ac:dyDescent="0.3">
      <c r="A1452" t="s">
        <v>3681</v>
      </c>
      <c r="B1452" t="s">
        <v>3682</v>
      </c>
      <c r="C1452" s="9" t="s">
        <v>3729</v>
      </c>
      <c r="D1452" s="9" t="s">
        <v>3786</v>
      </c>
      <c r="E1452" s="14">
        <v>1999</v>
      </c>
      <c r="F1452" s="3">
        <v>899</v>
      </c>
      <c r="G1452" s="3">
        <f t="shared" si="111"/>
        <v>5997</v>
      </c>
      <c r="H1452" s="3">
        <f t="shared" si="110"/>
        <v>2697</v>
      </c>
      <c r="I1452" s="14">
        <f t="shared" si="112"/>
        <v>3298.3500000000004</v>
      </c>
      <c r="J1452" s="14">
        <f t="shared" si="113"/>
        <v>-3300</v>
      </c>
      <c r="K1452" s="1">
        <v>0.55000000000000004</v>
      </c>
      <c r="L1452">
        <v>4.2</v>
      </c>
      <c r="M1452">
        <v>39</v>
      </c>
      <c r="N1452" t="s">
        <v>3683</v>
      </c>
      <c r="O1452">
        <f t="shared" si="114"/>
        <v>3</v>
      </c>
      <c r="P1452" s="12" t="e">
        <f>HYPERLINK(#REF!,"Link")</f>
        <v>#REF!</v>
      </c>
      <c r="Q1452" s="12" t="e">
        <f>HYPERLINK(#REF!,"Link")</f>
        <v>#REF!</v>
      </c>
    </row>
    <row r="1453" spans="1:17" x14ac:dyDescent="0.3">
      <c r="A1453" t="s">
        <v>3684</v>
      </c>
      <c r="B1453" t="s">
        <v>3685</v>
      </c>
      <c r="C1453" s="10" t="s">
        <v>3787</v>
      </c>
      <c r="D1453" s="10" t="s">
        <v>3788</v>
      </c>
      <c r="E1453" s="14">
        <v>2199</v>
      </c>
      <c r="F1453" s="3">
        <v>1499</v>
      </c>
      <c r="G1453" s="3">
        <f t="shared" si="111"/>
        <v>4398</v>
      </c>
      <c r="H1453" s="3">
        <f t="shared" si="110"/>
        <v>2998</v>
      </c>
      <c r="I1453" s="14">
        <f t="shared" si="112"/>
        <v>1407.3600000000001</v>
      </c>
      <c r="J1453" s="14">
        <f t="shared" si="113"/>
        <v>-1400</v>
      </c>
      <c r="K1453" s="1">
        <v>0.32</v>
      </c>
      <c r="L1453">
        <v>4.4000000000000004</v>
      </c>
      <c r="M1453" s="2">
        <v>6531</v>
      </c>
      <c r="N1453" t="s">
        <v>3686</v>
      </c>
      <c r="O1453">
        <f t="shared" si="114"/>
        <v>2</v>
      </c>
      <c r="P1453" s="12" t="e">
        <f>HYPERLINK(#REF!,"Link")</f>
        <v>#REF!</v>
      </c>
      <c r="Q1453" s="12" t="e">
        <f>HYPERLINK(#REF!,"Link")</f>
        <v>#REF!</v>
      </c>
    </row>
    <row r="1454" spans="1:17" x14ac:dyDescent="0.3">
      <c r="A1454" t="s">
        <v>3687</v>
      </c>
      <c r="B1454" t="s">
        <v>3688</v>
      </c>
      <c r="C1454" s="9" t="s">
        <v>3789</v>
      </c>
      <c r="D1454" s="9"/>
      <c r="E1454" s="14">
        <v>999</v>
      </c>
      <c r="F1454" s="3">
        <v>426</v>
      </c>
      <c r="G1454" s="3">
        <f t="shared" si="111"/>
        <v>1998</v>
      </c>
      <c r="H1454" s="3">
        <f t="shared" si="110"/>
        <v>852</v>
      </c>
      <c r="I1454" s="14">
        <f t="shared" si="112"/>
        <v>1138.8599999999999</v>
      </c>
      <c r="J1454" s="14">
        <f t="shared" si="113"/>
        <v>-1146</v>
      </c>
      <c r="K1454" s="1">
        <v>0.56999999999999995</v>
      </c>
      <c r="L1454">
        <v>4.0999999999999996</v>
      </c>
      <c r="M1454">
        <v>222</v>
      </c>
      <c r="N1454" t="s">
        <v>3689</v>
      </c>
      <c r="O1454">
        <f t="shared" si="114"/>
        <v>2</v>
      </c>
      <c r="P1454" s="12" t="e">
        <f>HYPERLINK(#REF!,"Link")</f>
        <v>#REF!</v>
      </c>
      <c r="Q1454" s="12" t="e">
        <f>HYPERLINK(#REF!,"Link")</f>
        <v>#REF!</v>
      </c>
    </row>
    <row r="1455" spans="1:17" x14ac:dyDescent="0.3">
      <c r="A1455" t="s">
        <v>3690</v>
      </c>
      <c r="B1455" t="s">
        <v>3691</v>
      </c>
      <c r="C1455" s="10" t="s">
        <v>3729</v>
      </c>
      <c r="D1455" s="10" t="s">
        <v>3786</v>
      </c>
      <c r="E1455" s="14">
        <v>3290</v>
      </c>
      <c r="F1455" s="3">
        <v>2320</v>
      </c>
      <c r="G1455" s="3">
        <f t="shared" si="111"/>
        <v>9870</v>
      </c>
      <c r="H1455" s="3">
        <f t="shared" si="110"/>
        <v>6960</v>
      </c>
      <c r="I1455" s="14">
        <f t="shared" si="112"/>
        <v>2862.2999999999997</v>
      </c>
      <c r="J1455" s="14">
        <f t="shared" si="113"/>
        <v>-2910</v>
      </c>
      <c r="K1455" s="1">
        <v>0.28999999999999998</v>
      </c>
      <c r="L1455">
        <v>3.8</v>
      </c>
      <c r="M1455">
        <v>195</v>
      </c>
      <c r="N1455" t="s">
        <v>3692</v>
      </c>
      <c r="O1455">
        <f t="shared" si="114"/>
        <v>3</v>
      </c>
      <c r="P1455" s="12" t="e">
        <f>HYPERLINK(#REF!,"Link")</f>
        <v>#REF!</v>
      </c>
      <c r="Q1455" s="12" t="e">
        <f>HYPERLINK(#REF!,"Link")</f>
        <v>#REF!</v>
      </c>
    </row>
    <row r="1456" spans="1:17" x14ac:dyDescent="0.3">
      <c r="A1456" t="s">
        <v>3693</v>
      </c>
      <c r="B1456" t="s">
        <v>3093</v>
      </c>
      <c r="C1456" s="9" t="s">
        <v>3790</v>
      </c>
      <c r="D1456" s="9" t="s">
        <v>3791</v>
      </c>
      <c r="E1456" s="14">
        <v>3098</v>
      </c>
      <c r="F1456" s="3">
        <v>1563</v>
      </c>
      <c r="G1456" s="3">
        <f t="shared" si="111"/>
        <v>12392</v>
      </c>
      <c r="H1456" s="3">
        <f t="shared" si="110"/>
        <v>6252</v>
      </c>
      <c r="I1456" s="14">
        <f t="shared" si="112"/>
        <v>6196</v>
      </c>
      <c r="J1456" s="14">
        <f t="shared" si="113"/>
        <v>-6140</v>
      </c>
      <c r="K1456" s="1">
        <v>0.5</v>
      </c>
      <c r="L1456">
        <v>3.5</v>
      </c>
      <c r="M1456" s="2">
        <v>2283</v>
      </c>
      <c r="N1456" t="s">
        <v>3694</v>
      </c>
      <c r="O1456">
        <f t="shared" si="114"/>
        <v>4</v>
      </c>
      <c r="P1456" s="12" t="e">
        <f>HYPERLINK(#REF!,"Link")</f>
        <v>#REF!</v>
      </c>
      <c r="Q1456" s="12" t="e">
        <f>HYPERLINK(#REF!,"Link")</f>
        <v>#REF!</v>
      </c>
    </row>
    <row r="1457" spans="1:17" x14ac:dyDescent="0.3">
      <c r="A1457" t="s">
        <v>3695</v>
      </c>
      <c r="B1457" t="s">
        <v>3696</v>
      </c>
      <c r="C1457" s="10" t="s">
        <v>3771</v>
      </c>
      <c r="D1457" s="10" t="s">
        <v>3792</v>
      </c>
      <c r="E1457" s="14">
        <v>4990</v>
      </c>
      <c r="F1457" s="3">
        <v>3487.77</v>
      </c>
      <c r="G1457" s="3">
        <f t="shared" si="111"/>
        <v>9980</v>
      </c>
      <c r="H1457" s="3">
        <f t="shared" si="110"/>
        <v>6975.54</v>
      </c>
      <c r="I1457" s="14">
        <f t="shared" si="112"/>
        <v>2994</v>
      </c>
      <c r="J1457" s="14">
        <f t="shared" si="113"/>
        <v>-3004.46</v>
      </c>
      <c r="K1457" s="1">
        <v>0.3</v>
      </c>
      <c r="L1457">
        <v>4.0999999999999996</v>
      </c>
      <c r="M1457" s="2">
        <v>1127</v>
      </c>
      <c r="N1457" t="s">
        <v>3697</v>
      </c>
      <c r="O1457">
        <f t="shared" si="114"/>
        <v>2</v>
      </c>
      <c r="P1457" s="12" t="e">
        <f>HYPERLINK(#REF!,"Link")</f>
        <v>#REF!</v>
      </c>
      <c r="Q1457" s="12" t="e">
        <f>HYPERLINK(#REF!,"Link")</f>
        <v>#REF!</v>
      </c>
    </row>
    <row r="1458" spans="1:17" x14ac:dyDescent="0.3">
      <c r="A1458" t="s">
        <v>3698</v>
      </c>
      <c r="B1458" t="s">
        <v>3699</v>
      </c>
      <c r="C1458" s="9" t="s">
        <v>3793</v>
      </c>
      <c r="D1458" s="9" t="s">
        <v>3794</v>
      </c>
      <c r="E1458" s="14">
        <v>1200</v>
      </c>
      <c r="F1458" s="3">
        <v>498</v>
      </c>
      <c r="G1458" s="3">
        <f t="shared" si="111"/>
        <v>4800</v>
      </c>
      <c r="H1458" s="3">
        <f t="shared" si="110"/>
        <v>1992</v>
      </c>
      <c r="I1458" s="14">
        <f t="shared" si="112"/>
        <v>2832</v>
      </c>
      <c r="J1458" s="14">
        <f t="shared" si="113"/>
        <v>-2808</v>
      </c>
      <c r="K1458" s="1">
        <v>0.59</v>
      </c>
      <c r="L1458">
        <v>3.2</v>
      </c>
      <c r="M1458">
        <v>113</v>
      </c>
      <c r="N1458" t="s">
        <v>3700</v>
      </c>
      <c r="O1458">
        <f t="shared" si="114"/>
        <v>4</v>
      </c>
      <c r="P1458" s="12" t="e">
        <f>HYPERLINK(#REF!,"Link")</f>
        <v>#REF!</v>
      </c>
      <c r="Q1458" s="12" t="e">
        <f>HYPERLINK(#REF!,"Link")</f>
        <v>#REF!</v>
      </c>
    </row>
    <row r="1459" spans="1:17" x14ac:dyDescent="0.3">
      <c r="A1459" t="s">
        <v>3701</v>
      </c>
      <c r="B1459" t="s">
        <v>3702</v>
      </c>
      <c r="C1459" s="10" t="s">
        <v>3795</v>
      </c>
      <c r="D1459" s="10" t="s">
        <v>3796</v>
      </c>
      <c r="E1459" s="14">
        <v>2695</v>
      </c>
      <c r="F1459" s="3">
        <v>2695</v>
      </c>
      <c r="G1459" s="3">
        <f t="shared" si="111"/>
        <v>10780</v>
      </c>
      <c r="H1459" s="3">
        <f t="shared" si="110"/>
        <v>10780</v>
      </c>
      <c r="I1459" s="14">
        <f t="shared" si="112"/>
        <v>0</v>
      </c>
      <c r="J1459" s="14">
        <f t="shared" si="113"/>
        <v>0</v>
      </c>
      <c r="K1459" s="1">
        <v>0</v>
      </c>
      <c r="L1459">
        <v>4.4000000000000004</v>
      </c>
      <c r="M1459" s="2">
        <v>2518</v>
      </c>
      <c r="N1459" t="s">
        <v>3703</v>
      </c>
      <c r="O1459">
        <f t="shared" si="114"/>
        <v>4</v>
      </c>
      <c r="P1459" s="12" t="e">
        <f>HYPERLINK(#REF!,"Link")</f>
        <v>#REF!</v>
      </c>
      <c r="Q1459" s="12" t="e">
        <f>HYPERLINK(#REF!,"Link")</f>
        <v>#REF!</v>
      </c>
    </row>
    <row r="1460" spans="1:17" x14ac:dyDescent="0.3">
      <c r="A1460" t="s">
        <v>3704</v>
      </c>
      <c r="B1460" t="s">
        <v>3705</v>
      </c>
      <c r="C1460" s="9" t="s">
        <v>3771</v>
      </c>
      <c r="D1460" s="9" t="s">
        <v>3792</v>
      </c>
      <c r="E1460" s="14">
        <v>2299</v>
      </c>
      <c r="F1460" s="3">
        <v>949</v>
      </c>
      <c r="G1460" s="3">
        <f t="shared" si="111"/>
        <v>6897</v>
      </c>
      <c r="H1460" s="3">
        <f t="shared" si="110"/>
        <v>2847</v>
      </c>
      <c r="I1460" s="14">
        <f t="shared" si="112"/>
        <v>4069.2299999999996</v>
      </c>
      <c r="J1460" s="14">
        <f t="shared" si="113"/>
        <v>-4050</v>
      </c>
      <c r="K1460" s="1">
        <v>0.59</v>
      </c>
      <c r="L1460">
        <v>3.6</v>
      </c>
      <c r="M1460">
        <v>550</v>
      </c>
      <c r="N1460" t="s">
        <v>3706</v>
      </c>
      <c r="O1460">
        <f t="shared" si="114"/>
        <v>3</v>
      </c>
      <c r="P1460" s="12" t="e">
        <f>HYPERLINK(#REF!,"Link")</f>
        <v>#REF!</v>
      </c>
      <c r="Q1460" s="12" t="e">
        <f>HYPERLINK(#REF!,"Link")</f>
        <v>#REF!</v>
      </c>
    </row>
    <row r="1461" spans="1:17" x14ac:dyDescent="0.3">
      <c r="A1461" t="s">
        <v>3707</v>
      </c>
      <c r="B1461" t="s">
        <v>3708</v>
      </c>
      <c r="C1461" s="10" t="s">
        <v>3797</v>
      </c>
      <c r="D1461" s="10"/>
      <c r="E1461" s="14">
        <v>999</v>
      </c>
      <c r="F1461" s="3">
        <v>199</v>
      </c>
      <c r="G1461" s="3">
        <f t="shared" si="111"/>
        <v>999</v>
      </c>
      <c r="H1461" s="3">
        <f t="shared" si="110"/>
        <v>199</v>
      </c>
      <c r="I1461" s="14">
        <f t="shared" si="112"/>
        <v>799.2</v>
      </c>
      <c r="J1461" s="14">
        <f t="shared" si="113"/>
        <v>-800</v>
      </c>
      <c r="K1461" s="1">
        <v>0.8</v>
      </c>
      <c r="L1461">
        <v>3.1</v>
      </c>
      <c r="M1461">
        <v>2</v>
      </c>
      <c r="N1461" t="s">
        <v>3709</v>
      </c>
      <c r="O1461">
        <f t="shared" si="114"/>
        <v>1</v>
      </c>
      <c r="P1461" s="12" t="e">
        <f>HYPERLINK(#REF!,"Link")</f>
        <v>#REF!</v>
      </c>
      <c r="Q1461" s="12" t="e">
        <f>HYPERLINK(#REF!,"Link")</f>
        <v>#REF!</v>
      </c>
    </row>
    <row r="1462" spans="1:17" x14ac:dyDescent="0.3">
      <c r="A1462" t="s">
        <v>3710</v>
      </c>
      <c r="B1462" t="s">
        <v>3711</v>
      </c>
      <c r="C1462" s="9" t="s">
        <v>3798</v>
      </c>
      <c r="D1462" s="9" t="s">
        <v>3799</v>
      </c>
      <c r="E1462" s="14">
        <v>919</v>
      </c>
      <c r="F1462" s="3">
        <v>379</v>
      </c>
      <c r="G1462" s="3">
        <f t="shared" si="111"/>
        <v>1838</v>
      </c>
      <c r="H1462" s="3">
        <f t="shared" si="110"/>
        <v>758</v>
      </c>
      <c r="I1462" s="14">
        <f t="shared" si="112"/>
        <v>1084.4199999999998</v>
      </c>
      <c r="J1462" s="14">
        <f t="shared" si="113"/>
        <v>-1080</v>
      </c>
      <c r="K1462" s="1">
        <v>0.59</v>
      </c>
      <c r="L1462">
        <v>4</v>
      </c>
      <c r="M1462" s="2">
        <v>1090</v>
      </c>
      <c r="N1462" t="s">
        <v>3712</v>
      </c>
      <c r="O1462">
        <f t="shared" si="114"/>
        <v>2</v>
      </c>
      <c r="P1462" s="12" t="e">
        <f>HYPERLINK(#REF!,"Link")</f>
        <v>#REF!</v>
      </c>
      <c r="Q1462" s="12" t="e">
        <f>HYPERLINK(#REF!,"Link")</f>
        <v>#REF!</v>
      </c>
    </row>
    <row r="1463" spans="1:17" x14ac:dyDescent="0.3">
      <c r="A1463" t="s">
        <v>3713</v>
      </c>
      <c r="B1463" t="s">
        <v>3714</v>
      </c>
      <c r="C1463" s="10"/>
      <c r="D1463" s="10"/>
      <c r="E1463" s="14">
        <v>3045</v>
      </c>
      <c r="F1463" s="3">
        <v>2280</v>
      </c>
      <c r="G1463" s="3">
        <f t="shared" si="111"/>
        <v>9135</v>
      </c>
      <c r="H1463" s="3">
        <f t="shared" si="110"/>
        <v>6840</v>
      </c>
      <c r="I1463" s="14">
        <f t="shared" si="112"/>
        <v>2283.75</v>
      </c>
      <c r="J1463" s="14">
        <f t="shared" si="113"/>
        <v>-2295</v>
      </c>
      <c r="K1463" s="1">
        <v>0.25</v>
      </c>
      <c r="L1463">
        <v>4.0999999999999996</v>
      </c>
      <c r="M1463" s="2">
        <v>4118</v>
      </c>
      <c r="N1463" t="s">
        <v>3715</v>
      </c>
      <c r="O1463">
        <f t="shared" si="114"/>
        <v>3</v>
      </c>
      <c r="P1463" s="12" t="e">
        <f>HYPERLINK(#REF!,"Link")</f>
        <v>#REF!</v>
      </c>
      <c r="Q1463" s="12" t="e">
        <f>HYPERLINK(#REF!,"Link")</f>
        <v>#REF!</v>
      </c>
    </row>
    <row r="1464" spans="1:17" x14ac:dyDescent="0.3">
      <c r="A1464" t="s">
        <v>3716</v>
      </c>
      <c r="B1464" t="s">
        <v>3717</v>
      </c>
      <c r="C1464" s="9" t="s">
        <v>3800</v>
      </c>
      <c r="D1464" s="9"/>
      <c r="E1464" s="14">
        <v>3080</v>
      </c>
      <c r="F1464" s="3">
        <v>2219</v>
      </c>
      <c r="G1464" s="3">
        <f t="shared" si="111"/>
        <v>6160</v>
      </c>
      <c r="H1464" s="3">
        <f t="shared" si="110"/>
        <v>4438</v>
      </c>
      <c r="I1464" s="14">
        <f t="shared" si="112"/>
        <v>1724.8000000000002</v>
      </c>
      <c r="J1464" s="14">
        <f t="shared" si="113"/>
        <v>-1722</v>
      </c>
      <c r="K1464" s="1">
        <v>0.28000000000000003</v>
      </c>
      <c r="L1464">
        <v>3.6</v>
      </c>
      <c r="M1464">
        <v>468</v>
      </c>
      <c r="N1464" t="s">
        <v>3718</v>
      </c>
      <c r="O1464">
        <f t="shared" si="114"/>
        <v>2</v>
      </c>
      <c r="P1464" s="12" t="e">
        <f>HYPERLINK(#REF!,"Link")</f>
        <v>#REF!</v>
      </c>
      <c r="Q1464" s="12" t="e">
        <f>HYPERLINK(#REF!,"Link")</f>
        <v>#REF!</v>
      </c>
    </row>
    <row r="1465" spans="1:17" x14ac:dyDescent="0.3">
      <c r="A1465" t="s">
        <v>3719</v>
      </c>
      <c r="B1465" t="s">
        <v>3720</v>
      </c>
      <c r="C1465" s="10" t="s">
        <v>3755</v>
      </c>
      <c r="D1465" s="10" t="s">
        <v>3801</v>
      </c>
      <c r="E1465" s="14">
        <v>1890</v>
      </c>
      <c r="F1465" s="3">
        <v>1399</v>
      </c>
      <c r="G1465" s="3">
        <f t="shared" si="111"/>
        <v>5670</v>
      </c>
      <c r="H1465" s="3">
        <f t="shared" si="110"/>
        <v>4197</v>
      </c>
      <c r="I1465" s="14">
        <f t="shared" si="112"/>
        <v>1474.2</v>
      </c>
      <c r="J1465" s="14">
        <f t="shared" si="113"/>
        <v>-1473</v>
      </c>
      <c r="K1465" s="1">
        <v>0.26</v>
      </c>
      <c r="L1465">
        <v>4</v>
      </c>
      <c r="M1465" s="2">
        <v>8031</v>
      </c>
      <c r="N1465" t="s">
        <v>3721</v>
      </c>
      <c r="O1465">
        <f t="shared" si="114"/>
        <v>3</v>
      </c>
      <c r="P1465" s="12" t="e">
        <f>HYPERLINK(#REF!,"Link")</f>
        <v>#REF!</v>
      </c>
      <c r="Q1465" s="12" t="e">
        <f>HYPERLINK(#REF!,"Link")</f>
        <v>#REF!</v>
      </c>
    </row>
    <row r="1466" spans="1:17" x14ac:dyDescent="0.3">
      <c r="A1466" t="s">
        <v>3722</v>
      </c>
      <c r="B1466" t="s">
        <v>3723</v>
      </c>
      <c r="C1466" s="9" t="s">
        <v>3744</v>
      </c>
      <c r="D1466" s="9" t="s">
        <v>3802</v>
      </c>
      <c r="E1466" s="14">
        <v>3690</v>
      </c>
      <c r="F1466" s="3">
        <v>2863</v>
      </c>
      <c r="G1466" s="3">
        <f t="shared" si="111"/>
        <v>11070</v>
      </c>
      <c r="H1466" s="3">
        <f t="shared" si="110"/>
        <v>8589</v>
      </c>
      <c r="I1466" s="14">
        <f t="shared" si="112"/>
        <v>2435.3999999999996</v>
      </c>
      <c r="J1466" s="14">
        <f t="shared" si="113"/>
        <v>-2481</v>
      </c>
      <c r="K1466" s="1">
        <v>0.22</v>
      </c>
      <c r="L1466">
        <v>4.3</v>
      </c>
      <c r="M1466" s="2">
        <v>6987</v>
      </c>
      <c r="N1466" t="s">
        <v>3724</v>
      </c>
      <c r="O1466">
        <f t="shared" si="114"/>
        <v>3</v>
      </c>
      <c r="P1466" s="12" t="e">
        <f>HYPERLINK(#REF!,"Link")</f>
        <v>#REF!</v>
      </c>
      <c r="Q1466" s="12" t="e">
        <f>HYPERLINK(#REF!,"Link")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0AA3-87D6-4660-9EDA-EE3F7B7C6003}">
  <dimension ref="G1:AM21"/>
  <sheetViews>
    <sheetView topLeftCell="H1" zoomScale="87" workbookViewId="0">
      <selection activeCell="P20" sqref="P20"/>
    </sheetView>
  </sheetViews>
  <sheetFormatPr defaultRowHeight="14.4" x14ac:dyDescent="0.3"/>
  <sheetData>
    <row r="1" spans="7:39" x14ac:dyDescent="0.3">
      <c r="G1" s="25" t="s">
        <v>3975</v>
      </c>
      <c r="H1" s="25"/>
      <c r="I1" s="25"/>
      <c r="J1" s="25"/>
      <c r="K1" s="25"/>
      <c r="T1" s="25" t="s">
        <v>3976</v>
      </c>
      <c r="U1" s="25"/>
      <c r="V1" s="25"/>
    </row>
    <row r="11" spans="7:39" x14ac:dyDescent="0.3">
      <c r="AK11" s="6" t="s">
        <v>3980</v>
      </c>
      <c r="AL11" s="6"/>
      <c r="AM11" s="6"/>
    </row>
    <row r="19" spans="9:22" x14ac:dyDescent="0.3">
      <c r="I19" s="25" t="s">
        <v>3977</v>
      </c>
      <c r="J19" s="25"/>
      <c r="K19" s="25"/>
    </row>
    <row r="21" spans="9:22" x14ac:dyDescent="0.3">
      <c r="T21" s="25" t="s">
        <v>3978</v>
      </c>
      <c r="U21" s="25"/>
      <c r="V21" s="25"/>
    </row>
  </sheetData>
  <mergeCells count="4">
    <mergeCell ref="G1:K1"/>
    <mergeCell ref="T1:V1"/>
    <mergeCell ref="I19:K19"/>
    <mergeCell ref="T21:V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A608-F6BB-4C6B-802C-2D4F391CD39C}">
  <dimension ref="A1:M23"/>
  <sheetViews>
    <sheetView tabSelected="1" workbookViewId="0">
      <selection activeCell="G11" sqref="G11"/>
    </sheetView>
  </sheetViews>
  <sheetFormatPr defaultRowHeight="14.4" x14ac:dyDescent="0.3"/>
  <cols>
    <col min="1" max="1" width="15.5546875" bestFit="1" customWidth="1"/>
    <col min="2" max="3" width="15.33203125" bestFit="1" customWidth="1"/>
    <col min="4" max="4" width="14.44140625" bestFit="1" customWidth="1"/>
    <col min="6" max="6" width="11.109375" bestFit="1" customWidth="1"/>
    <col min="7" max="7" width="26.44140625" customWidth="1"/>
    <col min="8" max="8" width="29.5546875" bestFit="1" customWidth="1"/>
    <col min="12" max="12" width="32.21875" bestFit="1" customWidth="1"/>
  </cols>
  <sheetData>
    <row r="1" spans="1:12" ht="25.8" x14ac:dyDescent="0.5">
      <c r="C1" s="28" t="s">
        <v>3988</v>
      </c>
    </row>
    <row r="2" spans="1:12" ht="31.2" x14ac:dyDescent="0.3">
      <c r="A2" t="s">
        <v>3945</v>
      </c>
      <c r="H2" s="29" t="s">
        <v>3982</v>
      </c>
    </row>
    <row r="3" spans="1:12" x14ac:dyDescent="0.3">
      <c r="A3">
        <v>1466</v>
      </c>
      <c r="C3" s="21" t="s">
        <v>3963</v>
      </c>
      <c r="D3" s="19"/>
      <c r="E3" s="22">
        <f>AVERAGE(DATASET!F:F)</f>
        <v>3125.3108737201355</v>
      </c>
      <c r="H3" s="27"/>
    </row>
    <row r="4" spans="1:12" x14ac:dyDescent="0.3">
      <c r="C4" s="21" t="s">
        <v>3964</v>
      </c>
      <c r="D4" s="19"/>
      <c r="E4" s="23">
        <v>1466</v>
      </c>
      <c r="H4" s="27" t="s">
        <v>3983</v>
      </c>
    </row>
    <row r="5" spans="1:12" x14ac:dyDescent="0.3">
      <c r="C5" s="21"/>
      <c r="D5" s="19"/>
      <c r="E5" s="23"/>
      <c r="H5" s="27" t="s">
        <v>3984</v>
      </c>
    </row>
    <row r="6" spans="1:12" x14ac:dyDescent="0.3">
      <c r="C6" s="21" t="s">
        <v>3965</v>
      </c>
      <c r="D6" s="19"/>
      <c r="E6" s="23">
        <f>AVERAGE(DATASET!K:K)</f>
        <v>0.47691467576791774</v>
      </c>
      <c r="H6" s="27" t="s">
        <v>3985</v>
      </c>
    </row>
    <row r="7" spans="1:12" x14ac:dyDescent="0.3">
      <c r="C7" s="21" t="s">
        <v>3966</v>
      </c>
      <c r="D7" s="19"/>
      <c r="E7" s="23">
        <f>AVERAGE(DATASET!L:L)</f>
        <v>4.0965846994535662</v>
      </c>
      <c r="H7" s="27" t="s">
        <v>3986</v>
      </c>
    </row>
    <row r="8" spans="1:12" x14ac:dyDescent="0.3">
      <c r="C8" s="21" t="s">
        <v>3967</v>
      </c>
      <c r="D8" s="19"/>
      <c r="E8" s="23">
        <f>SUM(DATASET!M:M)</f>
        <v>26766377</v>
      </c>
      <c r="H8" s="27" t="s">
        <v>3987</v>
      </c>
    </row>
    <row r="9" spans="1:12" x14ac:dyDescent="0.3">
      <c r="C9" s="21" t="s">
        <v>3981</v>
      </c>
      <c r="D9" s="19"/>
      <c r="E9" s="23">
        <f>K18</f>
        <v>426973</v>
      </c>
    </row>
    <row r="10" spans="1:12" x14ac:dyDescent="0.3">
      <c r="C10" s="21" t="s">
        <v>3959</v>
      </c>
      <c r="D10" s="19"/>
      <c r="E10" s="23" t="str">
        <f>L18</f>
        <v>AmazonBasics Flexible Premium HDMI</v>
      </c>
    </row>
    <row r="12" spans="1:12" x14ac:dyDescent="0.3">
      <c r="B12" s="4" t="s">
        <v>3943</v>
      </c>
      <c r="C12" s="4" t="s">
        <v>3942</v>
      </c>
      <c r="D12" s="4" t="s">
        <v>3944</v>
      </c>
    </row>
    <row r="13" spans="1:12" x14ac:dyDescent="0.3">
      <c r="B13" s="5">
        <f>SUM(DATASET!G:G)</f>
        <v>22879163.160000004</v>
      </c>
      <c r="C13" s="5">
        <f>SUM(DATASET!H:H)</f>
        <v>13062023.099999998</v>
      </c>
      <c r="D13" s="5">
        <f>C13-B13</f>
        <v>-9817140.0600000061</v>
      </c>
      <c r="J13" s="6" t="s">
        <v>3960</v>
      </c>
      <c r="K13" s="6"/>
      <c r="L13" s="6"/>
    </row>
    <row r="14" spans="1:12" x14ac:dyDescent="0.3">
      <c r="B14" s="4"/>
      <c r="C14" s="4"/>
      <c r="D14" s="17">
        <f>(D13)/B13*100</f>
        <v>-42.908650073196142</v>
      </c>
      <c r="J14">
        <f>CORREL(DATASET!M:M,DATASET!L:L)</f>
        <v>0.10223482059907681</v>
      </c>
    </row>
    <row r="17" spans="2:13" x14ac:dyDescent="0.3">
      <c r="B17" s="25" t="s">
        <v>3947</v>
      </c>
      <c r="C17" s="25"/>
      <c r="D17" s="26"/>
      <c r="F17" s="21" t="s">
        <v>3954</v>
      </c>
      <c r="G17" s="21" t="s">
        <v>3955</v>
      </c>
      <c r="H17" s="21" t="s">
        <v>3953</v>
      </c>
      <c r="J17" s="19" t="s">
        <v>3958</v>
      </c>
      <c r="K17" s="19"/>
      <c r="L17" s="19" t="s">
        <v>3959</v>
      </c>
    </row>
    <row r="18" spans="2:13" x14ac:dyDescent="0.3">
      <c r="B18">
        <f>CORREL(DATASET!K:K,DATASET!L:L)</f>
        <v>-0.15537543972693033</v>
      </c>
      <c r="F18" s="21" t="s">
        <v>3949</v>
      </c>
      <c r="G18" s="24">
        <f>MAX(DATASET!F:F)</f>
        <v>77990</v>
      </c>
      <c r="H18" s="21" t="str">
        <f>_xlfn.XLOOKUP(G18,DATASET!$F:$F,DATASET!$B:$B)</f>
        <v>Sony Bravia 164 cm</v>
      </c>
      <c r="J18" s="19" t="s">
        <v>3956</v>
      </c>
      <c r="K18" s="19">
        <f>MAX(DATASET!M:M)</f>
        <v>426973</v>
      </c>
      <c r="L18" s="19" t="str">
        <f>_xlfn.XLOOKUP(ANALYSIS!K18,DATASET!M:M,DATASET!B:B,)</f>
        <v>AmazonBasics Flexible Premium HDMI</v>
      </c>
      <c r="M18">
        <f>_xlfn.XLOOKUP(K18,DATASET!M:M,DATASET!L:L)</f>
        <v>4.4000000000000004</v>
      </c>
    </row>
    <row r="19" spans="2:13" x14ac:dyDescent="0.3">
      <c r="F19" s="21" t="s">
        <v>3950</v>
      </c>
      <c r="G19" s="24">
        <f>MIN(DATASET!F:F)</f>
        <v>39</v>
      </c>
      <c r="H19" s="21" t="str">
        <f>_xlfn.XLOOKUP(G19,DATASET!$F:$F,DATASET!$B:$B)</f>
        <v>GIZGA essentials Universal Silicone</v>
      </c>
      <c r="J19" s="19" t="s">
        <v>3957</v>
      </c>
      <c r="K19" s="19">
        <f>MIN(DATASET!M:M)</f>
        <v>2</v>
      </c>
      <c r="L19" s="19" t="str">
        <f>_xlfn.XLOOKUP(ANALYSIS!K19,DATASET!M:M,DATASET!B:B,)</f>
        <v>Khaitan ORFin Fan heater</v>
      </c>
      <c r="M19">
        <f>_xlfn.XLOOKUP(K19,DATASET!M:M,DATASET!L:L)</f>
        <v>2</v>
      </c>
    </row>
    <row r="20" spans="2:13" x14ac:dyDescent="0.3">
      <c r="B20" s="25" t="s">
        <v>3948</v>
      </c>
      <c r="C20" s="25"/>
      <c r="D20" s="26"/>
      <c r="F20" s="21" t="s">
        <v>3951</v>
      </c>
      <c r="G20" s="21">
        <f>MAX(DATASET!L:L)</f>
        <v>5</v>
      </c>
      <c r="H20" s="21"/>
    </row>
    <row r="21" spans="2:13" x14ac:dyDescent="0.3">
      <c r="B21">
        <f>CORREL(DATASET!I:I,DATASET!J:J)</f>
        <v>-0.99997610057023667</v>
      </c>
      <c r="F21" s="21" t="s">
        <v>3952</v>
      </c>
      <c r="G21" s="21">
        <f>MIN(DATASET!L:L)</f>
        <v>2</v>
      </c>
      <c r="H21" s="21"/>
    </row>
    <row r="22" spans="2:13" x14ac:dyDescent="0.3">
      <c r="G22" s="19"/>
    </row>
    <row r="23" spans="2:13" x14ac:dyDescent="0.3">
      <c r="B23">
        <f>CORREL(DATASET!M:M,DATASET!L:L)</f>
        <v>0.10223482059907681</v>
      </c>
    </row>
  </sheetData>
  <mergeCells count="2">
    <mergeCell ref="B17:D17"/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EA40-4E15-4E2D-A4D4-45316F77260F}">
  <dimension ref="A4:E77"/>
  <sheetViews>
    <sheetView workbookViewId="0">
      <selection activeCell="A4" sqref="A4:B66"/>
    </sheetView>
  </sheetViews>
  <sheetFormatPr defaultRowHeight="14.4" x14ac:dyDescent="0.3"/>
  <cols>
    <col min="1" max="1" width="26" bestFit="1" customWidth="1"/>
    <col min="2" max="2" width="14.77734375" bestFit="1" customWidth="1"/>
    <col min="3" max="3" width="27.5546875" bestFit="1" customWidth="1"/>
    <col min="5" max="5" width="41.5546875" bestFit="1" customWidth="1"/>
  </cols>
  <sheetData>
    <row r="4" spans="1:5" x14ac:dyDescent="0.3">
      <c r="A4" s="15" t="s">
        <v>3935</v>
      </c>
      <c r="B4" t="s">
        <v>3979</v>
      </c>
      <c r="E4" t="s">
        <v>3968</v>
      </c>
    </row>
    <row r="5" spans="1:5" x14ac:dyDescent="0.3">
      <c r="A5" s="16" t="s">
        <v>3729</v>
      </c>
      <c r="B5">
        <v>123</v>
      </c>
      <c r="E5" t="s">
        <v>3969</v>
      </c>
    </row>
    <row r="6" spans="1:5" x14ac:dyDescent="0.3">
      <c r="A6" s="16" t="s">
        <v>3738</v>
      </c>
      <c r="B6">
        <v>15</v>
      </c>
      <c r="E6" t="s">
        <v>3970</v>
      </c>
    </row>
    <row r="7" spans="1:5" x14ac:dyDescent="0.3">
      <c r="A7" s="16" t="s">
        <v>3827</v>
      </c>
      <c r="B7">
        <v>7</v>
      </c>
      <c r="E7" t="s">
        <v>3971</v>
      </c>
    </row>
    <row r="8" spans="1:5" x14ac:dyDescent="0.3">
      <c r="A8" s="16" t="s">
        <v>3920</v>
      </c>
      <c r="B8">
        <v>7</v>
      </c>
      <c r="E8" t="s">
        <v>3972</v>
      </c>
    </row>
    <row r="9" spans="1:5" x14ac:dyDescent="0.3">
      <c r="A9" s="16" t="s">
        <v>3901</v>
      </c>
      <c r="B9">
        <v>7</v>
      </c>
      <c r="E9" t="s">
        <v>3973</v>
      </c>
    </row>
    <row r="10" spans="1:5" x14ac:dyDescent="0.3">
      <c r="A10" s="16" t="s">
        <v>3816</v>
      </c>
      <c r="B10">
        <v>28</v>
      </c>
    </row>
    <row r="11" spans="1:5" x14ac:dyDescent="0.3">
      <c r="A11" s="16" t="s">
        <v>3743</v>
      </c>
      <c r="B11">
        <v>8</v>
      </c>
    </row>
    <row r="12" spans="1:5" x14ac:dyDescent="0.3">
      <c r="A12" s="16" t="s">
        <v>3725</v>
      </c>
      <c r="B12">
        <v>38</v>
      </c>
    </row>
    <row r="13" spans="1:5" x14ac:dyDescent="0.3">
      <c r="A13" s="16" t="s">
        <v>3787</v>
      </c>
      <c r="B13">
        <v>22</v>
      </c>
    </row>
    <row r="14" spans="1:5" x14ac:dyDescent="0.3">
      <c r="A14" s="16" t="s">
        <v>3823</v>
      </c>
      <c r="B14">
        <v>7</v>
      </c>
    </row>
    <row r="15" spans="1:5" x14ac:dyDescent="0.3">
      <c r="A15" s="16" t="s">
        <v>3891</v>
      </c>
      <c r="B15">
        <v>49</v>
      </c>
    </row>
    <row r="16" spans="1:5" x14ac:dyDescent="0.3">
      <c r="A16" s="16" t="s">
        <v>3777</v>
      </c>
      <c r="B16">
        <v>8</v>
      </c>
    </row>
    <row r="17" spans="1:2" x14ac:dyDescent="0.3">
      <c r="A17" s="16" t="s">
        <v>3854</v>
      </c>
      <c r="B17">
        <v>7</v>
      </c>
    </row>
    <row r="18" spans="1:2" x14ac:dyDescent="0.3">
      <c r="A18" s="16" t="s">
        <v>3831</v>
      </c>
      <c r="B18">
        <v>7</v>
      </c>
    </row>
    <row r="19" spans="1:2" x14ac:dyDescent="0.3">
      <c r="A19" s="16" t="s">
        <v>3778</v>
      </c>
      <c r="B19">
        <v>8</v>
      </c>
    </row>
    <row r="20" spans="1:2" x14ac:dyDescent="0.3">
      <c r="A20" s="16" t="s">
        <v>3845</v>
      </c>
      <c r="B20">
        <v>7</v>
      </c>
    </row>
    <row r="21" spans="1:2" x14ac:dyDescent="0.3">
      <c r="A21" s="16" t="s">
        <v>3836</v>
      </c>
      <c r="B21">
        <v>14</v>
      </c>
    </row>
    <row r="22" spans="1:2" x14ac:dyDescent="0.3">
      <c r="A22" s="16" t="s">
        <v>3843</v>
      </c>
      <c r="B22">
        <v>7</v>
      </c>
    </row>
    <row r="23" spans="1:2" x14ac:dyDescent="0.3">
      <c r="A23" s="16" t="s">
        <v>3784</v>
      </c>
      <c r="B23">
        <v>8</v>
      </c>
    </row>
    <row r="24" spans="1:2" x14ac:dyDescent="0.3">
      <c r="A24" s="16" t="s">
        <v>3820</v>
      </c>
      <c r="B24">
        <v>7</v>
      </c>
    </row>
    <row r="25" spans="1:2" x14ac:dyDescent="0.3">
      <c r="A25" s="16" t="s">
        <v>3848</v>
      </c>
      <c r="B25">
        <v>7</v>
      </c>
    </row>
    <row r="26" spans="1:2" x14ac:dyDescent="0.3">
      <c r="A26" s="16" t="s">
        <v>3885</v>
      </c>
      <c r="B26">
        <v>28</v>
      </c>
    </row>
    <row r="27" spans="1:2" x14ac:dyDescent="0.3">
      <c r="A27" s="16" t="s">
        <v>3798</v>
      </c>
      <c r="B27">
        <v>8</v>
      </c>
    </row>
    <row r="28" spans="1:2" x14ac:dyDescent="0.3">
      <c r="A28" s="16" t="s">
        <v>3797</v>
      </c>
      <c r="B28">
        <v>8</v>
      </c>
    </row>
    <row r="29" spans="1:2" x14ac:dyDescent="0.3">
      <c r="A29" s="16" t="s">
        <v>3856</v>
      </c>
      <c r="B29">
        <v>7</v>
      </c>
    </row>
    <row r="30" spans="1:2" x14ac:dyDescent="0.3">
      <c r="A30" s="16" t="s">
        <v>3755</v>
      </c>
      <c r="B30">
        <v>24</v>
      </c>
    </row>
    <row r="31" spans="1:2" x14ac:dyDescent="0.3">
      <c r="A31" s="16" t="s">
        <v>3912</v>
      </c>
      <c r="B31">
        <v>7</v>
      </c>
    </row>
    <row r="32" spans="1:2" x14ac:dyDescent="0.3">
      <c r="A32" s="16" t="s">
        <v>3917</v>
      </c>
      <c r="B32">
        <v>7</v>
      </c>
    </row>
    <row r="33" spans="1:2" x14ac:dyDescent="0.3">
      <c r="A33" s="16" t="s">
        <v>3790</v>
      </c>
      <c r="B33">
        <v>22</v>
      </c>
    </row>
    <row r="34" spans="1:2" x14ac:dyDescent="0.3">
      <c r="A34" s="16" t="s">
        <v>3899</v>
      </c>
      <c r="B34">
        <v>7</v>
      </c>
    </row>
    <row r="35" spans="1:2" x14ac:dyDescent="0.3">
      <c r="A35" s="16" t="s">
        <v>3838</v>
      </c>
      <c r="B35">
        <v>7</v>
      </c>
    </row>
    <row r="36" spans="1:2" x14ac:dyDescent="0.3">
      <c r="A36" s="16" t="s">
        <v>3829</v>
      </c>
      <c r="B36">
        <v>7</v>
      </c>
    </row>
    <row r="37" spans="1:2" x14ac:dyDescent="0.3">
      <c r="A37" s="16" t="s">
        <v>3771</v>
      </c>
      <c r="B37">
        <v>48</v>
      </c>
    </row>
    <row r="38" spans="1:2" x14ac:dyDescent="0.3">
      <c r="A38" s="16" t="s">
        <v>3867</v>
      </c>
      <c r="B38">
        <v>7</v>
      </c>
    </row>
    <row r="39" spans="1:2" x14ac:dyDescent="0.3">
      <c r="A39" s="16" t="s">
        <v>3768</v>
      </c>
      <c r="B39">
        <v>52</v>
      </c>
    </row>
    <row r="40" spans="1:2" x14ac:dyDescent="0.3">
      <c r="A40" s="16" t="s">
        <v>3877</v>
      </c>
      <c r="B40">
        <v>21</v>
      </c>
    </row>
    <row r="41" spans="1:2" x14ac:dyDescent="0.3">
      <c r="A41" s="16" t="s">
        <v>3741</v>
      </c>
      <c r="B41">
        <v>8</v>
      </c>
    </row>
    <row r="42" spans="1:2" x14ac:dyDescent="0.3">
      <c r="A42" s="16" t="s">
        <v>3821</v>
      </c>
      <c r="B42">
        <v>7</v>
      </c>
    </row>
    <row r="43" spans="1:2" x14ac:dyDescent="0.3">
      <c r="A43" s="16" t="s">
        <v>3752</v>
      </c>
      <c r="B43">
        <v>15</v>
      </c>
    </row>
    <row r="44" spans="1:2" x14ac:dyDescent="0.3">
      <c r="A44" s="16" t="s">
        <v>3748</v>
      </c>
      <c r="B44">
        <v>135</v>
      </c>
    </row>
    <row r="45" spans="1:2" x14ac:dyDescent="0.3">
      <c r="A45" s="16" t="s">
        <v>3727</v>
      </c>
      <c r="B45">
        <v>22</v>
      </c>
    </row>
    <row r="46" spans="1:2" x14ac:dyDescent="0.3">
      <c r="A46" s="16" t="s">
        <v>3795</v>
      </c>
      <c r="B46">
        <v>15</v>
      </c>
    </row>
    <row r="47" spans="1:2" x14ac:dyDescent="0.3">
      <c r="A47" s="16" t="s">
        <v>3779</v>
      </c>
      <c r="B47">
        <v>22</v>
      </c>
    </row>
    <row r="48" spans="1:2" x14ac:dyDescent="0.3">
      <c r="A48" s="16" t="s">
        <v>3927</v>
      </c>
      <c r="B48">
        <v>7</v>
      </c>
    </row>
    <row r="49" spans="1:2" x14ac:dyDescent="0.3">
      <c r="A49" s="16" t="s">
        <v>3793</v>
      </c>
      <c r="B49">
        <v>29</v>
      </c>
    </row>
    <row r="50" spans="1:2" x14ac:dyDescent="0.3">
      <c r="A50" s="16" t="s">
        <v>3770</v>
      </c>
      <c r="B50">
        <v>8</v>
      </c>
    </row>
    <row r="51" spans="1:2" x14ac:dyDescent="0.3">
      <c r="A51" s="16" t="s">
        <v>3839</v>
      </c>
      <c r="B51">
        <v>14</v>
      </c>
    </row>
    <row r="52" spans="1:2" x14ac:dyDescent="0.3">
      <c r="A52" s="16" t="s">
        <v>3737</v>
      </c>
      <c r="B52">
        <v>8</v>
      </c>
    </row>
    <row r="53" spans="1:2" x14ac:dyDescent="0.3">
      <c r="A53" s="16" t="s">
        <v>3803</v>
      </c>
      <c r="B53">
        <v>7</v>
      </c>
    </row>
    <row r="54" spans="1:2" x14ac:dyDescent="0.3">
      <c r="A54" s="16" t="s">
        <v>3789</v>
      </c>
      <c r="B54">
        <v>8</v>
      </c>
    </row>
    <row r="55" spans="1:2" x14ac:dyDescent="0.3">
      <c r="A55" s="16" t="s">
        <v>3861</v>
      </c>
      <c r="B55">
        <v>35</v>
      </c>
    </row>
    <row r="56" spans="1:2" x14ac:dyDescent="0.3">
      <c r="A56" s="16" t="s">
        <v>3800</v>
      </c>
      <c r="B56">
        <v>8</v>
      </c>
    </row>
    <row r="57" spans="1:2" x14ac:dyDescent="0.3">
      <c r="A57" s="16" t="s">
        <v>3739</v>
      </c>
      <c r="B57">
        <v>8</v>
      </c>
    </row>
    <row r="58" spans="1:2" x14ac:dyDescent="0.3">
      <c r="A58" s="16" t="s">
        <v>3781</v>
      </c>
      <c r="B58">
        <v>8</v>
      </c>
    </row>
    <row r="59" spans="1:2" x14ac:dyDescent="0.3">
      <c r="A59" s="16" t="s">
        <v>3810</v>
      </c>
      <c r="B59">
        <v>7</v>
      </c>
    </row>
    <row r="60" spans="1:2" x14ac:dyDescent="0.3">
      <c r="A60" s="16" t="s">
        <v>3905</v>
      </c>
      <c r="B60">
        <v>7</v>
      </c>
    </row>
    <row r="61" spans="1:2" x14ac:dyDescent="0.3">
      <c r="A61" s="16" t="s">
        <v>3859</v>
      </c>
      <c r="B61">
        <v>189</v>
      </c>
    </row>
    <row r="62" spans="1:2" x14ac:dyDescent="0.3">
      <c r="A62" s="16" t="s">
        <v>3750</v>
      </c>
      <c r="B62">
        <v>16</v>
      </c>
    </row>
    <row r="63" spans="1:2" x14ac:dyDescent="0.3">
      <c r="A63" s="16" t="s">
        <v>3747</v>
      </c>
      <c r="B63">
        <v>8</v>
      </c>
    </row>
    <row r="64" spans="1:2" x14ac:dyDescent="0.3">
      <c r="A64" s="16" t="s">
        <v>3744</v>
      </c>
      <c r="B64">
        <v>37</v>
      </c>
    </row>
    <row r="65" spans="1:2" x14ac:dyDescent="0.3">
      <c r="A65" s="16" t="s">
        <v>3853</v>
      </c>
      <c r="B65">
        <v>7</v>
      </c>
    </row>
    <row r="66" spans="1:2" x14ac:dyDescent="0.3">
      <c r="A66" s="16" t="s">
        <v>3812</v>
      </c>
      <c r="B66">
        <v>21</v>
      </c>
    </row>
    <row r="67" spans="1:2" x14ac:dyDescent="0.3">
      <c r="A67" s="16" t="s">
        <v>3730</v>
      </c>
      <c r="B67">
        <v>16</v>
      </c>
    </row>
    <row r="68" spans="1:2" x14ac:dyDescent="0.3">
      <c r="A68" s="16" t="s">
        <v>3858</v>
      </c>
      <c r="B68">
        <v>7</v>
      </c>
    </row>
    <row r="69" spans="1:2" x14ac:dyDescent="0.3">
      <c r="A69" s="16" t="s">
        <v>3822</v>
      </c>
      <c r="B69">
        <v>7</v>
      </c>
    </row>
    <row r="70" spans="1:2" x14ac:dyDescent="0.3">
      <c r="A70" s="16" t="s">
        <v>3807</v>
      </c>
      <c r="B70">
        <v>7</v>
      </c>
    </row>
    <row r="71" spans="1:2" x14ac:dyDescent="0.3">
      <c r="A71" s="16" t="s">
        <v>3815</v>
      </c>
      <c r="B71">
        <v>7</v>
      </c>
    </row>
    <row r="72" spans="1:2" x14ac:dyDescent="0.3">
      <c r="A72" s="16" t="s">
        <v>3864</v>
      </c>
      <c r="B72">
        <v>35</v>
      </c>
    </row>
    <row r="73" spans="1:2" x14ac:dyDescent="0.3">
      <c r="A73" s="16" t="s">
        <v>3785</v>
      </c>
      <c r="B73">
        <v>8</v>
      </c>
    </row>
    <row r="74" spans="1:2" x14ac:dyDescent="0.3">
      <c r="A74" s="16" t="s">
        <v>3872</v>
      </c>
      <c r="B74">
        <v>21</v>
      </c>
    </row>
    <row r="75" spans="1:2" x14ac:dyDescent="0.3">
      <c r="A75" s="16" t="s">
        <v>3895</v>
      </c>
      <c r="B75">
        <v>21</v>
      </c>
    </row>
    <row r="76" spans="1:2" x14ac:dyDescent="0.3">
      <c r="A76" s="16" t="s">
        <v>3961</v>
      </c>
      <c r="B76">
        <v>29</v>
      </c>
    </row>
    <row r="77" spans="1:2" x14ac:dyDescent="0.3">
      <c r="A77" s="16" t="s">
        <v>3936</v>
      </c>
      <c r="B77">
        <v>1465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5CA3-8938-4C47-8B2B-54B0107C56FB}">
  <dimension ref="A2:E5"/>
  <sheetViews>
    <sheetView topLeftCell="E1" workbookViewId="0">
      <selection activeCell="H10" sqref="H10"/>
    </sheetView>
  </sheetViews>
  <sheetFormatPr defaultRowHeight="14.4" x14ac:dyDescent="0.3"/>
  <cols>
    <col min="1" max="1" width="20.6640625" bestFit="1" customWidth="1"/>
    <col min="2" max="2" width="14.77734375" bestFit="1" customWidth="1"/>
    <col min="3" max="3" width="18.88671875" bestFit="1" customWidth="1"/>
    <col min="4" max="5" width="14.6640625" bestFit="1" customWidth="1"/>
  </cols>
  <sheetData>
    <row r="2" spans="1:5" x14ac:dyDescent="0.3">
      <c r="A2" s="15" t="s">
        <v>3935</v>
      </c>
      <c r="B2" t="s">
        <v>3937</v>
      </c>
      <c r="C2" t="s">
        <v>3938</v>
      </c>
      <c r="D2" t="s">
        <v>3962</v>
      </c>
      <c r="E2" t="s">
        <v>3946</v>
      </c>
    </row>
    <row r="3" spans="1:5" x14ac:dyDescent="0.3">
      <c r="A3" s="15" t="s">
        <v>3935</v>
      </c>
      <c r="B3" t="s">
        <v>3979</v>
      </c>
      <c r="C3" t="s">
        <v>3974</v>
      </c>
    </row>
    <row r="4" spans="1:5" x14ac:dyDescent="0.3">
      <c r="A4" s="16" t="s">
        <v>3743</v>
      </c>
      <c r="B4">
        <v>8</v>
      </c>
    </row>
    <row r="5" spans="1:5" x14ac:dyDescent="0.3">
      <c r="A5" s="16" t="s">
        <v>3936</v>
      </c>
      <c r="B5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8145-DD27-4905-9A4E-D018139CE597}">
  <dimension ref="A1:C74"/>
  <sheetViews>
    <sheetView workbookViewId="0">
      <selection sqref="A1:C73"/>
    </sheetView>
  </sheetViews>
  <sheetFormatPr defaultRowHeight="14.4" x14ac:dyDescent="0.3"/>
  <cols>
    <col min="1" max="1" width="26" bestFit="1" customWidth="1"/>
    <col min="2" max="2" width="24.5546875" bestFit="1" customWidth="1"/>
    <col min="3" max="3" width="14.6640625" bestFit="1" customWidth="1"/>
  </cols>
  <sheetData>
    <row r="1" spans="1:3" x14ac:dyDescent="0.3">
      <c r="A1" s="18" t="s">
        <v>3935</v>
      </c>
      <c r="B1" s="18" t="s">
        <v>3938</v>
      </c>
      <c r="C1" s="18" t="s">
        <v>3946</v>
      </c>
    </row>
    <row r="2" spans="1:3" x14ac:dyDescent="0.3">
      <c r="A2" s="16" t="s">
        <v>3729</v>
      </c>
      <c r="B2">
        <v>4271.1643750000003</v>
      </c>
      <c r="C2">
        <v>4.0875000000000004</v>
      </c>
    </row>
    <row r="3" spans="1:3" x14ac:dyDescent="0.3">
      <c r="A3" s="16" t="s">
        <v>3738</v>
      </c>
      <c r="B3">
        <v>10089</v>
      </c>
      <c r="C3">
        <v>4.1500000000000004</v>
      </c>
    </row>
    <row r="4" spans="1:3" x14ac:dyDescent="0.3">
      <c r="A4" s="16" t="s">
        <v>3827</v>
      </c>
      <c r="B4">
        <v>849</v>
      </c>
      <c r="C4">
        <v>4.3</v>
      </c>
    </row>
    <row r="5" spans="1:3" x14ac:dyDescent="0.3">
      <c r="A5" s="16" t="s">
        <v>3920</v>
      </c>
      <c r="B5">
        <v>8990</v>
      </c>
      <c r="C5">
        <v>3.9</v>
      </c>
    </row>
    <row r="6" spans="1:3" x14ac:dyDescent="0.3">
      <c r="A6" s="16" t="s">
        <v>3901</v>
      </c>
      <c r="B6">
        <v>1399</v>
      </c>
      <c r="C6">
        <v>4.4000000000000004</v>
      </c>
    </row>
    <row r="7" spans="1:3" x14ac:dyDescent="0.3">
      <c r="A7" s="16" t="s">
        <v>3816</v>
      </c>
      <c r="B7">
        <v>7961</v>
      </c>
      <c r="C7">
        <v>4.0999999999999996</v>
      </c>
    </row>
    <row r="8" spans="1:3" x14ac:dyDescent="0.3">
      <c r="A8" s="16" t="s">
        <v>3743</v>
      </c>
      <c r="B8">
        <v>13999</v>
      </c>
      <c r="C8">
        <v>4.2</v>
      </c>
    </row>
    <row r="9" spans="1:3" x14ac:dyDescent="0.3">
      <c r="A9" s="16" t="s">
        <v>3725</v>
      </c>
      <c r="B9">
        <v>5307.2</v>
      </c>
      <c r="C9">
        <v>4.2799999999999994</v>
      </c>
    </row>
    <row r="10" spans="1:3" x14ac:dyDescent="0.3">
      <c r="A10" s="16" t="s">
        <v>3787</v>
      </c>
      <c r="B10">
        <v>10192</v>
      </c>
      <c r="C10">
        <v>4.2333333333333334</v>
      </c>
    </row>
    <row r="11" spans="1:3" x14ac:dyDescent="0.3">
      <c r="A11" s="16" t="s">
        <v>3823</v>
      </c>
      <c r="B11">
        <v>18990</v>
      </c>
      <c r="C11">
        <v>4.2</v>
      </c>
    </row>
    <row r="12" spans="1:3" x14ac:dyDescent="0.3">
      <c r="A12" s="16" t="s">
        <v>3891</v>
      </c>
      <c r="B12">
        <v>7242</v>
      </c>
      <c r="C12">
        <v>4.0571428571428569</v>
      </c>
    </row>
    <row r="13" spans="1:3" x14ac:dyDescent="0.3">
      <c r="A13" s="16" t="s">
        <v>3777</v>
      </c>
      <c r="B13">
        <v>1199</v>
      </c>
      <c r="C13">
        <v>4.4000000000000004</v>
      </c>
    </row>
    <row r="14" spans="1:3" x14ac:dyDescent="0.3">
      <c r="A14" s="16" t="s">
        <v>3854</v>
      </c>
      <c r="B14">
        <v>489</v>
      </c>
      <c r="C14">
        <v>4.4000000000000004</v>
      </c>
    </row>
    <row r="15" spans="1:3" x14ac:dyDescent="0.3">
      <c r="A15" s="16" t="s">
        <v>3831</v>
      </c>
      <c r="B15">
        <v>399</v>
      </c>
      <c r="C15">
        <v>4.3</v>
      </c>
    </row>
    <row r="16" spans="1:3" x14ac:dyDescent="0.3">
      <c r="A16" s="16" t="s">
        <v>3778</v>
      </c>
      <c r="B16">
        <v>179</v>
      </c>
      <c r="C16">
        <v>4.2</v>
      </c>
    </row>
    <row r="17" spans="1:3" x14ac:dyDescent="0.3">
      <c r="A17" s="16" t="s">
        <v>3845</v>
      </c>
      <c r="B17">
        <v>1599</v>
      </c>
      <c r="C17">
        <v>4.4000000000000004</v>
      </c>
    </row>
    <row r="18" spans="1:3" x14ac:dyDescent="0.3">
      <c r="A18" s="16" t="s">
        <v>3836</v>
      </c>
      <c r="B18">
        <v>3894.5</v>
      </c>
      <c r="C18">
        <v>4.0999999999999996</v>
      </c>
    </row>
    <row r="19" spans="1:3" x14ac:dyDescent="0.3">
      <c r="A19" s="16" t="s">
        <v>3843</v>
      </c>
      <c r="B19">
        <v>149</v>
      </c>
      <c r="C19">
        <v>4</v>
      </c>
    </row>
    <row r="20" spans="1:3" x14ac:dyDescent="0.3">
      <c r="A20" s="16" t="s">
        <v>3784</v>
      </c>
      <c r="B20">
        <v>230</v>
      </c>
      <c r="C20">
        <v>3.7</v>
      </c>
    </row>
    <row r="21" spans="1:3" x14ac:dyDescent="0.3">
      <c r="A21" s="16" t="s">
        <v>3820</v>
      </c>
      <c r="B21">
        <v>269</v>
      </c>
      <c r="C21">
        <v>3.6</v>
      </c>
    </row>
    <row r="22" spans="1:3" x14ac:dyDescent="0.3">
      <c r="A22" s="16" t="s">
        <v>3848</v>
      </c>
      <c r="B22">
        <v>8499</v>
      </c>
      <c r="C22">
        <v>4.3</v>
      </c>
    </row>
    <row r="23" spans="1:3" x14ac:dyDescent="0.3">
      <c r="A23" s="16" t="s">
        <v>3885</v>
      </c>
      <c r="B23">
        <v>6771</v>
      </c>
      <c r="C23">
        <v>4.2249999999999996</v>
      </c>
    </row>
    <row r="24" spans="1:3" x14ac:dyDescent="0.3">
      <c r="A24" s="16" t="s">
        <v>3798</v>
      </c>
      <c r="B24">
        <v>7999</v>
      </c>
      <c r="C24">
        <v>4.3</v>
      </c>
    </row>
    <row r="25" spans="1:3" x14ac:dyDescent="0.3">
      <c r="A25" s="16" t="s">
        <v>3797</v>
      </c>
      <c r="B25">
        <v>263</v>
      </c>
      <c r="C25">
        <v>4.0999999999999996</v>
      </c>
    </row>
    <row r="26" spans="1:3" x14ac:dyDescent="0.3">
      <c r="A26" s="16" t="s">
        <v>3856</v>
      </c>
      <c r="B26">
        <v>349</v>
      </c>
      <c r="C26">
        <v>4</v>
      </c>
    </row>
    <row r="27" spans="1:3" x14ac:dyDescent="0.3">
      <c r="A27" s="16" t="s">
        <v>3755</v>
      </c>
      <c r="B27">
        <v>4272.666666666667</v>
      </c>
      <c r="C27">
        <v>4.333333333333333</v>
      </c>
    </row>
    <row r="28" spans="1:3" x14ac:dyDescent="0.3">
      <c r="A28" s="16" t="s">
        <v>3912</v>
      </c>
      <c r="B28">
        <v>205</v>
      </c>
      <c r="C28">
        <v>3.8</v>
      </c>
    </row>
    <row r="29" spans="1:3" x14ac:dyDescent="0.3">
      <c r="A29" s="16" t="s">
        <v>3917</v>
      </c>
      <c r="B29">
        <v>499</v>
      </c>
      <c r="C29">
        <v>4.3</v>
      </c>
    </row>
    <row r="30" spans="1:3" x14ac:dyDescent="0.3">
      <c r="A30" s="16" t="s">
        <v>3790</v>
      </c>
      <c r="B30">
        <v>22129.333333333332</v>
      </c>
      <c r="C30">
        <v>4.2666666666666666</v>
      </c>
    </row>
    <row r="31" spans="1:3" x14ac:dyDescent="0.3">
      <c r="A31" s="16" t="s">
        <v>3899</v>
      </c>
      <c r="B31">
        <v>249</v>
      </c>
      <c r="C31">
        <v>4</v>
      </c>
    </row>
    <row r="32" spans="1:3" x14ac:dyDescent="0.3">
      <c r="A32" s="16" t="s">
        <v>3838</v>
      </c>
      <c r="B32">
        <v>273.10000000000002</v>
      </c>
      <c r="C32">
        <v>4.3</v>
      </c>
    </row>
    <row r="33" spans="1:3" x14ac:dyDescent="0.3">
      <c r="A33" s="16" t="s">
        <v>3829</v>
      </c>
      <c r="B33">
        <v>21999</v>
      </c>
      <c r="C33">
        <v>4.2</v>
      </c>
    </row>
    <row r="34" spans="1:3" x14ac:dyDescent="0.3">
      <c r="A34" s="16" t="s">
        <v>3771</v>
      </c>
      <c r="B34">
        <v>281</v>
      </c>
      <c r="C34">
        <v>4.0166666666666666</v>
      </c>
    </row>
    <row r="35" spans="1:3" x14ac:dyDescent="0.3">
      <c r="A35" s="16" t="s">
        <v>3867</v>
      </c>
      <c r="B35">
        <v>349</v>
      </c>
      <c r="C35">
        <v>4.3</v>
      </c>
    </row>
    <row r="36" spans="1:3" x14ac:dyDescent="0.3">
      <c r="A36" s="16" t="s">
        <v>3768</v>
      </c>
      <c r="B36">
        <v>547.57142857142856</v>
      </c>
      <c r="C36">
        <v>4.2142857142857135</v>
      </c>
    </row>
    <row r="37" spans="1:3" x14ac:dyDescent="0.3">
      <c r="A37" s="16" t="s">
        <v>3877</v>
      </c>
      <c r="B37">
        <v>10179.333333333334</v>
      </c>
      <c r="C37">
        <v>4.3666666666666663</v>
      </c>
    </row>
    <row r="38" spans="1:3" x14ac:dyDescent="0.3">
      <c r="A38" s="16" t="s">
        <v>3741</v>
      </c>
      <c r="B38">
        <v>349</v>
      </c>
      <c r="C38">
        <v>4.4000000000000004</v>
      </c>
    </row>
    <row r="39" spans="1:3" x14ac:dyDescent="0.3">
      <c r="A39" s="16" t="s">
        <v>3821</v>
      </c>
      <c r="B39">
        <v>299</v>
      </c>
      <c r="C39">
        <v>4.2</v>
      </c>
    </row>
    <row r="40" spans="1:3" x14ac:dyDescent="0.3">
      <c r="A40" s="16" t="s">
        <v>3752</v>
      </c>
      <c r="B40">
        <v>6890</v>
      </c>
      <c r="C40">
        <v>4</v>
      </c>
    </row>
    <row r="41" spans="1:3" x14ac:dyDescent="0.3">
      <c r="A41" s="16" t="s">
        <v>3748</v>
      </c>
      <c r="B41">
        <v>3220.8823529411766</v>
      </c>
      <c r="C41">
        <v>4.1823529411764699</v>
      </c>
    </row>
    <row r="42" spans="1:3" x14ac:dyDescent="0.3">
      <c r="A42" s="16" t="s">
        <v>3727</v>
      </c>
      <c r="B42">
        <v>7129.333333333333</v>
      </c>
      <c r="C42">
        <v>4.0666666666666664</v>
      </c>
    </row>
    <row r="43" spans="1:3" x14ac:dyDescent="0.3">
      <c r="A43" s="16" t="s">
        <v>3795</v>
      </c>
      <c r="B43">
        <v>18999</v>
      </c>
      <c r="C43">
        <v>4.25</v>
      </c>
    </row>
    <row r="44" spans="1:3" x14ac:dyDescent="0.3">
      <c r="A44" s="16" t="s">
        <v>3779</v>
      </c>
      <c r="B44">
        <v>404.33333333333331</v>
      </c>
      <c r="C44">
        <v>4.1000000000000005</v>
      </c>
    </row>
    <row r="45" spans="1:3" x14ac:dyDescent="0.3">
      <c r="A45" s="16" t="s">
        <v>3927</v>
      </c>
      <c r="B45">
        <v>139</v>
      </c>
      <c r="C45">
        <v>3.9</v>
      </c>
    </row>
    <row r="46" spans="1:3" x14ac:dyDescent="0.3">
      <c r="A46" s="16" t="s">
        <v>3793</v>
      </c>
      <c r="B46">
        <v>863</v>
      </c>
      <c r="C46">
        <v>3.9249999999999998</v>
      </c>
    </row>
    <row r="47" spans="1:3" x14ac:dyDescent="0.3">
      <c r="A47" s="16" t="s">
        <v>3770</v>
      </c>
      <c r="B47">
        <v>59</v>
      </c>
      <c r="C47">
        <v>4</v>
      </c>
    </row>
    <row r="48" spans="1:3" x14ac:dyDescent="0.3">
      <c r="A48" s="16" t="s">
        <v>3839</v>
      </c>
      <c r="B48">
        <v>8109</v>
      </c>
      <c r="C48">
        <v>4.05</v>
      </c>
    </row>
    <row r="49" spans="1:3" x14ac:dyDescent="0.3">
      <c r="A49" s="16" t="s">
        <v>3737</v>
      </c>
      <c r="B49">
        <v>154</v>
      </c>
      <c r="C49">
        <v>4.3</v>
      </c>
    </row>
    <row r="50" spans="1:3" x14ac:dyDescent="0.3">
      <c r="A50" s="16" t="s">
        <v>3803</v>
      </c>
      <c r="B50">
        <v>399</v>
      </c>
      <c r="C50">
        <v>4.0999999999999996</v>
      </c>
    </row>
    <row r="51" spans="1:3" x14ac:dyDescent="0.3">
      <c r="A51" s="16" t="s">
        <v>3789</v>
      </c>
      <c r="B51">
        <v>154</v>
      </c>
      <c r="C51">
        <v>4.3</v>
      </c>
    </row>
    <row r="52" spans="1:3" x14ac:dyDescent="0.3">
      <c r="A52" s="16" t="s">
        <v>3861</v>
      </c>
      <c r="B52">
        <v>6534.4</v>
      </c>
      <c r="C52">
        <v>3.9799999999999995</v>
      </c>
    </row>
    <row r="53" spans="1:3" x14ac:dyDescent="0.3">
      <c r="A53" s="16" t="s">
        <v>3800</v>
      </c>
      <c r="B53">
        <v>219</v>
      </c>
      <c r="C53">
        <v>4.3</v>
      </c>
    </row>
    <row r="54" spans="1:3" x14ac:dyDescent="0.3">
      <c r="A54" s="16" t="s">
        <v>3739</v>
      </c>
      <c r="B54">
        <v>219</v>
      </c>
      <c r="C54">
        <v>4.4000000000000004</v>
      </c>
    </row>
    <row r="55" spans="1:3" x14ac:dyDescent="0.3">
      <c r="A55" s="16" t="s">
        <v>3781</v>
      </c>
      <c r="B55">
        <v>6999</v>
      </c>
      <c r="C55">
        <v>4.2</v>
      </c>
    </row>
    <row r="56" spans="1:3" x14ac:dyDescent="0.3">
      <c r="A56" s="16" t="s">
        <v>3810</v>
      </c>
      <c r="B56">
        <v>7299</v>
      </c>
      <c r="C56">
        <v>3.4</v>
      </c>
    </row>
    <row r="57" spans="1:3" x14ac:dyDescent="0.3">
      <c r="A57" s="16" t="s">
        <v>3905</v>
      </c>
      <c r="B57">
        <v>325</v>
      </c>
      <c r="C57">
        <v>4.3</v>
      </c>
    </row>
    <row r="58" spans="1:3" x14ac:dyDescent="0.3">
      <c r="A58" s="16" t="s">
        <v>3859</v>
      </c>
      <c r="B58">
        <v>1496.9959259259258</v>
      </c>
      <c r="C58">
        <v>4.1222222222222209</v>
      </c>
    </row>
    <row r="59" spans="1:3" x14ac:dyDescent="0.3">
      <c r="A59" s="16" t="s">
        <v>3750</v>
      </c>
      <c r="B59">
        <v>169</v>
      </c>
      <c r="C59">
        <v>3.85</v>
      </c>
    </row>
    <row r="60" spans="1:3" x14ac:dyDescent="0.3">
      <c r="A60" s="16" t="s">
        <v>3747</v>
      </c>
      <c r="B60">
        <v>13490</v>
      </c>
      <c r="C60">
        <v>4.3</v>
      </c>
    </row>
    <row r="61" spans="1:3" x14ac:dyDescent="0.3">
      <c r="A61" s="16" t="s">
        <v>3744</v>
      </c>
      <c r="B61">
        <v>298.60000000000002</v>
      </c>
      <c r="C61">
        <v>4.0600000000000005</v>
      </c>
    </row>
    <row r="62" spans="1:3" x14ac:dyDescent="0.3">
      <c r="A62" s="16" t="s">
        <v>3853</v>
      </c>
      <c r="B62">
        <v>9999</v>
      </c>
      <c r="C62">
        <v>4.2</v>
      </c>
    </row>
    <row r="63" spans="1:3" x14ac:dyDescent="0.3">
      <c r="A63" s="16" t="s">
        <v>3812</v>
      </c>
      <c r="B63">
        <v>249</v>
      </c>
      <c r="C63">
        <v>4.2</v>
      </c>
    </row>
    <row r="64" spans="1:3" x14ac:dyDescent="0.3">
      <c r="A64" s="16" t="s">
        <v>3730</v>
      </c>
      <c r="B64">
        <v>239</v>
      </c>
      <c r="C64">
        <v>4.05</v>
      </c>
    </row>
    <row r="65" spans="1:3" x14ac:dyDescent="0.3">
      <c r="A65" s="16" t="s">
        <v>3858</v>
      </c>
      <c r="B65">
        <v>179</v>
      </c>
      <c r="C65">
        <v>3.9</v>
      </c>
    </row>
    <row r="66" spans="1:3" x14ac:dyDescent="0.3">
      <c r="A66" s="16" t="s">
        <v>3822</v>
      </c>
      <c r="B66">
        <v>199</v>
      </c>
      <c r="C66">
        <v>4.0999999999999996</v>
      </c>
    </row>
    <row r="67" spans="1:3" x14ac:dyDescent="0.3">
      <c r="A67" s="16" t="s">
        <v>3807</v>
      </c>
      <c r="B67">
        <v>399</v>
      </c>
      <c r="C67">
        <v>4.2</v>
      </c>
    </row>
    <row r="68" spans="1:3" x14ac:dyDescent="0.3">
      <c r="A68" s="16" t="s">
        <v>3815</v>
      </c>
      <c r="B68">
        <v>27999</v>
      </c>
      <c r="C68">
        <v>4.3</v>
      </c>
    </row>
    <row r="69" spans="1:3" x14ac:dyDescent="0.3">
      <c r="A69" s="16" t="s">
        <v>3864</v>
      </c>
      <c r="B69">
        <v>3708.4</v>
      </c>
      <c r="C69">
        <v>4.08</v>
      </c>
    </row>
    <row r="70" spans="1:3" x14ac:dyDescent="0.3">
      <c r="A70" s="16" t="s">
        <v>3785</v>
      </c>
      <c r="B70">
        <v>649</v>
      </c>
      <c r="C70">
        <v>4.2</v>
      </c>
    </row>
    <row r="71" spans="1:3" x14ac:dyDescent="0.3">
      <c r="A71" s="16" t="s">
        <v>3872</v>
      </c>
      <c r="B71">
        <v>3638</v>
      </c>
      <c r="C71">
        <v>4.2</v>
      </c>
    </row>
    <row r="72" spans="1:3" x14ac:dyDescent="0.3">
      <c r="A72" s="16" t="s">
        <v>3895</v>
      </c>
      <c r="B72">
        <v>11245.666666666666</v>
      </c>
      <c r="C72">
        <v>4.166666666666667</v>
      </c>
    </row>
    <row r="73" spans="1:3" x14ac:dyDescent="0.3">
      <c r="B73">
        <v>2955.2612677165353</v>
      </c>
      <c r="C73">
        <v>4.0908589440504386</v>
      </c>
    </row>
    <row r="74" spans="1:3" x14ac:dyDescent="0.3">
      <c r="C74" s="20">
        <v>4.0965846994535662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08C8-2A31-4E98-89A5-83BCE627C5DD}">
  <dimension ref="A1:G117"/>
  <sheetViews>
    <sheetView topLeftCell="C43" zoomScale="103" workbookViewId="0">
      <selection activeCell="F45" sqref="F45"/>
    </sheetView>
  </sheetViews>
  <sheetFormatPr defaultRowHeight="14.4" x14ac:dyDescent="0.3"/>
  <cols>
    <col min="1" max="1" width="35.88671875" bestFit="1" customWidth="1"/>
    <col min="2" max="2" width="28.44140625" bestFit="1" customWidth="1"/>
    <col min="3" max="3" width="20.6640625" bestFit="1" customWidth="1"/>
    <col min="6" max="6" width="26.33203125" bestFit="1" customWidth="1"/>
    <col min="7" max="8" width="15.109375" bestFit="1" customWidth="1"/>
    <col min="9" max="9" width="22.44140625" bestFit="1" customWidth="1"/>
  </cols>
  <sheetData>
    <row r="1" spans="1:2" x14ac:dyDescent="0.3">
      <c r="A1" s="15" t="s">
        <v>3935</v>
      </c>
      <c r="B1" t="s">
        <v>3962</v>
      </c>
    </row>
    <row r="2" spans="1:2" x14ac:dyDescent="0.3">
      <c r="A2" s="16" t="s">
        <v>3743</v>
      </c>
      <c r="B2">
        <v>0.47</v>
      </c>
    </row>
    <row r="3" spans="1:2" x14ac:dyDescent="0.3">
      <c r="A3" s="16" t="s">
        <v>3936</v>
      </c>
      <c r="B3">
        <v>0.47</v>
      </c>
    </row>
    <row r="44" spans="6:7" x14ac:dyDescent="0.3">
      <c r="F44" s="15" t="s">
        <v>3935</v>
      </c>
      <c r="G44" t="s">
        <v>3946</v>
      </c>
    </row>
    <row r="45" spans="6:7" x14ac:dyDescent="0.3">
      <c r="F45" s="16" t="s">
        <v>3729</v>
      </c>
      <c r="G45">
        <v>4.1227642276422767</v>
      </c>
    </row>
    <row r="46" spans="6:7" x14ac:dyDescent="0.3">
      <c r="F46" s="16" t="s">
        <v>3738</v>
      </c>
      <c r="G46">
        <v>3.9333333333333322</v>
      </c>
    </row>
    <row r="47" spans="6:7" x14ac:dyDescent="0.3">
      <c r="F47" s="16" t="s">
        <v>3827</v>
      </c>
      <c r="G47">
        <v>4.1428571428571432</v>
      </c>
    </row>
    <row r="48" spans="6:7" x14ac:dyDescent="0.3">
      <c r="F48" s="16" t="s">
        <v>3920</v>
      </c>
      <c r="G48">
        <v>3.9714285714285715</v>
      </c>
    </row>
    <row r="49" spans="6:7" x14ac:dyDescent="0.3">
      <c r="F49" s="16" t="s">
        <v>3901</v>
      </c>
      <c r="G49">
        <v>4.2285714285714286</v>
      </c>
    </row>
    <row r="50" spans="6:7" x14ac:dyDescent="0.3">
      <c r="F50" s="16" t="s">
        <v>3816</v>
      </c>
      <c r="G50">
        <v>4.0500000000000007</v>
      </c>
    </row>
    <row r="51" spans="6:7" x14ac:dyDescent="0.3">
      <c r="F51" s="16" t="s">
        <v>3743</v>
      </c>
      <c r="G51">
        <v>4.0625</v>
      </c>
    </row>
    <row r="52" spans="6:7" x14ac:dyDescent="0.3">
      <c r="F52" s="16" t="s">
        <v>3725</v>
      </c>
      <c r="G52">
        <v>4.102631578947368</v>
      </c>
    </row>
    <row r="53" spans="6:7" x14ac:dyDescent="0.3">
      <c r="F53" s="16" t="s">
        <v>3787</v>
      </c>
      <c r="G53">
        <v>4.1428571428571432</v>
      </c>
    </row>
    <row r="54" spans="6:7" x14ac:dyDescent="0.3">
      <c r="F54" s="16" t="s">
        <v>3823</v>
      </c>
      <c r="G54">
        <v>4.0142857142857142</v>
      </c>
    </row>
    <row r="55" spans="6:7" x14ac:dyDescent="0.3">
      <c r="F55" s="16" t="s">
        <v>3891</v>
      </c>
      <c r="G55">
        <v>4.1326530612244907</v>
      </c>
    </row>
    <row r="56" spans="6:7" x14ac:dyDescent="0.3">
      <c r="F56" s="16" t="s">
        <v>3777</v>
      </c>
      <c r="G56">
        <v>4.1500000000000004</v>
      </c>
    </row>
    <row r="57" spans="6:7" x14ac:dyDescent="0.3">
      <c r="F57" s="16" t="s">
        <v>3854</v>
      </c>
      <c r="G57">
        <v>4.1857142857142859</v>
      </c>
    </row>
    <row r="58" spans="6:7" x14ac:dyDescent="0.3">
      <c r="F58" s="16" t="s">
        <v>3831</v>
      </c>
      <c r="G58">
        <v>4.2285714285714286</v>
      </c>
    </row>
    <row r="59" spans="6:7" x14ac:dyDescent="0.3">
      <c r="F59" s="16" t="s">
        <v>3778</v>
      </c>
      <c r="G59">
        <v>4.0625</v>
      </c>
    </row>
    <row r="60" spans="6:7" x14ac:dyDescent="0.3">
      <c r="F60" s="16" t="s">
        <v>3845</v>
      </c>
      <c r="G60">
        <v>3.9857142857142853</v>
      </c>
    </row>
    <row r="61" spans="6:7" x14ac:dyDescent="0.3">
      <c r="F61" s="16" t="s">
        <v>3836</v>
      </c>
      <c r="G61">
        <v>4.0714285714285712</v>
      </c>
    </row>
    <row r="62" spans="6:7" x14ac:dyDescent="0.3">
      <c r="F62" s="16" t="s">
        <v>3843</v>
      </c>
      <c r="G62">
        <v>3.9571428571428577</v>
      </c>
    </row>
    <row r="63" spans="6:7" x14ac:dyDescent="0.3">
      <c r="F63" s="16" t="s">
        <v>3784</v>
      </c>
      <c r="G63">
        <v>3.9625000000000004</v>
      </c>
    </row>
    <row r="64" spans="6:7" x14ac:dyDescent="0.3">
      <c r="F64" s="16" t="s">
        <v>3820</v>
      </c>
      <c r="G64">
        <v>4.2142857142857135</v>
      </c>
    </row>
    <row r="65" spans="6:7" x14ac:dyDescent="0.3">
      <c r="F65" s="16" t="s">
        <v>3848</v>
      </c>
      <c r="G65">
        <v>4.0999999999999996</v>
      </c>
    </row>
    <row r="66" spans="6:7" x14ac:dyDescent="0.3">
      <c r="F66" s="16" t="s">
        <v>3885</v>
      </c>
      <c r="G66">
        <v>4.0964285714285715</v>
      </c>
    </row>
    <row r="67" spans="6:7" x14ac:dyDescent="0.3">
      <c r="F67" s="16" t="s">
        <v>3798</v>
      </c>
      <c r="G67">
        <v>4.0500000000000007</v>
      </c>
    </row>
    <row r="68" spans="6:7" x14ac:dyDescent="0.3">
      <c r="F68" s="16" t="s">
        <v>3797</v>
      </c>
      <c r="G68">
        <v>4.0874999999999995</v>
      </c>
    </row>
    <row r="69" spans="6:7" x14ac:dyDescent="0.3">
      <c r="F69" s="16" t="s">
        <v>3856</v>
      </c>
      <c r="G69">
        <v>4.2142857142857135</v>
      </c>
    </row>
    <row r="70" spans="6:7" x14ac:dyDescent="0.3">
      <c r="F70" s="16" t="s">
        <v>3755</v>
      </c>
      <c r="G70">
        <v>4.083333333333333</v>
      </c>
    </row>
    <row r="71" spans="6:7" x14ac:dyDescent="0.3">
      <c r="F71" s="16" t="s">
        <v>3912</v>
      </c>
      <c r="G71">
        <v>3.9857142857142853</v>
      </c>
    </row>
    <row r="72" spans="6:7" x14ac:dyDescent="0.3">
      <c r="F72" s="16" t="s">
        <v>3917</v>
      </c>
      <c r="G72">
        <v>4.0714285714285712</v>
      </c>
    </row>
    <row r="73" spans="6:7" x14ac:dyDescent="0.3">
      <c r="F73" s="16" t="s">
        <v>3790</v>
      </c>
      <c r="G73">
        <v>4.1181818181818173</v>
      </c>
    </row>
    <row r="74" spans="6:7" x14ac:dyDescent="0.3">
      <c r="F74" s="16" t="s">
        <v>3899</v>
      </c>
      <c r="G74">
        <v>4.0428571428571427</v>
      </c>
    </row>
    <row r="75" spans="6:7" x14ac:dyDescent="0.3">
      <c r="F75" s="16" t="s">
        <v>3838</v>
      </c>
      <c r="G75">
        <v>4.2</v>
      </c>
    </row>
    <row r="76" spans="6:7" x14ac:dyDescent="0.3">
      <c r="F76" s="16" t="s">
        <v>3829</v>
      </c>
      <c r="G76">
        <v>4.1285714285714281</v>
      </c>
    </row>
    <row r="77" spans="6:7" x14ac:dyDescent="0.3">
      <c r="F77" s="16" t="s">
        <v>3771</v>
      </c>
      <c r="G77">
        <v>4.072916666666667</v>
      </c>
    </row>
    <row r="78" spans="6:7" x14ac:dyDescent="0.3">
      <c r="F78" s="16" t="s">
        <v>3867</v>
      </c>
      <c r="G78">
        <v>4.1714285714285717</v>
      </c>
    </row>
    <row r="79" spans="6:7" x14ac:dyDescent="0.3">
      <c r="F79" s="16" t="s">
        <v>3768</v>
      </c>
      <c r="G79">
        <v>4.1230769230769235</v>
      </c>
    </row>
    <row r="80" spans="6:7" x14ac:dyDescent="0.3">
      <c r="F80" s="16" t="s">
        <v>3877</v>
      </c>
      <c r="G80">
        <v>4.1809523809523812</v>
      </c>
    </row>
    <row r="81" spans="6:7" x14ac:dyDescent="0.3">
      <c r="F81" s="16" t="s">
        <v>3741</v>
      </c>
      <c r="G81">
        <v>4.0999999999999996</v>
      </c>
    </row>
    <row r="82" spans="6:7" x14ac:dyDescent="0.3">
      <c r="F82" s="16" t="s">
        <v>3821</v>
      </c>
      <c r="G82">
        <v>3.9571428571428577</v>
      </c>
    </row>
    <row r="83" spans="6:7" x14ac:dyDescent="0.3">
      <c r="F83" s="16" t="s">
        <v>3752</v>
      </c>
      <c r="G83">
        <v>4.1399999999999997</v>
      </c>
    </row>
    <row r="84" spans="6:7" x14ac:dyDescent="0.3">
      <c r="F84" s="16" t="s">
        <v>3748</v>
      </c>
      <c r="G84">
        <v>4.1111111111111107</v>
      </c>
    </row>
    <row r="85" spans="6:7" x14ac:dyDescent="0.3">
      <c r="F85" s="16" t="s">
        <v>3727</v>
      </c>
      <c r="G85">
        <v>4.0863636363636369</v>
      </c>
    </row>
    <row r="86" spans="6:7" x14ac:dyDescent="0.3">
      <c r="F86" s="16" t="s">
        <v>3795</v>
      </c>
      <c r="G86">
        <v>3.9666666666666668</v>
      </c>
    </row>
    <row r="87" spans="6:7" x14ac:dyDescent="0.3">
      <c r="F87" s="16" t="s">
        <v>3779</v>
      </c>
      <c r="G87">
        <v>4.081818181818182</v>
      </c>
    </row>
    <row r="88" spans="6:7" x14ac:dyDescent="0.3">
      <c r="F88" s="16" t="s">
        <v>3927</v>
      </c>
      <c r="G88">
        <v>4.3142857142857141</v>
      </c>
    </row>
    <row r="89" spans="6:7" x14ac:dyDescent="0.3">
      <c r="F89" s="16" t="s">
        <v>3793</v>
      </c>
      <c r="G89">
        <v>3.9931034482758618</v>
      </c>
    </row>
    <row r="90" spans="6:7" x14ac:dyDescent="0.3">
      <c r="F90" s="16" t="s">
        <v>3770</v>
      </c>
      <c r="G90">
        <v>4.1375000000000002</v>
      </c>
    </row>
    <row r="91" spans="6:7" x14ac:dyDescent="0.3">
      <c r="F91" s="16" t="s">
        <v>3839</v>
      </c>
      <c r="G91">
        <v>4.0285714285714285</v>
      </c>
    </row>
    <row r="92" spans="6:7" x14ac:dyDescent="0.3">
      <c r="F92" s="16" t="s">
        <v>3737</v>
      </c>
      <c r="G92">
        <v>3.9750000000000005</v>
      </c>
    </row>
    <row r="93" spans="6:7" x14ac:dyDescent="0.3">
      <c r="F93" s="16" t="s">
        <v>3803</v>
      </c>
      <c r="G93">
        <v>3.9857142857142853</v>
      </c>
    </row>
    <row r="94" spans="6:7" x14ac:dyDescent="0.3">
      <c r="F94" s="16" t="s">
        <v>3789</v>
      </c>
      <c r="G94">
        <v>4.1124999999999998</v>
      </c>
    </row>
    <row r="95" spans="6:7" x14ac:dyDescent="0.3">
      <c r="F95" s="16" t="s">
        <v>3861</v>
      </c>
      <c r="G95">
        <v>4.0199999999999987</v>
      </c>
    </row>
    <row r="96" spans="6:7" x14ac:dyDescent="0.3">
      <c r="F96" s="16" t="s">
        <v>3800</v>
      </c>
      <c r="G96">
        <v>4.0250000000000004</v>
      </c>
    </row>
    <row r="97" spans="6:7" x14ac:dyDescent="0.3">
      <c r="F97" s="16" t="s">
        <v>3739</v>
      </c>
      <c r="G97">
        <v>4.1375000000000002</v>
      </c>
    </row>
    <row r="98" spans="6:7" x14ac:dyDescent="0.3">
      <c r="F98" s="16" t="s">
        <v>3781</v>
      </c>
      <c r="G98">
        <v>4.0500000000000007</v>
      </c>
    </row>
    <row r="99" spans="6:7" x14ac:dyDescent="0.3">
      <c r="F99" s="16" t="s">
        <v>3810</v>
      </c>
      <c r="G99">
        <v>4.0142857142857142</v>
      </c>
    </row>
    <row r="100" spans="6:7" x14ac:dyDescent="0.3">
      <c r="F100" s="16" t="s">
        <v>3905</v>
      </c>
      <c r="G100">
        <v>4.1714285714285717</v>
      </c>
    </row>
    <row r="101" spans="6:7" x14ac:dyDescent="0.3">
      <c r="F101" s="16" t="s">
        <v>3859</v>
      </c>
      <c r="G101">
        <v>4.1243386243386269</v>
      </c>
    </row>
    <row r="102" spans="6:7" x14ac:dyDescent="0.3">
      <c r="F102" s="16" t="s">
        <v>3750</v>
      </c>
      <c r="G102">
        <v>4.1125000000000007</v>
      </c>
    </row>
    <row r="103" spans="6:7" x14ac:dyDescent="0.3">
      <c r="F103" s="16" t="s">
        <v>3747</v>
      </c>
      <c r="G103">
        <v>4.2374999999999998</v>
      </c>
    </row>
    <row r="104" spans="6:7" x14ac:dyDescent="0.3">
      <c r="F104" s="16" t="s">
        <v>3744</v>
      </c>
      <c r="G104">
        <v>4.0594594594594602</v>
      </c>
    </row>
    <row r="105" spans="6:7" x14ac:dyDescent="0.3">
      <c r="F105" s="16" t="s">
        <v>3853</v>
      </c>
      <c r="G105">
        <v>4.1714285714285717</v>
      </c>
    </row>
    <row r="106" spans="6:7" x14ac:dyDescent="0.3">
      <c r="F106" s="16" t="s">
        <v>3812</v>
      </c>
      <c r="G106">
        <v>4.0380952380952371</v>
      </c>
    </row>
    <row r="107" spans="6:7" x14ac:dyDescent="0.3">
      <c r="F107" s="16" t="s">
        <v>3730</v>
      </c>
      <c r="G107">
        <v>4.1187500000000004</v>
      </c>
    </row>
    <row r="108" spans="6:7" x14ac:dyDescent="0.3">
      <c r="F108" s="16" t="s">
        <v>3858</v>
      </c>
      <c r="G108">
        <v>4.0285714285714294</v>
      </c>
    </row>
    <row r="109" spans="6:7" x14ac:dyDescent="0.3">
      <c r="F109" s="16" t="s">
        <v>3822</v>
      </c>
      <c r="G109">
        <v>4</v>
      </c>
    </row>
    <row r="110" spans="6:7" x14ac:dyDescent="0.3">
      <c r="F110" s="16" t="s">
        <v>3807</v>
      </c>
      <c r="G110">
        <v>4.0999999999999996</v>
      </c>
    </row>
    <row r="111" spans="6:7" x14ac:dyDescent="0.3">
      <c r="F111" s="16" t="s">
        <v>3815</v>
      </c>
      <c r="G111">
        <v>4.2</v>
      </c>
    </row>
    <row r="112" spans="6:7" x14ac:dyDescent="0.3">
      <c r="F112" s="16" t="s">
        <v>3864</v>
      </c>
      <c r="G112">
        <v>4.105714285714285</v>
      </c>
    </row>
    <row r="113" spans="6:7" x14ac:dyDescent="0.3">
      <c r="F113" s="16" t="s">
        <v>3785</v>
      </c>
      <c r="G113">
        <v>4.0999999999999996</v>
      </c>
    </row>
    <row r="114" spans="6:7" x14ac:dyDescent="0.3">
      <c r="F114" s="16" t="s">
        <v>3872</v>
      </c>
      <c r="G114">
        <v>4.0047619047619047</v>
      </c>
    </row>
    <row r="115" spans="6:7" x14ac:dyDescent="0.3">
      <c r="F115" s="16" t="s">
        <v>3895</v>
      </c>
      <c r="G115">
        <v>4.0761904761904759</v>
      </c>
    </row>
    <row r="116" spans="6:7" x14ac:dyDescent="0.3">
      <c r="F116" s="16" t="s">
        <v>3961</v>
      </c>
      <c r="G116">
        <v>4.1448275862068957</v>
      </c>
    </row>
    <row r="117" spans="6:7" x14ac:dyDescent="0.3">
      <c r="F117" s="16" t="s">
        <v>3936</v>
      </c>
      <c r="G117">
        <v>4.096584699453552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C118-0CA9-440B-BD31-EBBEBD835CEE}">
  <dimension ref="A1:B74"/>
  <sheetViews>
    <sheetView workbookViewId="0">
      <selection activeCell="B6" sqref="B6"/>
    </sheetView>
  </sheetViews>
  <sheetFormatPr defaultRowHeight="14.4" x14ac:dyDescent="0.3"/>
  <cols>
    <col min="1" max="1" width="26" bestFit="1" customWidth="1"/>
    <col min="2" max="2" width="24.5546875" bestFit="1" customWidth="1"/>
  </cols>
  <sheetData>
    <row r="1" spans="1:2" x14ac:dyDescent="0.3">
      <c r="A1" s="15" t="s">
        <v>3935</v>
      </c>
      <c r="B1" t="s">
        <v>3938</v>
      </c>
    </row>
    <row r="2" spans="1:2" x14ac:dyDescent="0.3">
      <c r="A2" s="16" t="s">
        <v>3729</v>
      </c>
      <c r="B2">
        <v>2817.6446341463411</v>
      </c>
    </row>
    <row r="3" spans="1:2" x14ac:dyDescent="0.3">
      <c r="A3" s="16" t="s">
        <v>3738</v>
      </c>
      <c r="B3">
        <v>2594.8000000000002</v>
      </c>
    </row>
    <row r="4" spans="1:2" x14ac:dyDescent="0.3">
      <c r="A4" s="16" t="s">
        <v>3827</v>
      </c>
      <c r="B4">
        <v>3210.7142857142858</v>
      </c>
    </row>
    <row r="5" spans="1:2" x14ac:dyDescent="0.3">
      <c r="A5" s="16" t="s">
        <v>3920</v>
      </c>
      <c r="B5">
        <v>5144.8571428571431</v>
      </c>
    </row>
    <row r="6" spans="1:2" x14ac:dyDescent="0.3">
      <c r="A6" s="16" t="s">
        <v>3901</v>
      </c>
      <c r="B6">
        <v>6257.2857142857147</v>
      </c>
    </row>
    <row r="7" spans="1:2" x14ac:dyDescent="0.3">
      <c r="A7" s="16" t="s">
        <v>3816</v>
      </c>
      <c r="B7">
        <v>4313.6071428571431</v>
      </c>
    </row>
    <row r="8" spans="1:2" x14ac:dyDescent="0.3">
      <c r="A8" s="16" t="s">
        <v>3743</v>
      </c>
      <c r="B8">
        <v>4222.625</v>
      </c>
    </row>
    <row r="9" spans="1:2" x14ac:dyDescent="0.3">
      <c r="A9" s="16" t="s">
        <v>3725</v>
      </c>
      <c r="B9">
        <v>3509.2105263157896</v>
      </c>
    </row>
    <row r="10" spans="1:2" x14ac:dyDescent="0.3">
      <c r="A10" s="16" t="s">
        <v>3787</v>
      </c>
      <c r="B10">
        <v>5901.136363636364</v>
      </c>
    </row>
    <row r="11" spans="1:2" x14ac:dyDescent="0.3">
      <c r="A11" s="16" t="s">
        <v>3823</v>
      </c>
      <c r="B11">
        <v>4237.1428571428569</v>
      </c>
    </row>
    <row r="12" spans="1:2" x14ac:dyDescent="0.3">
      <c r="A12" s="16" t="s">
        <v>3891</v>
      </c>
      <c r="B12">
        <v>2213.591836734694</v>
      </c>
    </row>
    <row r="13" spans="1:2" x14ac:dyDescent="0.3">
      <c r="A13" s="16" t="s">
        <v>3777</v>
      </c>
      <c r="B13">
        <v>11555.5</v>
      </c>
    </row>
    <row r="14" spans="1:2" x14ac:dyDescent="0.3">
      <c r="A14" s="16" t="s">
        <v>3854</v>
      </c>
      <c r="B14">
        <v>660</v>
      </c>
    </row>
    <row r="15" spans="1:2" x14ac:dyDescent="0.3">
      <c r="A15" s="16" t="s">
        <v>3831</v>
      </c>
      <c r="B15">
        <v>1355.5714285714287</v>
      </c>
    </row>
    <row r="16" spans="1:2" x14ac:dyDescent="0.3">
      <c r="A16" s="16" t="s">
        <v>3778</v>
      </c>
      <c r="B16">
        <v>1596.375</v>
      </c>
    </row>
    <row r="17" spans="1:2" x14ac:dyDescent="0.3">
      <c r="A17" s="16" t="s">
        <v>3845</v>
      </c>
      <c r="B17">
        <v>617.28571428571433</v>
      </c>
    </row>
    <row r="18" spans="1:2" x14ac:dyDescent="0.3">
      <c r="A18" s="16" t="s">
        <v>3836</v>
      </c>
      <c r="B18">
        <v>2516.4285714285716</v>
      </c>
    </row>
    <row r="19" spans="1:2" x14ac:dyDescent="0.3">
      <c r="A19" s="16" t="s">
        <v>3843</v>
      </c>
      <c r="B19">
        <v>1620</v>
      </c>
    </row>
    <row r="20" spans="1:2" x14ac:dyDescent="0.3">
      <c r="A20" s="16" t="s">
        <v>3784</v>
      </c>
      <c r="B20">
        <v>3293.625</v>
      </c>
    </row>
    <row r="21" spans="1:2" x14ac:dyDescent="0.3">
      <c r="A21" s="16" t="s">
        <v>3820</v>
      </c>
      <c r="B21">
        <v>973.14285714285711</v>
      </c>
    </row>
    <row r="22" spans="1:2" x14ac:dyDescent="0.3">
      <c r="A22" s="16" t="s">
        <v>3848</v>
      </c>
      <c r="B22">
        <v>4034</v>
      </c>
    </row>
    <row r="23" spans="1:2" x14ac:dyDescent="0.3">
      <c r="A23" s="16" t="s">
        <v>3885</v>
      </c>
      <c r="B23">
        <v>2464.9217857142858</v>
      </c>
    </row>
    <row r="24" spans="1:2" x14ac:dyDescent="0.3">
      <c r="A24" s="16" t="s">
        <v>3798</v>
      </c>
      <c r="B24">
        <v>3909</v>
      </c>
    </row>
    <row r="25" spans="1:2" x14ac:dyDescent="0.3">
      <c r="A25" s="16" t="s">
        <v>3797</v>
      </c>
      <c r="B25">
        <v>3887.125</v>
      </c>
    </row>
    <row r="26" spans="1:2" x14ac:dyDescent="0.3">
      <c r="A26" s="16" t="s">
        <v>3856</v>
      </c>
      <c r="B26">
        <v>2303.5714285714284</v>
      </c>
    </row>
    <row r="27" spans="1:2" x14ac:dyDescent="0.3">
      <c r="A27" s="16" t="s">
        <v>3755</v>
      </c>
      <c r="B27">
        <v>1509.7916666666667</v>
      </c>
    </row>
    <row r="28" spans="1:2" x14ac:dyDescent="0.3">
      <c r="A28" s="16" t="s">
        <v>3912</v>
      </c>
      <c r="B28">
        <v>4824</v>
      </c>
    </row>
    <row r="29" spans="1:2" x14ac:dyDescent="0.3">
      <c r="A29" s="16" t="s">
        <v>3917</v>
      </c>
      <c r="B29">
        <v>2498.5714285714284</v>
      </c>
    </row>
    <row r="30" spans="1:2" x14ac:dyDescent="0.3">
      <c r="A30" s="16" t="s">
        <v>3790</v>
      </c>
      <c r="B30">
        <v>6014.165</v>
      </c>
    </row>
    <row r="31" spans="1:2" x14ac:dyDescent="0.3">
      <c r="A31" s="16" t="s">
        <v>3899</v>
      </c>
      <c r="B31">
        <v>1164.2857142857142</v>
      </c>
    </row>
    <row r="32" spans="1:2" x14ac:dyDescent="0.3">
      <c r="A32" s="16" t="s">
        <v>3838</v>
      </c>
      <c r="B32">
        <v>5027.0142857142855</v>
      </c>
    </row>
    <row r="33" spans="1:2" x14ac:dyDescent="0.3">
      <c r="A33" s="16" t="s">
        <v>3829</v>
      </c>
      <c r="B33">
        <v>6962.4285714285716</v>
      </c>
    </row>
    <row r="34" spans="1:2" x14ac:dyDescent="0.3">
      <c r="A34" s="16" t="s">
        <v>3771</v>
      </c>
      <c r="B34">
        <v>1573.1585416666667</v>
      </c>
    </row>
    <row r="35" spans="1:2" x14ac:dyDescent="0.3">
      <c r="A35" s="16" t="s">
        <v>3867</v>
      </c>
      <c r="B35">
        <v>3057</v>
      </c>
    </row>
    <row r="36" spans="1:2" x14ac:dyDescent="0.3">
      <c r="A36" s="16" t="s">
        <v>3768</v>
      </c>
      <c r="B36">
        <v>2822.3269230769229</v>
      </c>
    </row>
    <row r="37" spans="1:2" x14ac:dyDescent="0.3">
      <c r="A37" s="16" t="s">
        <v>3877</v>
      </c>
      <c r="B37">
        <v>3243.1428571428573</v>
      </c>
    </row>
    <row r="38" spans="1:2" x14ac:dyDescent="0.3">
      <c r="A38" s="16" t="s">
        <v>3741</v>
      </c>
      <c r="B38">
        <v>452</v>
      </c>
    </row>
    <row r="39" spans="1:2" x14ac:dyDescent="0.3">
      <c r="A39" s="16" t="s">
        <v>3821</v>
      </c>
      <c r="B39">
        <v>2736.2857142857142</v>
      </c>
    </row>
    <row r="40" spans="1:2" x14ac:dyDescent="0.3">
      <c r="A40" s="16" t="s">
        <v>3752</v>
      </c>
      <c r="B40">
        <v>2362.5333333333333</v>
      </c>
    </row>
    <row r="41" spans="1:2" x14ac:dyDescent="0.3">
      <c r="A41" s="16" t="s">
        <v>3748</v>
      </c>
      <c r="B41">
        <v>2656.4488888888886</v>
      </c>
    </row>
    <row r="42" spans="1:2" x14ac:dyDescent="0.3">
      <c r="A42" s="16" t="s">
        <v>3727</v>
      </c>
      <c r="B42">
        <v>2724.6363636363635</v>
      </c>
    </row>
    <row r="43" spans="1:2" x14ac:dyDescent="0.3">
      <c r="A43" s="16" t="s">
        <v>3795</v>
      </c>
      <c r="B43">
        <v>3469.8</v>
      </c>
    </row>
    <row r="44" spans="1:2" x14ac:dyDescent="0.3">
      <c r="A44" s="16" t="s">
        <v>3779</v>
      </c>
      <c r="B44">
        <v>2944</v>
      </c>
    </row>
    <row r="45" spans="1:2" x14ac:dyDescent="0.3">
      <c r="A45" s="16" t="s">
        <v>3927</v>
      </c>
      <c r="B45">
        <v>5449</v>
      </c>
    </row>
    <row r="46" spans="1:2" x14ac:dyDescent="0.3">
      <c r="A46" s="16" t="s">
        <v>3793</v>
      </c>
      <c r="B46">
        <v>2841.1724137931033</v>
      </c>
    </row>
    <row r="47" spans="1:2" x14ac:dyDescent="0.3">
      <c r="A47" s="16" t="s">
        <v>3770</v>
      </c>
      <c r="B47">
        <v>4139.125</v>
      </c>
    </row>
    <row r="48" spans="1:2" x14ac:dyDescent="0.3">
      <c r="A48" s="16" t="s">
        <v>3839</v>
      </c>
      <c r="B48">
        <v>4560.6428571428569</v>
      </c>
    </row>
    <row r="49" spans="1:2" x14ac:dyDescent="0.3">
      <c r="A49" s="16" t="s">
        <v>3737</v>
      </c>
      <c r="B49">
        <v>735.625</v>
      </c>
    </row>
    <row r="50" spans="1:2" x14ac:dyDescent="0.3">
      <c r="A50" s="16" t="s">
        <v>3803</v>
      </c>
      <c r="B50">
        <v>1731.4285714285713</v>
      </c>
    </row>
    <row r="51" spans="1:2" x14ac:dyDescent="0.3">
      <c r="A51" s="16" t="s">
        <v>3789</v>
      </c>
      <c r="B51">
        <v>1085.125</v>
      </c>
    </row>
    <row r="52" spans="1:2" x14ac:dyDescent="0.3">
      <c r="A52" s="16" t="s">
        <v>3861</v>
      </c>
      <c r="B52">
        <v>6043.5428571428574</v>
      </c>
    </row>
    <row r="53" spans="1:2" x14ac:dyDescent="0.3">
      <c r="A53" s="16" t="s">
        <v>3800</v>
      </c>
      <c r="B53">
        <v>1521.75</v>
      </c>
    </row>
    <row r="54" spans="1:2" x14ac:dyDescent="0.3">
      <c r="A54" s="16" t="s">
        <v>3739</v>
      </c>
      <c r="B54">
        <v>5534.75</v>
      </c>
    </row>
    <row r="55" spans="1:2" x14ac:dyDescent="0.3">
      <c r="A55" s="16" t="s">
        <v>3781</v>
      </c>
      <c r="B55">
        <v>1394.625</v>
      </c>
    </row>
    <row r="56" spans="1:2" x14ac:dyDescent="0.3">
      <c r="A56" s="16" t="s">
        <v>3810</v>
      </c>
      <c r="B56">
        <v>1496.3485714285712</v>
      </c>
    </row>
    <row r="57" spans="1:2" x14ac:dyDescent="0.3">
      <c r="A57" s="16" t="s">
        <v>3905</v>
      </c>
      <c r="B57">
        <v>1542.2857142857142</v>
      </c>
    </row>
    <row r="58" spans="1:2" x14ac:dyDescent="0.3">
      <c r="A58" s="16" t="s">
        <v>3859</v>
      </c>
      <c r="B58">
        <v>2611.6237566137565</v>
      </c>
    </row>
    <row r="59" spans="1:2" x14ac:dyDescent="0.3">
      <c r="A59" s="16" t="s">
        <v>3750</v>
      </c>
      <c r="B59">
        <v>2353.3125</v>
      </c>
    </row>
    <row r="60" spans="1:2" x14ac:dyDescent="0.3">
      <c r="A60" s="16" t="s">
        <v>3747</v>
      </c>
      <c r="B60">
        <v>8611</v>
      </c>
    </row>
    <row r="61" spans="1:2" x14ac:dyDescent="0.3">
      <c r="A61" s="16" t="s">
        <v>3744</v>
      </c>
      <c r="B61">
        <v>3607</v>
      </c>
    </row>
    <row r="62" spans="1:2" x14ac:dyDescent="0.3">
      <c r="A62" s="16" t="s">
        <v>3853</v>
      </c>
      <c r="B62">
        <v>6596.1428571428569</v>
      </c>
    </row>
    <row r="63" spans="1:2" x14ac:dyDescent="0.3">
      <c r="A63" s="16" t="s">
        <v>3812</v>
      </c>
      <c r="B63">
        <v>3698.0504761904763</v>
      </c>
    </row>
    <row r="64" spans="1:2" x14ac:dyDescent="0.3">
      <c r="A64" s="16" t="s">
        <v>3730</v>
      </c>
      <c r="B64">
        <v>1448.9375</v>
      </c>
    </row>
    <row r="65" spans="1:2" x14ac:dyDescent="0.3">
      <c r="A65" s="16" t="s">
        <v>3858</v>
      </c>
      <c r="B65">
        <v>7575.7142857142853</v>
      </c>
    </row>
    <row r="66" spans="1:2" x14ac:dyDescent="0.3">
      <c r="A66" s="16" t="s">
        <v>3822</v>
      </c>
      <c r="B66">
        <v>5726.8571428571431</v>
      </c>
    </row>
    <row r="67" spans="1:2" x14ac:dyDescent="0.3">
      <c r="A67" s="16" t="s">
        <v>3807</v>
      </c>
      <c r="B67">
        <v>1518.4285714285713</v>
      </c>
    </row>
    <row r="68" spans="1:2" x14ac:dyDescent="0.3">
      <c r="A68" s="16" t="s">
        <v>3815</v>
      </c>
      <c r="B68">
        <v>5131.2857142857147</v>
      </c>
    </row>
    <row r="69" spans="1:2" x14ac:dyDescent="0.3">
      <c r="A69" s="16" t="s">
        <v>3864</v>
      </c>
      <c r="B69">
        <v>2272.4857142857145</v>
      </c>
    </row>
    <row r="70" spans="1:2" x14ac:dyDescent="0.3">
      <c r="A70" s="16" t="s">
        <v>3785</v>
      </c>
      <c r="B70">
        <v>7475.875</v>
      </c>
    </row>
    <row r="71" spans="1:2" x14ac:dyDescent="0.3">
      <c r="A71" s="16" t="s">
        <v>3872</v>
      </c>
      <c r="B71">
        <v>2016.3333333333333</v>
      </c>
    </row>
    <row r="72" spans="1:2" x14ac:dyDescent="0.3">
      <c r="A72" s="16" t="s">
        <v>3895</v>
      </c>
      <c r="B72">
        <v>4266.7619047619046</v>
      </c>
    </row>
    <row r="73" spans="1:2" x14ac:dyDescent="0.3">
      <c r="A73" s="16" t="s">
        <v>3961</v>
      </c>
      <c r="B73">
        <v>3531.3793103448274</v>
      </c>
    </row>
    <row r="74" spans="1:2" x14ac:dyDescent="0.3">
      <c r="A74" s="16" t="s">
        <v>3936</v>
      </c>
      <c r="B74">
        <v>3125.3108737201369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8696-F981-45F6-8871-27E0021EC56A}">
  <dimension ref="A1:C74"/>
  <sheetViews>
    <sheetView workbookViewId="0">
      <selection activeCell="B2" sqref="B2"/>
    </sheetView>
  </sheetViews>
  <sheetFormatPr defaultRowHeight="14.4" x14ac:dyDescent="0.3"/>
  <cols>
    <col min="1" max="1" width="26" bestFit="1" customWidth="1"/>
    <col min="2" max="2" width="24.5546875" bestFit="1" customWidth="1"/>
    <col min="3" max="3" width="14.6640625" bestFit="1" customWidth="1"/>
  </cols>
  <sheetData>
    <row r="1" spans="1:3" x14ac:dyDescent="0.3">
      <c r="A1" s="15" t="s">
        <v>3935</v>
      </c>
      <c r="B1" t="s">
        <v>3938</v>
      </c>
      <c r="C1" t="s">
        <v>3946</v>
      </c>
    </row>
    <row r="2" spans="1:3" x14ac:dyDescent="0.3">
      <c r="A2" s="16" t="s">
        <v>3729</v>
      </c>
      <c r="B2">
        <v>2817.6446341463411</v>
      </c>
      <c r="C2">
        <v>4.1227642276422767</v>
      </c>
    </row>
    <row r="3" spans="1:3" x14ac:dyDescent="0.3">
      <c r="A3" s="16" t="s">
        <v>3738</v>
      </c>
      <c r="B3">
        <v>2594.8000000000002</v>
      </c>
      <c r="C3">
        <v>3.9333333333333322</v>
      </c>
    </row>
    <row r="4" spans="1:3" x14ac:dyDescent="0.3">
      <c r="A4" s="16" t="s">
        <v>3827</v>
      </c>
      <c r="B4">
        <v>3210.7142857142858</v>
      </c>
      <c r="C4">
        <v>4.1428571428571432</v>
      </c>
    </row>
    <row r="5" spans="1:3" x14ac:dyDescent="0.3">
      <c r="A5" s="16" t="s">
        <v>3920</v>
      </c>
      <c r="B5">
        <v>5144.8571428571431</v>
      </c>
      <c r="C5">
        <v>3.9714285714285715</v>
      </c>
    </row>
    <row r="6" spans="1:3" x14ac:dyDescent="0.3">
      <c r="A6" s="16" t="s">
        <v>3901</v>
      </c>
      <c r="B6">
        <v>6257.2857142857147</v>
      </c>
      <c r="C6">
        <v>4.2285714285714286</v>
      </c>
    </row>
    <row r="7" spans="1:3" x14ac:dyDescent="0.3">
      <c r="A7" s="16" t="s">
        <v>3816</v>
      </c>
      <c r="B7">
        <v>4313.6071428571431</v>
      </c>
      <c r="C7">
        <v>4.0500000000000007</v>
      </c>
    </row>
    <row r="8" spans="1:3" x14ac:dyDescent="0.3">
      <c r="A8" s="16" t="s">
        <v>3743</v>
      </c>
      <c r="B8">
        <v>4222.625</v>
      </c>
      <c r="C8">
        <v>4.0625</v>
      </c>
    </row>
    <row r="9" spans="1:3" x14ac:dyDescent="0.3">
      <c r="A9" s="16" t="s">
        <v>3725</v>
      </c>
      <c r="B9">
        <v>3509.2105263157896</v>
      </c>
      <c r="C9">
        <v>4.102631578947368</v>
      </c>
    </row>
    <row r="10" spans="1:3" x14ac:dyDescent="0.3">
      <c r="A10" s="16" t="s">
        <v>3787</v>
      </c>
      <c r="B10">
        <v>5901.136363636364</v>
      </c>
      <c r="C10">
        <v>4.1428571428571432</v>
      </c>
    </row>
    <row r="11" spans="1:3" x14ac:dyDescent="0.3">
      <c r="A11" s="16" t="s">
        <v>3823</v>
      </c>
      <c r="B11">
        <v>4237.1428571428569</v>
      </c>
      <c r="C11">
        <v>4.0142857142857142</v>
      </c>
    </row>
    <row r="12" spans="1:3" x14ac:dyDescent="0.3">
      <c r="A12" s="16" t="s">
        <v>3891</v>
      </c>
      <c r="B12">
        <v>2213.591836734694</v>
      </c>
      <c r="C12">
        <v>4.1326530612244907</v>
      </c>
    </row>
    <row r="13" spans="1:3" x14ac:dyDescent="0.3">
      <c r="A13" s="16" t="s">
        <v>3777</v>
      </c>
      <c r="B13">
        <v>11555.5</v>
      </c>
      <c r="C13">
        <v>4.1500000000000004</v>
      </c>
    </row>
    <row r="14" spans="1:3" x14ac:dyDescent="0.3">
      <c r="A14" s="16" t="s">
        <v>3854</v>
      </c>
      <c r="B14">
        <v>660</v>
      </c>
      <c r="C14">
        <v>4.1857142857142859</v>
      </c>
    </row>
    <row r="15" spans="1:3" x14ac:dyDescent="0.3">
      <c r="A15" s="16" t="s">
        <v>3831</v>
      </c>
      <c r="B15">
        <v>1355.5714285714287</v>
      </c>
      <c r="C15">
        <v>4.2285714285714286</v>
      </c>
    </row>
    <row r="16" spans="1:3" x14ac:dyDescent="0.3">
      <c r="A16" s="16" t="s">
        <v>3778</v>
      </c>
      <c r="B16">
        <v>1596.375</v>
      </c>
      <c r="C16">
        <v>4.0625</v>
      </c>
    </row>
    <row r="17" spans="1:3" x14ac:dyDescent="0.3">
      <c r="A17" s="16" t="s">
        <v>3845</v>
      </c>
      <c r="B17">
        <v>617.28571428571433</v>
      </c>
      <c r="C17">
        <v>3.9857142857142853</v>
      </c>
    </row>
    <row r="18" spans="1:3" x14ac:dyDescent="0.3">
      <c r="A18" s="16" t="s">
        <v>3836</v>
      </c>
      <c r="B18">
        <v>2516.4285714285716</v>
      </c>
      <c r="C18">
        <v>4.0714285714285712</v>
      </c>
    </row>
    <row r="19" spans="1:3" x14ac:dyDescent="0.3">
      <c r="A19" s="16" t="s">
        <v>3843</v>
      </c>
      <c r="B19">
        <v>1620</v>
      </c>
      <c r="C19">
        <v>3.9571428571428577</v>
      </c>
    </row>
    <row r="20" spans="1:3" x14ac:dyDescent="0.3">
      <c r="A20" s="16" t="s">
        <v>3784</v>
      </c>
      <c r="B20">
        <v>3293.625</v>
      </c>
      <c r="C20">
        <v>3.9625000000000004</v>
      </c>
    </row>
    <row r="21" spans="1:3" x14ac:dyDescent="0.3">
      <c r="A21" s="16" t="s">
        <v>3820</v>
      </c>
      <c r="B21">
        <v>973.14285714285711</v>
      </c>
      <c r="C21">
        <v>4.2142857142857135</v>
      </c>
    </row>
    <row r="22" spans="1:3" x14ac:dyDescent="0.3">
      <c r="A22" s="16" t="s">
        <v>3848</v>
      </c>
      <c r="B22">
        <v>4034</v>
      </c>
      <c r="C22">
        <v>4.0999999999999996</v>
      </c>
    </row>
    <row r="23" spans="1:3" x14ac:dyDescent="0.3">
      <c r="A23" s="16" t="s">
        <v>3885</v>
      </c>
      <c r="B23">
        <v>2464.9217857142858</v>
      </c>
      <c r="C23">
        <v>4.0964285714285715</v>
      </c>
    </row>
    <row r="24" spans="1:3" x14ac:dyDescent="0.3">
      <c r="A24" s="16" t="s">
        <v>3798</v>
      </c>
      <c r="B24">
        <v>3909</v>
      </c>
      <c r="C24">
        <v>4.0500000000000007</v>
      </c>
    </row>
    <row r="25" spans="1:3" x14ac:dyDescent="0.3">
      <c r="A25" s="16" t="s">
        <v>3797</v>
      </c>
      <c r="B25">
        <v>3887.125</v>
      </c>
      <c r="C25">
        <v>4.0874999999999995</v>
      </c>
    </row>
    <row r="26" spans="1:3" x14ac:dyDescent="0.3">
      <c r="A26" s="16" t="s">
        <v>3856</v>
      </c>
      <c r="B26">
        <v>2303.5714285714284</v>
      </c>
      <c r="C26">
        <v>4.2142857142857135</v>
      </c>
    </row>
    <row r="27" spans="1:3" x14ac:dyDescent="0.3">
      <c r="A27" s="16" t="s">
        <v>3755</v>
      </c>
      <c r="B27">
        <v>1509.7916666666667</v>
      </c>
      <c r="C27">
        <v>4.083333333333333</v>
      </c>
    </row>
    <row r="28" spans="1:3" x14ac:dyDescent="0.3">
      <c r="A28" s="16" t="s">
        <v>3912</v>
      </c>
      <c r="B28">
        <v>4824</v>
      </c>
      <c r="C28">
        <v>3.9857142857142853</v>
      </c>
    </row>
    <row r="29" spans="1:3" x14ac:dyDescent="0.3">
      <c r="A29" s="16" t="s">
        <v>3917</v>
      </c>
      <c r="B29">
        <v>2498.5714285714284</v>
      </c>
      <c r="C29">
        <v>4.0714285714285712</v>
      </c>
    </row>
    <row r="30" spans="1:3" x14ac:dyDescent="0.3">
      <c r="A30" s="16" t="s">
        <v>3790</v>
      </c>
      <c r="B30">
        <v>6014.165</v>
      </c>
      <c r="C30">
        <v>4.1181818181818173</v>
      </c>
    </row>
    <row r="31" spans="1:3" x14ac:dyDescent="0.3">
      <c r="A31" s="16" t="s">
        <v>3899</v>
      </c>
      <c r="B31">
        <v>1164.2857142857142</v>
      </c>
      <c r="C31">
        <v>4.0428571428571427</v>
      </c>
    </row>
    <row r="32" spans="1:3" x14ac:dyDescent="0.3">
      <c r="A32" s="16" t="s">
        <v>3838</v>
      </c>
      <c r="B32">
        <v>5027.0142857142855</v>
      </c>
      <c r="C32">
        <v>4.2</v>
      </c>
    </row>
    <row r="33" spans="1:3" x14ac:dyDescent="0.3">
      <c r="A33" s="16" t="s">
        <v>3829</v>
      </c>
      <c r="B33">
        <v>6962.4285714285716</v>
      </c>
      <c r="C33">
        <v>4.1285714285714281</v>
      </c>
    </row>
    <row r="34" spans="1:3" x14ac:dyDescent="0.3">
      <c r="A34" s="16" t="s">
        <v>3771</v>
      </c>
      <c r="B34">
        <v>1573.1585416666667</v>
      </c>
      <c r="C34">
        <v>4.072916666666667</v>
      </c>
    </row>
    <row r="35" spans="1:3" x14ac:dyDescent="0.3">
      <c r="A35" s="16" t="s">
        <v>3867</v>
      </c>
      <c r="B35">
        <v>3057</v>
      </c>
      <c r="C35">
        <v>4.1714285714285717</v>
      </c>
    </row>
    <row r="36" spans="1:3" x14ac:dyDescent="0.3">
      <c r="A36" s="16" t="s">
        <v>3768</v>
      </c>
      <c r="B36">
        <v>2822.3269230769229</v>
      </c>
      <c r="C36">
        <v>4.1230769230769235</v>
      </c>
    </row>
    <row r="37" spans="1:3" x14ac:dyDescent="0.3">
      <c r="A37" s="16" t="s">
        <v>3877</v>
      </c>
      <c r="B37">
        <v>3243.1428571428573</v>
      </c>
      <c r="C37">
        <v>4.1809523809523812</v>
      </c>
    </row>
    <row r="38" spans="1:3" x14ac:dyDescent="0.3">
      <c r="A38" s="16" t="s">
        <v>3741</v>
      </c>
      <c r="B38">
        <v>452</v>
      </c>
      <c r="C38">
        <v>4.0999999999999996</v>
      </c>
    </row>
    <row r="39" spans="1:3" x14ac:dyDescent="0.3">
      <c r="A39" s="16" t="s">
        <v>3821</v>
      </c>
      <c r="B39">
        <v>2736.2857142857142</v>
      </c>
      <c r="C39">
        <v>3.9571428571428577</v>
      </c>
    </row>
    <row r="40" spans="1:3" x14ac:dyDescent="0.3">
      <c r="A40" s="16" t="s">
        <v>3752</v>
      </c>
      <c r="B40">
        <v>2362.5333333333333</v>
      </c>
      <c r="C40">
        <v>4.1399999999999997</v>
      </c>
    </row>
    <row r="41" spans="1:3" x14ac:dyDescent="0.3">
      <c r="A41" s="16" t="s">
        <v>3748</v>
      </c>
      <c r="B41">
        <v>2656.4488888888886</v>
      </c>
      <c r="C41">
        <v>4.1111111111111107</v>
      </c>
    </row>
    <row r="42" spans="1:3" x14ac:dyDescent="0.3">
      <c r="A42" s="16" t="s">
        <v>3727</v>
      </c>
      <c r="B42">
        <v>2724.6363636363635</v>
      </c>
      <c r="C42">
        <v>4.0863636363636369</v>
      </c>
    </row>
    <row r="43" spans="1:3" x14ac:dyDescent="0.3">
      <c r="A43" s="16" t="s">
        <v>3795</v>
      </c>
      <c r="B43">
        <v>3469.8</v>
      </c>
      <c r="C43">
        <v>3.9666666666666668</v>
      </c>
    </row>
    <row r="44" spans="1:3" x14ac:dyDescent="0.3">
      <c r="A44" s="16" t="s">
        <v>3779</v>
      </c>
      <c r="B44">
        <v>2944</v>
      </c>
      <c r="C44">
        <v>4.081818181818182</v>
      </c>
    </row>
    <row r="45" spans="1:3" x14ac:dyDescent="0.3">
      <c r="A45" s="16" t="s">
        <v>3927</v>
      </c>
      <c r="B45">
        <v>5449</v>
      </c>
      <c r="C45">
        <v>4.3142857142857141</v>
      </c>
    </row>
    <row r="46" spans="1:3" x14ac:dyDescent="0.3">
      <c r="A46" s="16" t="s">
        <v>3793</v>
      </c>
      <c r="B46">
        <v>2841.1724137931033</v>
      </c>
      <c r="C46">
        <v>3.9931034482758618</v>
      </c>
    </row>
    <row r="47" spans="1:3" x14ac:dyDescent="0.3">
      <c r="A47" s="16" t="s">
        <v>3770</v>
      </c>
      <c r="B47">
        <v>4139.125</v>
      </c>
      <c r="C47">
        <v>4.1375000000000002</v>
      </c>
    </row>
    <row r="48" spans="1:3" x14ac:dyDescent="0.3">
      <c r="A48" s="16" t="s">
        <v>3839</v>
      </c>
      <c r="B48">
        <v>4560.6428571428569</v>
      </c>
      <c r="C48">
        <v>4.0285714285714285</v>
      </c>
    </row>
    <row r="49" spans="1:3" x14ac:dyDescent="0.3">
      <c r="A49" s="16" t="s">
        <v>3737</v>
      </c>
      <c r="B49">
        <v>735.625</v>
      </c>
      <c r="C49">
        <v>3.9750000000000005</v>
      </c>
    </row>
    <row r="50" spans="1:3" x14ac:dyDescent="0.3">
      <c r="A50" s="16" t="s">
        <v>3803</v>
      </c>
      <c r="B50">
        <v>1731.4285714285713</v>
      </c>
      <c r="C50">
        <v>3.9857142857142853</v>
      </c>
    </row>
    <row r="51" spans="1:3" x14ac:dyDescent="0.3">
      <c r="A51" s="16" t="s">
        <v>3789</v>
      </c>
      <c r="B51">
        <v>1085.125</v>
      </c>
      <c r="C51">
        <v>4.1124999999999998</v>
      </c>
    </row>
    <row r="52" spans="1:3" x14ac:dyDescent="0.3">
      <c r="A52" s="16" t="s">
        <v>3861</v>
      </c>
      <c r="B52">
        <v>6043.5428571428574</v>
      </c>
      <c r="C52">
        <v>4.0199999999999987</v>
      </c>
    </row>
    <row r="53" spans="1:3" x14ac:dyDescent="0.3">
      <c r="A53" s="16" t="s">
        <v>3800</v>
      </c>
      <c r="B53">
        <v>1521.75</v>
      </c>
      <c r="C53">
        <v>4.0250000000000004</v>
      </c>
    </row>
    <row r="54" spans="1:3" x14ac:dyDescent="0.3">
      <c r="A54" s="16" t="s">
        <v>3739</v>
      </c>
      <c r="B54">
        <v>5534.75</v>
      </c>
      <c r="C54">
        <v>4.1375000000000002</v>
      </c>
    </row>
    <row r="55" spans="1:3" x14ac:dyDescent="0.3">
      <c r="A55" s="16" t="s">
        <v>3781</v>
      </c>
      <c r="B55">
        <v>1394.625</v>
      </c>
      <c r="C55">
        <v>4.0500000000000007</v>
      </c>
    </row>
    <row r="56" spans="1:3" x14ac:dyDescent="0.3">
      <c r="A56" s="16" t="s">
        <v>3810</v>
      </c>
      <c r="B56">
        <v>1496.3485714285712</v>
      </c>
      <c r="C56">
        <v>4.0142857142857142</v>
      </c>
    </row>
    <row r="57" spans="1:3" x14ac:dyDescent="0.3">
      <c r="A57" s="16" t="s">
        <v>3905</v>
      </c>
      <c r="B57">
        <v>1542.2857142857142</v>
      </c>
      <c r="C57">
        <v>4.1714285714285717</v>
      </c>
    </row>
    <row r="58" spans="1:3" x14ac:dyDescent="0.3">
      <c r="A58" s="16" t="s">
        <v>3859</v>
      </c>
      <c r="B58">
        <v>2611.6237566137565</v>
      </c>
      <c r="C58">
        <v>4.1243386243386269</v>
      </c>
    </row>
    <row r="59" spans="1:3" x14ac:dyDescent="0.3">
      <c r="A59" s="16" t="s">
        <v>3750</v>
      </c>
      <c r="B59">
        <v>2353.3125</v>
      </c>
      <c r="C59">
        <v>4.1125000000000007</v>
      </c>
    </row>
    <row r="60" spans="1:3" x14ac:dyDescent="0.3">
      <c r="A60" s="16" t="s">
        <v>3747</v>
      </c>
      <c r="B60">
        <v>8611</v>
      </c>
      <c r="C60">
        <v>4.2374999999999998</v>
      </c>
    </row>
    <row r="61" spans="1:3" x14ac:dyDescent="0.3">
      <c r="A61" s="16" t="s">
        <v>3744</v>
      </c>
      <c r="B61">
        <v>3607</v>
      </c>
      <c r="C61">
        <v>4.0594594594594602</v>
      </c>
    </row>
    <row r="62" spans="1:3" x14ac:dyDescent="0.3">
      <c r="A62" s="16" t="s">
        <v>3853</v>
      </c>
      <c r="B62">
        <v>6596.1428571428569</v>
      </c>
      <c r="C62">
        <v>4.1714285714285717</v>
      </c>
    </row>
    <row r="63" spans="1:3" x14ac:dyDescent="0.3">
      <c r="A63" s="16" t="s">
        <v>3812</v>
      </c>
      <c r="B63">
        <v>3698.0504761904763</v>
      </c>
      <c r="C63">
        <v>4.0380952380952371</v>
      </c>
    </row>
    <row r="64" spans="1:3" x14ac:dyDescent="0.3">
      <c r="A64" s="16" t="s">
        <v>3730</v>
      </c>
      <c r="B64">
        <v>1448.9375</v>
      </c>
      <c r="C64">
        <v>4.1187500000000004</v>
      </c>
    </row>
    <row r="65" spans="1:3" x14ac:dyDescent="0.3">
      <c r="A65" s="16" t="s">
        <v>3858</v>
      </c>
      <c r="B65">
        <v>7575.7142857142853</v>
      </c>
      <c r="C65">
        <v>4.0285714285714294</v>
      </c>
    </row>
    <row r="66" spans="1:3" x14ac:dyDescent="0.3">
      <c r="A66" s="16" t="s">
        <v>3822</v>
      </c>
      <c r="B66">
        <v>5726.8571428571431</v>
      </c>
      <c r="C66">
        <v>4</v>
      </c>
    </row>
    <row r="67" spans="1:3" x14ac:dyDescent="0.3">
      <c r="A67" s="16" t="s">
        <v>3807</v>
      </c>
      <c r="B67">
        <v>1518.4285714285713</v>
      </c>
      <c r="C67">
        <v>4.0999999999999996</v>
      </c>
    </row>
    <row r="68" spans="1:3" x14ac:dyDescent="0.3">
      <c r="A68" s="16" t="s">
        <v>3815</v>
      </c>
      <c r="B68">
        <v>5131.2857142857147</v>
      </c>
      <c r="C68">
        <v>4.2</v>
      </c>
    </row>
    <row r="69" spans="1:3" x14ac:dyDescent="0.3">
      <c r="A69" s="16" t="s">
        <v>3864</v>
      </c>
      <c r="B69">
        <v>2272.4857142857145</v>
      </c>
      <c r="C69">
        <v>4.105714285714285</v>
      </c>
    </row>
    <row r="70" spans="1:3" x14ac:dyDescent="0.3">
      <c r="A70" s="16" t="s">
        <v>3785</v>
      </c>
      <c r="B70">
        <v>7475.875</v>
      </c>
      <c r="C70">
        <v>4.0999999999999996</v>
      </c>
    </row>
    <row r="71" spans="1:3" x14ac:dyDescent="0.3">
      <c r="A71" s="16" t="s">
        <v>3872</v>
      </c>
      <c r="B71">
        <v>2016.3333333333333</v>
      </c>
      <c r="C71">
        <v>4.0047619047619047</v>
      </c>
    </row>
    <row r="72" spans="1:3" x14ac:dyDescent="0.3">
      <c r="A72" s="16" t="s">
        <v>3895</v>
      </c>
      <c r="B72">
        <v>4266.7619047619046</v>
      </c>
      <c r="C72">
        <v>4.0761904761904759</v>
      </c>
    </row>
    <row r="73" spans="1:3" x14ac:dyDescent="0.3">
      <c r="A73" s="16" t="s">
        <v>3961</v>
      </c>
      <c r="B73">
        <v>3531.3793103448274</v>
      </c>
      <c r="C73">
        <v>4.1448275862068957</v>
      </c>
    </row>
    <row r="74" spans="1:3" x14ac:dyDescent="0.3">
      <c r="A74" s="16" t="s">
        <v>3936</v>
      </c>
      <c r="B74">
        <v>3125.3108737201369</v>
      </c>
      <c r="C74">
        <v>4.096584699453552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C768-DD85-4E0E-B1A5-6AD7EABEBE23}">
  <dimension ref="A1:B74"/>
  <sheetViews>
    <sheetView workbookViewId="0"/>
  </sheetViews>
  <sheetFormatPr defaultRowHeight="14.4" x14ac:dyDescent="0.3"/>
  <cols>
    <col min="1" max="1" width="26" bestFit="1" customWidth="1"/>
    <col min="2" max="2" width="27.5546875" bestFit="1" customWidth="1"/>
  </cols>
  <sheetData>
    <row r="1" spans="1:2" x14ac:dyDescent="0.3">
      <c r="A1" s="15" t="s">
        <v>3935</v>
      </c>
      <c r="B1" t="s">
        <v>3962</v>
      </c>
    </row>
    <row r="2" spans="1:2" x14ac:dyDescent="0.3">
      <c r="A2" s="16" t="s">
        <v>3729</v>
      </c>
      <c r="B2">
        <v>0.47804878048780491</v>
      </c>
    </row>
    <row r="3" spans="1:2" x14ac:dyDescent="0.3">
      <c r="A3" s="16" t="s">
        <v>3738</v>
      </c>
      <c r="B3">
        <v>0.46933333333333332</v>
      </c>
    </row>
    <row r="4" spans="1:2" x14ac:dyDescent="0.3">
      <c r="A4" s="16" t="s">
        <v>3827</v>
      </c>
      <c r="B4">
        <v>0.44571428571428573</v>
      </c>
    </row>
    <row r="5" spans="1:2" x14ac:dyDescent="0.3">
      <c r="A5" s="16" t="s">
        <v>3920</v>
      </c>
      <c r="B5">
        <v>0.38</v>
      </c>
    </row>
    <row r="6" spans="1:2" x14ac:dyDescent="0.3">
      <c r="A6" s="16" t="s">
        <v>3901</v>
      </c>
      <c r="B6">
        <v>0.40714285714285708</v>
      </c>
    </row>
    <row r="7" spans="1:2" x14ac:dyDescent="0.3">
      <c r="A7" s="16" t="s">
        <v>3816</v>
      </c>
      <c r="B7">
        <v>0.49000000000000005</v>
      </c>
    </row>
    <row r="8" spans="1:2" x14ac:dyDescent="0.3">
      <c r="A8" s="16" t="s">
        <v>3743</v>
      </c>
      <c r="B8">
        <v>0.47</v>
      </c>
    </row>
    <row r="9" spans="1:2" x14ac:dyDescent="0.3">
      <c r="A9" s="16" t="s">
        <v>3725</v>
      </c>
      <c r="B9">
        <v>0.47315789473684211</v>
      </c>
    </row>
    <row r="10" spans="1:2" x14ac:dyDescent="0.3">
      <c r="A10" s="16" t="s">
        <v>3787</v>
      </c>
      <c r="B10">
        <v>0.46727272727272734</v>
      </c>
    </row>
    <row r="11" spans="1:2" x14ac:dyDescent="0.3">
      <c r="A11" s="16" t="s">
        <v>3823</v>
      </c>
      <c r="B11">
        <v>0.51428571428571423</v>
      </c>
    </row>
    <row r="12" spans="1:2" x14ac:dyDescent="0.3">
      <c r="A12" s="16" t="s">
        <v>3891</v>
      </c>
      <c r="B12">
        <v>0.50530612244897977</v>
      </c>
    </row>
    <row r="13" spans="1:2" x14ac:dyDescent="0.3">
      <c r="A13" s="16" t="s">
        <v>3777</v>
      </c>
      <c r="B13">
        <v>0.49625000000000002</v>
      </c>
    </row>
    <row r="14" spans="1:2" x14ac:dyDescent="0.3">
      <c r="A14" s="16" t="s">
        <v>3854</v>
      </c>
      <c r="B14">
        <v>0.52428571428571435</v>
      </c>
    </row>
    <row r="15" spans="1:2" x14ac:dyDescent="0.3">
      <c r="A15" s="16" t="s">
        <v>3831</v>
      </c>
      <c r="B15">
        <v>0.67714285714285716</v>
      </c>
    </row>
    <row r="16" spans="1:2" x14ac:dyDescent="0.3">
      <c r="A16" s="16" t="s">
        <v>3778</v>
      </c>
      <c r="B16">
        <v>0.43125000000000013</v>
      </c>
    </row>
    <row r="17" spans="1:2" x14ac:dyDescent="0.3">
      <c r="A17" s="16" t="s">
        <v>3845</v>
      </c>
      <c r="B17">
        <v>0.47857142857142854</v>
      </c>
    </row>
    <row r="18" spans="1:2" x14ac:dyDescent="0.3">
      <c r="A18" s="16" t="s">
        <v>3836</v>
      </c>
      <c r="B18">
        <v>0.31285714285714289</v>
      </c>
    </row>
    <row r="19" spans="1:2" x14ac:dyDescent="0.3">
      <c r="A19" s="16" t="s">
        <v>3843</v>
      </c>
      <c r="B19">
        <v>0.38142857142857151</v>
      </c>
    </row>
    <row r="20" spans="1:2" x14ac:dyDescent="0.3">
      <c r="A20" s="16" t="s">
        <v>3784</v>
      </c>
      <c r="B20">
        <v>0.46874999999999994</v>
      </c>
    </row>
    <row r="21" spans="1:2" x14ac:dyDescent="0.3">
      <c r="A21" s="16" t="s">
        <v>3820</v>
      </c>
      <c r="B21">
        <v>0.49428571428571427</v>
      </c>
    </row>
    <row r="22" spans="1:2" x14ac:dyDescent="0.3">
      <c r="A22" s="16" t="s">
        <v>3848</v>
      </c>
      <c r="B22">
        <v>0.42857142857142855</v>
      </c>
    </row>
    <row r="23" spans="1:2" x14ac:dyDescent="0.3">
      <c r="A23" s="16" t="s">
        <v>3885</v>
      </c>
      <c r="B23">
        <v>0.47107142857142853</v>
      </c>
    </row>
    <row r="24" spans="1:2" x14ac:dyDescent="0.3">
      <c r="A24" s="16" t="s">
        <v>3798</v>
      </c>
      <c r="B24">
        <v>0.54749999999999999</v>
      </c>
    </row>
    <row r="25" spans="1:2" x14ac:dyDescent="0.3">
      <c r="A25" s="16" t="s">
        <v>3797</v>
      </c>
      <c r="B25">
        <v>0.39500000000000002</v>
      </c>
    </row>
    <row r="26" spans="1:2" x14ac:dyDescent="0.3">
      <c r="A26" s="16" t="s">
        <v>3856</v>
      </c>
      <c r="B26">
        <v>0.46428571428571425</v>
      </c>
    </row>
    <row r="27" spans="1:2" x14ac:dyDescent="0.3">
      <c r="A27" s="16" t="s">
        <v>3755</v>
      </c>
      <c r="B27">
        <v>0.47083333333333338</v>
      </c>
    </row>
    <row r="28" spans="1:2" x14ac:dyDescent="0.3">
      <c r="A28" s="16" t="s">
        <v>3912</v>
      </c>
      <c r="B28">
        <v>0.46142857142857147</v>
      </c>
    </row>
    <row r="29" spans="1:2" x14ac:dyDescent="0.3">
      <c r="A29" s="16" t="s">
        <v>3917</v>
      </c>
      <c r="B29">
        <v>0.57428571428571418</v>
      </c>
    </row>
    <row r="30" spans="1:2" x14ac:dyDescent="0.3">
      <c r="A30" s="16" t="s">
        <v>3790</v>
      </c>
      <c r="B30">
        <v>0.46318181818181825</v>
      </c>
    </row>
    <row r="31" spans="1:2" x14ac:dyDescent="0.3">
      <c r="A31" s="16" t="s">
        <v>3899</v>
      </c>
      <c r="B31">
        <v>0.55999999999999994</v>
      </c>
    </row>
    <row r="32" spans="1:2" x14ac:dyDescent="0.3">
      <c r="A32" s="16" t="s">
        <v>3838</v>
      </c>
      <c r="B32">
        <v>0.3928571428571429</v>
      </c>
    </row>
    <row r="33" spans="1:2" x14ac:dyDescent="0.3">
      <c r="A33" s="16" t="s">
        <v>3829</v>
      </c>
      <c r="B33">
        <v>0.34857142857142859</v>
      </c>
    </row>
    <row r="34" spans="1:2" x14ac:dyDescent="0.3">
      <c r="A34" s="16" t="s">
        <v>3771</v>
      </c>
      <c r="B34">
        <v>0.48833333333333334</v>
      </c>
    </row>
    <row r="35" spans="1:2" x14ac:dyDescent="0.3">
      <c r="A35" s="16" t="s">
        <v>3867</v>
      </c>
      <c r="B35">
        <v>0.4528571428571429</v>
      </c>
    </row>
    <row r="36" spans="1:2" x14ac:dyDescent="0.3">
      <c r="A36" s="16" t="s">
        <v>3768</v>
      </c>
      <c r="B36">
        <v>0.4711538461538462</v>
      </c>
    </row>
    <row r="37" spans="1:2" x14ac:dyDescent="0.3">
      <c r="A37" s="16" t="s">
        <v>3877</v>
      </c>
      <c r="B37">
        <v>0.48095238095238102</v>
      </c>
    </row>
    <row r="38" spans="1:2" x14ac:dyDescent="0.3">
      <c r="A38" s="16" t="s">
        <v>3741</v>
      </c>
      <c r="B38">
        <v>0.47750000000000004</v>
      </c>
    </row>
    <row r="39" spans="1:2" x14ac:dyDescent="0.3">
      <c r="A39" s="16" t="s">
        <v>3821</v>
      </c>
      <c r="B39">
        <v>0.45</v>
      </c>
    </row>
    <row r="40" spans="1:2" x14ac:dyDescent="0.3">
      <c r="A40" s="16" t="s">
        <v>3752</v>
      </c>
      <c r="B40">
        <v>0.56266666666666665</v>
      </c>
    </row>
    <row r="41" spans="1:2" x14ac:dyDescent="0.3">
      <c r="A41" s="16" t="s">
        <v>3748</v>
      </c>
      <c r="B41">
        <v>0.47970370370370385</v>
      </c>
    </row>
    <row r="42" spans="1:2" x14ac:dyDescent="0.3">
      <c r="A42" s="16" t="s">
        <v>3727</v>
      </c>
      <c r="B42">
        <v>0.52499999999999991</v>
      </c>
    </row>
    <row r="43" spans="1:2" x14ac:dyDescent="0.3">
      <c r="A43" s="16" t="s">
        <v>3795</v>
      </c>
      <c r="B43">
        <v>0.51466666666666661</v>
      </c>
    </row>
    <row r="44" spans="1:2" x14ac:dyDescent="0.3">
      <c r="A44" s="16" t="s">
        <v>3779</v>
      </c>
      <c r="B44">
        <v>0.5181818181818183</v>
      </c>
    </row>
    <row r="45" spans="1:2" x14ac:dyDescent="0.3">
      <c r="A45" s="16" t="s">
        <v>3927</v>
      </c>
      <c r="B45">
        <v>0.48285714285714282</v>
      </c>
    </row>
    <row r="46" spans="1:2" x14ac:dyDescent="0.3">
      <c r="A46" s="16" t="s">
        <v>3793</v>
      </c>
      <c r="B46">
        <v>0.50724137931034496</v>
      </c>
    </row>
    <row r="47" spans="1:2" x14ac:dyDescent="0.3">
      <c r="A47" s="16" t="s">
        <v>3770</v>
      </c>
      <c r="B47">
        <v>0.50375000000000003</v>
      </c>
    </row>
    <row r="48" spans="1:2" x14ac:dyDescent="0.3">
      <c r="A48" s="16" t="s">
        <v>3839</v>
      </c>
      <c r="B48">
        <v>0.53428571428571425</v>
      </c>
    </row>
    <row r="49" spans="1:2" x14ac:dyDescent="0.3">
      <c r="A49" s="16" t="s">
        <v>3737</v>
      </c>
      <c r="B49">
        <v>0.54</v>
      </c>
    </row>
    <row r="50" spans="1:2" x14ac:dyDescent="0.3">
      <c r="A50" s="16" t="s">
        <v>3803</v>
      </c>
      <c r="B50">
        <v>0.53857142857142859</v>
      </c>
    </row>
    <row r="51" spans="1:2" x14ac:dyDescent="0.3">
      <c r="A51" s="16" t="s">
        <v>3789</v>
      </c>
      <c r="B51">
        <v>0.58625000000000005</v>
      </c>
    </row>
    <row r="52" spans="1:2" x14ac:dyDescent="0.3">
      <c r="A52" s="16" t="s">
        <v>3861</v>
      </c>
      <c r="B52">
        <v>0.46685714285714275</v>
      </c>
    </row>
    <row r="53" spans="1:2" x14ac:dyDescent="0.3">
      <c r="A53" s="16" t="s">
        <v>3800</v>
      </c>
      <c r="B53">
        <v>0.51749999999999996</v>
      </c>
    </row>
    <row r="54" spans="1:2" x14ac:dyDescent="0.3">
      <c r="A54" s="16" t="s">
        <v>3739</v>
      </c>
      <c r="B54">
        <v>0.40375</v>
      </c>
    </row>
    <row r="55" spans="1:2" x14ac:dyDescent="0.3">
      <c r="A55" s="16" t="s">
        <v>3781</v>
      </c>
      <c r="B55">
        <v>0.39750000000000002</v>
      </c>
    </row>
    <row r="56" spans="1:2" x14ac:dyDescent="0.3">
      <c r="A56" s="16" t="s">
        <v>3810</v>
      </c>
      <c r="B56">
        <v>0.32571428571428573</v>
      </c>
    </row>
    <row r="57" spans="1:2" x14ac:dyDescent="0.3">
      <c r="A57" s="16" t="s">
        <v>3905</v>
      </c>
      <c r="B57">
        <v>0.52428571428571424</v>
      </c>
    </row>
    <row r="58" spans="1:2" x14ac:dyDescent="0.3">
      <c r="A58" s="16" t="s">
        <v>3859</v>
      </c>
      <c r="B58">
        <v>0.4565608465608465</v>
      </c>
    </row>
    <row r="59" spans="1:2" x14ac:dyDescent="0.3">
      <c r="A59" s="16" t="s">
        <v>3750</v>
      </c>
      <c r="B59">
        <v>0.55249999999999999</v>
      </c>
    </row>
    <row r="60" spans="1:2" x14ac:dyDescent="0.3">
      <c r="A60" s="16" t="s">
        <v>3747</v>
      </c>
      <c r="B60">
        <v>0.30249999999999999</v>
      </c>
    </row>
    <row r="61" spans="1:2" x14ac:dyDescent="0.3">
      <c r="A61" s="16" t="s">
        <v>3744</v>
      </c>
      <c r="B61">
        <v>0.46432432432432424</v>
      </c>
    </row>
    <row r="62" spans="1:2" x14ac:dyDescent="0.3">
      <c r="A62" s="16" t="s">
        <v>3853</v>
      </c>
      <c r="B62">
        <v>0.48142857142857137</v>
      </c>
    </row>
    <row r="63" spans="1:2" x14ac:dyDescent="0.3">
      <c r="A63" s="16" t="s">
        <v>3812</v>
      </c>
      <c r="B63">
        <v>0.48476190476190484</v>
      </c>
    </row>
    <row r="64" spans="1:2" x14ac:dyDescent="0.3">
      <c r="A64" s="16" t="s">
        <v>3730</v>
      </c>
      <c r="B64">
        <v>0.57000000000000006</v>
      </c>
    </row>
    <row r="65" spans="1:2" x14ac:dyDescent="0.3">
      <c r="A65" s="16" t="s">
        <v>3858</v>
      </c>
      <c r="B65">
        <v>0.38142857142857139</v>
      </c>
    </row>
    <row r="66" spans="1:2" x14ac:dyDescent="0.3">
      <c r="A66" s="16" t="s">
        <v>3822</v>
      </c>
      <c r="B66">
        <v>0.48428571428571437</v>
      </c>
    </row>
    <row r="67" spans="1:2" x14ac:dyDescent="0.3">
      <c r="A67" s="16" t="s">
        <v>3807</v>
      </c>
      <c r="B67">
        <v>0.46714285714285714</v>
      </c>
    </row>
    <row r="68" spans="1:2" x14ac:dyDescent="0.3">
      <c r="A68" s="16" t="s">
        <v>3815</v>
      </c>
      <c r="B68">
        <v>0.49857142857142855</v>
      </c>
    </row>
    <row r="69" spans="1:2" x14ac:dyDescent="0.3">
      <c r="A69" s="16" t="s">
        <v>3864</v>
      </c>
      <c r="B69">
        <v>0.51028571428571423</v>
      </c>
    </row>
    <row r="70" spans="1:2" x14ac:dyDescent="0.3">
      <c r="A70" s="16" t="s">
        <v>3785</v>
      </c>
      <c r="B70">
        <v>0.54375000000000007</v>
      </c>
    </row>
    <row r="71" spans="1:2" x14ac:dyDescent="0.3">
      <c r="A71" s="16" t="s">
        <v>3872</v>
      </c>
      <c r="B71">
        <v>0.50714285714285712</v>
      </c>
    </row>
    <row r="72" spans="1:2" x14ac:dyDescent="0.3">
      <c r="A72" s="16" t="s">
        <v>3895</v>
      </c>
      <c r="B72">
        <v>0.47523809523809518</v>
      </c>
    </row>
    <row r="73" spans="1:2" x14ac:dyDescent="0.3">
      <c r="A73" s="16" t="s">
        <v>3961</v>
      </c>
      <c r="B73">
        <v>0.39689655172413796</v>
      </c>
    </row>
    <row r="74" spans="1:2" x14ac:dyDescent="0.3">
      <c r="A74" s="16" t="s">
        <v>3936</v>
      </c>
      <c r="B74">
        <v>0.47691467576791696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AFB8C6-1C57-41C4-9538-648B01781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DASHBOARD</vt:lpstr>
      <vt:lpstr>ANALYSIS</vt:lpstr>
      <vt:lpstr>Sheet6</vt:lpstr>
      <vt:lpstr>Sheet1</vt:lpstr>
      <vt:lpstr>Sheet12</vt:lpstr>
      <vt:lpstr>Sheet5</vt:lpstr>
      <vt:lpstr>Sheet10</vt:lpstr>
      <vt:lpstr>Sheet11</vt:lpstr>
      <vt:lpstr>Sheet14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 dubey</dc:creator>
  <cp:lastModifiedBy>Kshitiz dubey</cp:lastModifiedBy>
  <dcterms:created xsi:type="dcterms:W3CDTF">2026-07-02T08:03:02Z</dcterms:created>
  <dcterms:modified xsi:type="dcterms:W3CDTF">2026-07-02T19:03:01Z</dcterms:modified>
</cp:coreProperties>
</file>